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Copy of Copy of Sheet1" sheetId="3" r:id="rId6"/>
    <sheet state="visible" name="Copy of Copy of Copy of Sheet1" sheetId="4" r:id="rId7"/>
  </sheets>
  <definedNames/>
  <calcPr/>
</workbook>
</file>

<file path=xl/sharedStrings.xml><?xml version="1.0" encoding="utf-8"?>
<sst xmlns="http://schemas.openxmlformats.org/spreadsheetml/2006/main" count="128" uniqueCount="43">
  <si>
    <t>เดือน เมษายน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</si>
  <si>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</si>
  <si>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</si>
  <si>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</si>
  <si>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</si>
  <si>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</si>
  <si>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</si>
  <si>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</si>
  <si>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</si>
  <si>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</si>
  <si>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</si>
  <si>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</si>
  <si>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มุรณี</t>
  </si>
  <si>
    <t>อริสรา</t>
  </si>
  <si>
    <t>ผลต่าง 140 เป็นยอดลงคะแนน dummy</t>
  </si>
  <si>
    <t>ผลต่าง 15,000 เป็นบิลยกเลิกวันที่ 5/4/64 ลง Daily วันที่ 5/4/64 เรียบร้อย</t>
  </si>
  <si>
    <t>สาริยา</t>
  </si>
  <si>
    <t>มุุรณี</t>
  </si>
  <si>
    <t>อริิสรา</t>
  </si>
  <si>
    <t>รวม</t>
  </si>
  <si>
    <t>ผลต่าง 6000 เป็นยอดลงคะแนน dummy  และบิลยกเลิกของวันที่ 11/4/64 ลงบิลใหม่วันนี้เรียบร้อย</t>
  </si>
  <si>
    <t>13/04/2564</t>
  </si>
  <si>
    <t>14/04/2564</t>
  </si>
  <si>
    <t>15/04/2564</t>
  </si>
  <si>
    <t>16/04/2564</t>
  </si>
  <si>
    <t>17/04/2564</t>
  </si>
  <si>
    <t>18/04/2564</t>
  </si>
  <si>
    <t>19/04/2564</t>
  </si>
  <si>
    <t>20/04/2564</t>
  </si>
  <si>
    <t>21/04/2564</t>
  </si>
  <si>
    <t>22/04/2564</t>
  </si>
  <si>
    <t>ผลต่าง 20000 เป็นบิลยกเลิก ลง Daily  เรียบร้อยค่ะ</t>
  </si>
  <si>
    <t>23/04/2564</t>
  </si>
  <si>
    <t>24/04/2564</t>
  </si>
  <si>
    <t>25/04/2564</t>
  </si>
  <si>
    <t>26/04/2564</t>
  </si>
  <si>
    <t>27/04/2564</t>
  </si>
  <si>
    <t>ผลต่าง 34500 เป็นบิลยกเลิก ลง Daily  เรียบร้อยค่ะ</t>
  </si>
  <si>
    <t>28/04/2564</t>
  </si>
  <si>
    <t xml:space="preserve"> </t>
  </si>
  <si>
    <t>29/04/64</t>
  </si>
  <si>
    <t>30/04/2564</t>
  </si>
  <si>
    <t>ผลต่าง 215000 เป็นยอดนำคะแนนขึ้นของพี่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</si>
</sst>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_-* #,##0_-;\-* #,##0_-;_-* &quot;-&quot;??_-;_-@"/>
  </numFmts>
  <fonts count="13">
    <font>
      <sz val="10.0"/>
      <color rgb="FF000000"/>
      <name val="Arial"/>
      <scheme val="minor"/>
    </font>
    <font>
      <b/>
      <sz val="20.0"/>
      <color theme="1"/>
      <name val="&quot;Cordia New&quot;"/>
    </font>
    <font>
      <color theme="1"/>
      <name val="Arial"/>
    </font>
    <font>
      <sz val="20.0"/>
      <color theme="1"/>
      <name val="&quot;Cordia New&quot;"/>
    </font>
    <font/>
    <font>
      <sz val="20.0"/>
      <color rgb="FF000000"/>
      <name val="&quot;Cordia New&quot;"/>
    </font>
    <font>
      <sz val="11.0"/>
      <color theme="1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20.0"/>
      <color rgb="FFFF0000"/>
      <name val="&quot;Cordia New&quot;"/>
    </font>
    <font>
      <sz val="12.0"/>
      <color rgb="FFFF0000"/>
      <name val="Arial"/>
    </font>
    <font>
      <sz val="11.0"/>
      <color rgb="FFFF0000"/>
      <name val="Arial"/>
    </font>
    <font>
      <sz val="14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4" fontId="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6" fillId="0" fontId="5" numFmtId="164" xfId="0" applyAlignment="1" applyBorder="1" applyFont="1" applyNumberFormat="1">
      <alignment horizontal="center" vertical="bottom"/>
    </xf>
    <xf borderId="6" fillId="4" fontId="5" numFmtId="38" xfId="0" applyAlignment="1" applyBorder="1" applyFont="1" applyNumberFormat="1">
      <alignment horizontal="center" readingOrder="0" vertical="bottom"/>
    </xf>
    <xf borderId="6" fillId="4" fontId="2" numFmtId="38" xfId="0" applyAlignment="1" applyBorder="1" applyFont="1" applyNumberFormat="1">
      <alignment vertical="bottom"/>
    </xf>
    <xf borderId="6" fillId="4" fontId="3" numFmtId="165" xfId="0" applyAlignment="1" applyBorder="1" applyFont="1" applyNumberFormat="1">
      <alignment horizontal="center" vertical="bottom"/>
    </xf>
    <xf borderId="6" fillId="5" fontId="5" numFmtId="38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vertical="bottom"/>
    </xf>
    <xf borderId="6" fillId="0" fontId="5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center" readingOrder="0" vertical="bottom"/>
    </xf>
    <xf borderId="6" fillId="5" fontId="5" numFmtId="165" xfId="0" applyAlignment="1" applyBorder="1" applyFont="1" applyNumberFormat="1">
      <alignment horizontal="center" readingOrder="0" vertical="bottom"/>
    </xf>
    <xf borderId="6" fillId="4" fontId="5" numFmtId="38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center" vertical="bottom"/>
    </xf>
    <xf borderId="6" fillId="0" fontId="8" numFmtId="38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6" fillId="0" fontId="9" numFmtId="38" xfId="0" applyAlignment="1" applyBorder="1" applyFont="1" applyNumberFormat="1">
      <alignment horizontal="center" vertical="bottom"/>
    </xf>
    <xf borderId="6" fillId="0" fontId="10" numFmtId="165" xfId="0" applyAlignment="1" applyBorder="1" applyFont="1" applyNumberFormat="1">
      <alignment vertical="bottom"/>
    </xf>
    <xf borderId="6" fillId="6" fontId="11" numFmtId="0" xfId="0" applyAlignment="1" applyBorder="1" applyFill="1" applyFont="1">
      <alignment horizontal="left" readingOrder="0"/>
    </xf>
    <xf borderId="6" fillId="0" fontId="12" numFmtId="0" xfId="0" applyAlignment="1" applyBorder="1" applyFont="1">
      <alignment readingOrder="0" vertical="bottom"/>
    </xf>
    <xf borderId="6" fillId="5" fontId="5" numFmtId="38" xfId="0" applyAlignment="1" applyBorder="1" applyFont="1" applyNumberFormat="1">
      <alignment horizontal="center" vertical="bottom"/>
    </xf>
    <xf borderId="6" fillId="0" fontId="1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5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>
        <v>242526.0</v>
      </c>
      <c r="B4" s="12">
        <v>96.0</v>
      </c>
      <c r="C4" s="12">
        <v>892395.0</v>
      </c>
      <c r="D4" s="13"/>
      <c r="E4" s="13"/>
      <c r="F4" s="14">
        <f t="shared" ref="F4:F13" si="1">SUM(C4)</f>
        <v>892395</v>
      </c>
      <c r="G4" s="15">
        <v>96.0</v>
      </c>
      <c r="H4" s="15">
        <v>892395.0</v>
      </c>
      <c r="I4" s="16">
        <f t="shared" ref="I4:I13" si="2">SUM(H4-F4)</f>
        <v>0</v>
      </c>
      <c r="J4" s="17" t="s">
        <v>12</v>
      </c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242557.0</v>
      </c>
      <c r="B5" s="12">
        <v>80.0</v>
      </c>
      <c r="C5" s="12">
        <v>761218.0</v>
      </c>
      <c r="D5" s="13"/>
      <c r="E5" s="13"/>
      <c r="F5" s="14">
        <f t="shared" si="1"/>
        <v>761218</v>
      </c>
      <c r="G5" s="15">
        <v>80.0</v>
      </c>
      <c r="H5" s="20">
        <v>761218.0</v>
      </c>
      <c r="I5" s="16">
        <f t="shared" si="2"/>
        <v>0</v>
      </c>
      <c r="J5" s="17" t="s">
        <v>13</v>
      </c>
      <c r="K5" s="1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>
        <v>242586.0</v>
      </c>
      <c r="B6" s="12">
        <v>88.0</v>
      </c>
      <c r="C6" s="12">
        <v>578357.0</v>
      </c>
      <c r="D6" s="13"/>
      <c r="E6" s="13"/>
      <c r="F6" s="14">
        <f t="shared" si="1"/>
        <v>578357</v>
      </c>
      <c r="G6" s="15">
        <v>88.0</v>
      </c>
      <c r="H6" s="20">
        <v>578357.0</v>
      </c>
      <c r="I6" s="16">
        <f t="shared" si="2"/>
        <v>0</v>
      </c>
      <c r="J6" s="17" t="s">
        <v>12</v>
      </c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>
        <v>242617.0</v>
      </c>
      <c r="B7" s="12">
        <v>56.0</v>
      </c>
      <c r="C7" s="12">
        <v>271576.0</v>
      </c>
      <c r="D7" s="13"/>
      <c r="E7" s="13"/>
      <c r="F7" s="14">
        <f t="shared" si="1"/>
        <v>271576</v>
      </c>
      <c r="G7" s="15">
        <v>56.0</v>
      </c>
      <c r="H7" s="20">
        <v>271576.0</v>
      </c>
      <c r="I7" s="16">
        <f t="shared" si="2"/>
        <v>0</v>
      </c>
      <c r="J7" s="17" t="s">
        <v>12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>
        <v>242647.0</v>
      </c>
      <c r="B8" s="12">
        <v>133.0</v>
      </c>
      <c r="C8" s="21">
        <v>1164160.0</v>
      </c>
      <c r="D8" s="13"/>
      <c r="E8" s="13"/>
      <c r="F8" s="14">
        <f t="shared" si="1"/>
        <v>1164160</v>
      </c>
      <c r="G8" s="15">
        <v>133.0</v>
      </c>
      <c r="H8" s="20">
        <v>1164300.0</v>
      </c>
      <c r="I8" s="16">
        <f t="shared" si="2"/>
        <v>140</v>
      </c>
      <c r="J8" s="17" t="s">
        <v>12</v>
      </c>
      <c r="K8" s="22" t="s">
        <v>14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>
        <v>242678.0</v>
      </c>
      <c r="B9" s="12">
        <v>39.0</v>
      </c>
      <c r="C9" s="12">
        <v>231729.0</v>
      </c>
      <c r="D9" s="13"/>
      <c r="E9" s="13"/>
      <c r="F9" s="14">
        <f t="shared" si="1"/>
        <v>231729</v>
      </c>
      <c r="G9" s="15">
        <v>39.0</v>
      </c>
      <c r="H9" s="20">
        <v>246729.0</v>
      </c>
      <c r="I9" s="16">
        <f t="shared" si="2"/>
        <v>15000</v>
      </c>
      <c r="J9" s="17" t="s">
        <v>12</v>
      </c>
      <c r="K9" s="22" t="s">
        <v>15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>
        <v>242708.0</v>
      </c>
      <c r="B10" s="12">
        <v>142.0</v>
      </c>
      <c r="C10" s="12">
        <v>1389418.0</v>
      </c>
      <c r="D10" s="13"/>
      <c r="E10" s="13"/>
      <c r="F10" s="14">
        <f t="shared" si="1"/>
        <v>1389418</v>
      </c>
      <c r="G10" s="15">
        <v>142.0</v>
      </c>
      <c r="H10" s="20">
        <v>1389418.0</v>
      </c>
      <c r="I10" s="16">
        <f t="shared" si="2"/>
        <v>0</v>
      </c>
      <c r="J10" s="17" t="s">
        <v>12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242739.0</v>
      </c>
      <c r="B11" s="12">
        <v>98.0</v>
      </c>
      <c r="C11" s="12">
        <v>809330.0</v>
      </c>
      <c r="D11" s="13"/>
      <c r="E11" s="13"/>
      <c r="F11" s="14">
        <f t="shared" si="1"/>
        <v>809330</v>
      </c>
      <c r="G11" s="15">
        <v>98.0</v>
      </c>
      <c r="H11" s="20">
        <v>809330.0</v>
      </c>
      <c r="I11" s="16">
        <f t="shared" si="2"/>
        <v>0</v>
      </c>
      <c r="J11" s="17" t="s">
        <v>16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242770.0</v>
      </c>
      <c r="B12" s="12">
        <v>92.0</v>
      </c>
      <c r="C12" s="12">
        <v>846713.0</v>
      </c>
      <c r="D12" s="13"/>
      <c r="E12" s="13"/>
      <c r="F12" s="14">
        <f t="shared" si="1"/>
        <v>846713</v>
      </c>
      <c r="G12" s="15">
        <v>92.0</v>
      </c>
      <c r="H12" s="20">
        <v>846713.0</v>
      </c>
      <c r="I12" s="16">
        <f t="shared" si="2"/>
        <v>0</v>
      </c>
      <c r="J12" s="17" t="s">
        <v>17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242800.0</v>
      </c>
      <c r="B13" s="12">
        <v>101.0</v>
      </c>
      <c r="C13" s="12">
        <v>809523.0</v>
      </c>
      <c r="D13" s="13"/>
      <c r="E13" s="13"/>
      <c r="F13" s="14">
        <f t="shared" si="1"/>
        <v>809523</v>
      </c>
      <c r="G13" s="15">
        <v>101.0</v>
      </c>
      <c r="H13" s="20">
        <v>809523.0</v>
      </c>
      <c r="I13" s="16">
        <f t="shared" si="2"/>
        <v>0</v>
      </c>
      <c r="J13" s="17" t="s">
        <v>18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 t="s">
        <v>19</v>
      </c>
      <c r="B14" s="5"/>
      <c r="C14" s="5"/>
      <c r="D14" s="5"/>
      <c r="E14" s="6"/>
      <c r="F14" s="24">
        <f>SUM(F4:F9)</f>
        <v>3899435</v>
      </c>
      <c r="G14" s="25"/>
      <c r="H14" s="24">
        <f>SUM(H4:H9)</f>
        <v>3914575</v>
      </c>
      <c r="I14" s="26">
        <f>SUM(I4:I10)</f>
        <v>15140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>
        <v>242831.0</v>
      </c>
      <c r="B4" s="12">
        <v>58.0</v>
      </c>
      <c r="C4" s="12">
        <v>406582.0</v>
      </c>
      <c r="D4" s="13"/>
      <c r="E4" s="13"/>
      <c r="F4" s="14">
        <f t="shared" ref="F4:F13" si="1">SUM(C4)</f>
        <v>406582</v>
      </c>
      <c r="G4" s="15">
        <f>B4</f>
        <v>58</v>
      </c>
      <c r="H4" s="15">
        <f t="shared" ref="H4:H13" si="2">F4</f>
        <v>406582</v>
      </c>
      <c r="I4" s="16">
        <f t="shared" ref="I4:I13" si="3">SUM(H4-F4)</f>
        <v>0</v>
      </c>
      <c r="J4" s="17" t="s">
        <v>16</v>
      </c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242861.0</v>
      </c>
      <c r="B5" s="12">
        <v>75.0</v>
      </c>
      <c r="C5" s="12">
        <v>749623.0</v>
      </c>
      <c r="D5" s="13"/>
      <c r="E5" s="13"/>
      <c r="F5" s="14">
        <f t="shared" si="1"/>
        <v>749623</v>
      </c>
      <c r="G5" s="15">
        <v>75.0</v>
      </c>
      <c r="H5" s="15">
        <f t="shared" si="2"/>
        <v>749623</v>
      </c>
      <c r="I5" s="27">
        <f t="shared" si="3"/>
        <v>0</v>
      </c>
      <c r="J5" s="17" t="s">
        <v>16</v>
      </c>
      <c r="K5" s="28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21</v>
      </c>
      <c r="B6" s="12"/>
      <c r="C6" s="12"/>
      <c r="D6" s="13"/>
      <c r="E6" s="13"/>
      <c r="F6" s="14">
        <f t="shared" si="1"/>
        <v>0</v>
      </c>
      <c r="G6" s="15"/>
      <c r="H6" s="15">
        <f t="shared" si="2"/>
        <v>0</v>
      </c>
      <c r="I6" s="16">
        <f t="shared" si="3"/>
        <v>0</v>
      </c>
      <c r="J6" s="17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22</v>
      </c>
      <c r="B7" s="12"/>
      <c r="C7" s="12"/>
      <c r="D7" s="13"/>
      <c r="E7" s="13"/>
      <c r="F7" s="14">
        <f t="shared" si="1"/>
        <v>0</v>
      </c>
      <c r="G7" s="15"/>
      <c r="H7" s="15">
        <f t="shared" si="2"/>
        <v>0</v>
      </c>
      <c r="I7" s="16">
        <f t="shared" si="3"/>
        <v>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">
        <v>23</v>
      </c>
      <c r="B8" s="12"/>
      <c r="C8" s="21"/>
      <c r="D8" s="13"/>
      <c r="E8" s="13"/>
      <c r="F8" s="14">
        <f t="shared" si="1"/>
        <v>0</v>
      </c>
      <c r="G8" s="15"/>
      <c r="H8" s="15">
        <f t="shared" si="2"/>
        <v>0</v>
      </c>
      <c r="I8" s="16">
        <f t="shared" si="3"/>
        <v>0</v>
      </c>
      <c r="J8" s="17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24</v>
      </c>
      <c r="B9" s="12">
        <v>147.0</v>
      </c>
      <c r="C9" s="21">
        <v>1163443.0</v>
      </c>
      <c r="D9" s="13"/>
      <c r="E9" s="13"/>
      <c r="F9" s="14">
        <f t="shared" si="1"/>
        <v>1163443</v>
      </c>
      <c r="G9" s="15">
        <v>147.0</v>
      </c>
      <c r="H9" s="15">
        <f t="shared" si="2"/>
        <v>1163443</v>
      </c>
      <c r="I9" s="16">
        <f t="shared" si="3"/>
        <v>0</v>
      </c>
      <c r="J9" s="17" t="s">
        <v>13</v>
      </c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25</v>
      </c>
      <c r="B10" s="12">
        <v>80.0</v>
      </c>
      <c r="C10" s="12">
        <v>625379.0</v>
      </c>
      <c r="D10" s="13"/>
      <c r="E10" s="13"/>
      <c r="F10" s="14">
        <f t="shared" si="1"/>
        <v>625379</v>
      </c>
      <c r="G10" s="15">
        <v>80.0</v>
      </c>
      <c r="H10" s="15">
        <f t="shared" si="2"/>
        <v>625379</v>
      </c>
      <c r="I10" s="16">
        <f t="shared" si="3"/>
        <v>0</v>
      </c>
      <c r="J10" s="17" t="s">
        <v>12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26</v>
      </c>
      <c r="B11" s="12">
        <v>71.0</v>
      </c>
      <c r="C11" s="12">
        <v>544640.0</v>
      </c>
      <c r="D11" s="13"/>
      <c r="E11" s="13"/>
      <c r="F11" s="14">
        <f t="shared" si="1"/>
        <v>544640</v>
      </c>
      <c r="G11" s="15">
        <v>71.0</v>
      </c>
      <c r="H11" s="15">
        <f t="shared" si="2"/>
        <v>544640</v>
      </c>
      <c r="I11" s="16">
        <f t="shared" si="3"/>
        <v>0</v>
      </c>
      <c r="J11" s="17" t="s">
        <v>13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27</v>
      </c>
      <c r="B12" s="12">
        <v>140.0</v>
      </c>
      <c r="C12" s="21">
        <v>1971932.0</v>
      </c>
      <c r="D12" s="13"/>
      <c r="E12" s="13"/>
      <c r="F12" s="14">
        <f t="shared" si="1"/>
        <v>1971932</v>
      </c>
      <c r="G12" s="15">
        <v>140.0</v>
      </c>
      <c r="H12" s="15">
        <f t="shared" si="2"/>
        <v>1971932</v>
      </c>
      <c r="I12" s="16">
        <f t="shared" si="3"/>
        <v>0</v>
      </c>
      <c r="J12" s="17" t="s">
        <v>13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28</v>
      </c>
      <c r="B13" s="12">
        <v>130.0</v>
      </c>
      <c r="C13" s="12">
        <v>1161502.0</v>
      </c>
      <c r="D13" s="13"/>
      <c r="E13" s="13"/>
      <c r="F13" s="14">
        <f t="shared" si="1"/>
        <v>1161502</v>
      </c>
      <c r="G13" s="15">
        <v>130.0</v>
      </c>
      <c r="H13" s="15">
        <f t="shared" si="2"/>
        <v>1161502</v>
      </c>
      <c r="I13" s="16">
        <f t="shared" si="3"/>
        <v>0</v>
      </c>
      <c r="J13" s="17" t="s">
        <v>12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 t="s">
        <v>19</v>
      </c>
      <c r="B14" s="5"/>
      <c r="C14" s="5"/>
      <c r="D14" s="5"/>
      <c r="E14" s="6"/>
      <c r="F14" s="24">
        <f>SUM(F4:F9)</f>
        <v>2319648</v>
      </c>
      <c r="G14" s="25"/>
      <c r="H14" s="24">
        <f>SUM(H4:H9)</f>
        <v>2319648</v>
      </c>
      <c r="I14" s="26">
        <f>SUM(I4:I10)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>
        <v>242831.0</v>
      </c>
      <c r="B4" s="12">
        <v>58.0</v>
      </c>
      <c r="C4" s="12">
        <v>406582.0</v>
      </c>
      <c r="D4" s="13"/>
      <c r="E4" s="13"/>
      <c r="F4" s="14">
        <f t="shared" ref="F4:F13" si="1">SUM(C4)</f>
        <v>406582</v>
      </c>
      <c r="G4" s="15">
        <f>B4</f>
        <v>58</v>
      </c>
      <c r="H4" s="15">
        <f t="shared" ref="H4:H13" si="2">F4</f>
        <v>406582</v>
      </c>
      <c r="I4" s="16">
        <f t="shared" ref="I4:I13" si="3">SUM(H4-F4)</f>
        <v>0</v>
      </c>
      <c r="J4" s="17" t="s">
        <v>16</v>
      </c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242861.0</v>
      </c>
      <c r="B5" s="12">
        <v>75.0</v>
      </c>
      <c r="C5" s="12">
        <v>749623.0</v>
      </c>
      <c r="D5" s="13"/>
      <c r="E5" s="13"/>
      <c r="F5" s="14">
        <f t="shared" si="1"/>
        <v>749623</v>
      </c>
      <c r="G5" s="15">
        <v>75.0</v>
      </c>
      <c r="H5" s="15">
        <f t="shared" si="2"/>
        <v>749623</v>
      </c>
      <c r="I5" s="27">
        <f t="shared" si="3"/>
        <v>0</v>
      </c>
      <c r="J5" s="17" t="s">
        <v>16</v>
      </c>
      <c r="K5" s="28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21</v>
      </c>
      <c r="B6" s="12"/>
      <c r="C6" s="12"/>
      <c r="D6" s="13"/>
      <c r="E6" s="13"/>
      <c r="F6" s="14">
        <f t="shared" si="1"/>
        <v>0</v>
      </c>
      <c r="G6" s="15"/>
      <c r="H6" s="15">
        <f t="shared" si="2"/>
        <v>0</v>
      </c>
      <c r="I6" s="16">
        <f t="shared" si="3"/>
        <v>0</v>
      </c>
      <c r="J6" s="17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22</v>
      </c>
      <c r="B7" s="12"/>
      <c r="C7" s="12"/>
      <c r="D7" s="13"/>
      <c r="E7" s="13"/>
      <c r="F7" s="14">
        <f t="shared" si="1"/>
        <v>0</v>
      </c>
      <c r="G7" s="15"/>
      <c r="H7" s="15">
        <f t="shared" si="2"/>
        <v>0</v>
      </c>
      <c r="I7" s="16">
        <f t="shared" si="3"/>
        <v>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">
        <v>23</v>
      </c>
      <c r="B8" s="12"/>
      <c r="C8" s="21"/>
      <c r="D8" s="13"/>
      <c r="E8" s="13"/>
      <c r="F8" s="14">
        <f t="shared" si="1"/>
        <v>0</v>
      </c>
      <c r="G8" s="15"/>
      <c r="H8" s="15">
        <f t="shared" si="2"/>
        <v>0</v>
      </c>
      <c r="I8" s="16">
        <f t="shared" si="3"/>
        <v>0</v>
      </c>
      <c r="J8" s="17"/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24</v>
      </c>
      <c r="B9" s="12">
        <v>147.0</v>
      </c>
      <c r="C9" s="21">
        <v>1163443.0</v>
      </c>
      <c r="D9" s="13"/>
      <c r="E9" s="13"/>
      <c r="F9" s="14">
        <f t="shared" si="1"/>
        <v>1163443</v>
      </c>
      <c r="G9" s="15">
        <v>147.0</v>
      </c>
      <c r="H9" s="15">
        <f t="shared" si="2"/>
        <v>1163443</v>
      </c>
      <c r="I9" s="16">
        <f t="shared" si="3"/>
        <v>0</v>
      </c>
      <c r="J9" s="17" t="s">
        <v>13</v>
      </c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25</v>
      </c>
      <c r="B10" s="12">
        <v>80.0</v>
      </c>
      <c r="C10" s="12">
        <v>625379.0</v>
      </c>
      <c r="D10" s="13"/>
      <c r="E10" s="13"/>
      <c r="F10" s="14">
        <f t="shared" si="1"/>
        <v>625379</v>
      </c>
      <c r="G10" s="15">
        <v>80.0</v>
      </c>
      <c r="H10" s="15">
        <f t="shared" si="2"/>
        <v>625379</v>
      </c>
      <c r="I10" s="16">
        <f t="shared" si="3"/>
        <v>0</v>
      </c>
      <c r="J10" s="17" t="s">
        <v>12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26</v>
      </c>
      <c r="B11" s="12">
        <v>71.0</v>
      </c>
      <c r="C11" s="12">
        <v>544640.0</v>
      </c>
      <c r="D11" s="13"/>
      <c r="E11" s="13"/>
      <c r="F11" s="14">
        <f t="shared" si="1"/>
        <v>544640</v>
      </c>
      <c r="G11" s="15">
        <v>71.0</v>
      </c>
      <c r="H11" s="15">
        <f t="shared" si="2"/>
        <v>544640</v>
      </c>
      <c r="I11" s="16">
        <f t="shared" si="3"/>
        <v>0</v>
      </c>
      <c r="J11" s="17" t="s">
        <v>13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27</v>
      </c>
      <c r="B12" s="12">
        <v>140.0</v>
      </c>
      <c r="C12" s="21">
        <v>1971932.0</v>
      </c>
      <c r="D12" s="13"/>
      <c r="E12" s="13"/>
      <c r="F12" s="14">
        <f t="shared" si="1"/>
        <v>1971932</v>
      </c>
      <c r="G12" s="15">
        <v>140.0</v>
      </c>
      <c r="H12" s="15">
        <f t="shared" si="2"/>
        <v>1971932</v>
      </c>
      <c r="I12" s="16">
        <f t="shared" si="3"/>
        <v>0</v>
      </c>
      <c r="J12" s="17" t="s">
        <v>13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28</v>
      </c>
      <c r="B13" s="12">
        <v>130.0</v>
      </c>
      <c r="C13" s="12">
        <v>1161502.0</v>
      </c>
      <c r="D13" s="13"/>
      <c r="E13" s="13"/>
      <c r="F13" s="14">
        <f t="shared" si="1"/>
        <v>1161502</v>
      </c>
      <c r="G13" s="15">
        <v>130.0</v>
      </c>
      <c r="H13" s="15">
        <f t="shared" si="2"/>
        <v>1161502</v>
      </c>
      <c r="I13" s="16">
        <f t="shared" si="3"/>
        <v>0</v>
      </c>
      <c r="J13" s="17" t="s">
        <v>12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 t="s">
        <v>19</v>
      </c>
      <c r="B14" s="5"/>
      <c r="C14" s="5"/>
      <c r="D14" s="5"/>
      <c r="E14" s="6"/>
      <c r="F14" s="24">
        <f>SUM(F4:F9)</f>
        <v>2319648</v>
      </c>
      <c r="G14" s="25"/>
      <c r="H14" s="24">
        <f>SUM(H4:H9)</f>
        <v>2319648</v>
      </c>
      <c r="I14" s="26">
        <f>SUM(I4:I10)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8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6"/>
      <c r="G2" s="7" t="s">
        <v>3</v>
      </c>
      <c r="H2" s="6"/>
      <c r="I2" s="3" t="s">
        <v>4</v>
      </c>
      <c r="J2" s="3" t="s">
        <v>5</v>
      </c>
      <c r="K2" s="3" t="s">
        <v>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" t="s">
        <v>29</v>
      </c>
      <c r="B4" s="12">
        <v>109.0</v>
      </c>
      <c r="C4" s="12">
        <v>981679.0</v>
      </c>
      <c r="D4" s="13"/>
      <c r="E4" s="13"/>
      <c r="F4" s="14">
        <f t="shared" ref="F4:F13" si="1">SUM(C4)</f>
        <v>981679</v>
      </c>
      <c r="G4" s="15">
        <v>109.0</v>
      </c>
      <c r="H4" s="15">
        <f>F4</f>
        <v>981679</v>
      </c>
      <c r="I4" s="16">
        <f t="shared" ref="I4:I13" si="2">SUM(H4-F4)</f>
        <v>0</v>
      </c>
      <c r="J4" s="17" t="s">
        <v>13</v>
      </c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30</v>
      </c>
      <c r="B5" s="12">
        <v>105.0</v>
      </c>
      <c r="C5" s="12">
        <v>1311077.0</v>
      </c>
      <c r="D5" s="13"/>
      <c r="E5" s="13"/>
      <c r="F5" s="14">
        <f t="shared" si="1"/>
        <v>1311077</v>
      </c>
      <c r="G5" s="15">
        <v>105.0</v>
      </c>
      <c r="H5" s="15">
        <v>1331077.0</v>
      </c>
      <c r="I5" s="27">
        <f t="shared" si="2"/>
        <v>20000</v>
      </c>
      <c r="J5" s="17" t="s">
        <v>13</v>
      </c>
      <c r="K5" s="29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32</v>
      </c>
      <c r="B6" s="12">
        <v>98.0</v>
      </c>
      <c r="C6" s="12">
        <v>887049.0</v>
      </c>
      <c r="D6" s="13"/>
      <c r="E6" s="13"/>
      <c r="F6" s="14">
        <f t="shared" si="1"/>
        <v>887049</v>
      </c>
      <c r="G6" s="15">
        <v>98.0</v>
      </c>
      <c r="H6" s="15">
        <f t="shared" ref="H6:H9" si="3">F6</f>
        <v>887049</v>
      </c>
      <c r="I6" s="16">
        <f t="shared" si="2"/>
        <v>0</v>
      </c>
      <c r="J6" s="17" t="s">
        <v>12</v>
      </c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33</v>
      </c>
      <c r="B7" s="12">
        <v>98.0</v>
      </c>
      <c r="C7" s="12">
        <v>924273.0</v>
      </c>
      <c r="D7" s="13"/>
      <c r="E7" s="13"/>
      <c r="F7" s="14">
        <f t="shared" si="1"/>
        <v>924273</v>
      </c>
      <c r="G7" s="15">
        <v>98.0</v>
      </c>
      <c r="H7" s="15">
        <f t="shared" si="3"/>
        <v>924273</v>
      </c>
      <c r="I7" s="16">
        <f t="shared" si="2"/>
        <v>0</v>
      </c>
      <c r="J7" s="17" t="s">
        <v>13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">
        <v>34</v>
      </c>
      <c r="B8" s="12">
        <v>71.0</v>
      </c>
      <c r="C8" s="12">
        <v>1144387.0</v>
      </c>
      <c r="D8" s="13"/>
      <c r="E8" s="13"/>
      <c r="F8" s="14">
        <f t="shared" si="1"/>
        <v>1144387</v>
      </c>
      <c r="G8" s="15">
        <v>71.0</v>
      </c>
      <c r="H8" s="15">
        <f t="shared" si="3"/>
        <v>1144387</v>
      </c>
      <c r="I8" s="16">
        <f t="shared" si="2"/>
        <v>0</v>
      </c>
      <c r="J8" s="17" t="s">
        <v>17</v>
      </c>
      <c r="K8" s="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35</v>
      </c>
      <c r="B9" s="12">
        <v>97.0</v>
      </c>
      <c r="C9" s="12">
        <v>967375.0</v>
      </c>
      <c r="D9" s="13"/>
      <c r="E9" s="13"/>
      <c r="F9" s="14">
        <f t="shared" si="1"/>
        <v>967375</v>
      </c>
      <c r="G9" s="15">
        <v>97.0</v>
      </c>
      <c r="H9" s="15">
        <f t="shared" si="3"/>
        <v>967375</v>
      </c>
      <c r="I9" s="16">
        <f t="shared" si="2"/>
        <v>0</v>
      </c>
      <c r="J9" s="17" t="s">
        <v>13</v>
      </c>
      <c r="K9" s="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36</v>
      </c>
      <c r="B10" s="12">
        <v>110.0</v>
      </c>
      <c r="C10" s="12">
        <v>1007839.0</v>
      </c>
      <c r="D10" s="13"/>
      <c r="E10" s="13"/>
      <c r="F10" s="14">
        <f t="shared" si="1"/>
        <v>1007839</v>
      </c>
      <c r="G10" s="15">
        <v>110.0</v>
      </c>
      <c r="H10" s="30">
        <v>1042339.0</v>
      </c>
      <c r="I10" s="31">
        <f t="shared" si="2"/>
        <v>34500</v>
      </c>
      <c r="J10" s="17" t="s">
        <v>13</v>
      </c>
      <c r="K10" s="29" t="s">
        <v>37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38</v>
      </c>
      <c r="B11" s="12">
        <v>115.0</v>
      </c>
      <c r="C11" s="12">
        <v>1117139.0</v>
      </c>
      <c r="D11" s="13"/>
      <c r="E11" s="13"/>
      <c r="F11" s="14">
        <f t="shared" si="1"/>
        <v>1117139</v>
      </c>
      <c r="G11" s="15">
        <v>115.0</v>
      </c>
      <c r="H11" s="15">
        <f t="shared" ref="H11:H12" si="4">F11</f>
        <v>1117139</v>
      </c>
      <c r="I11" s="31">
        <f t="shared" si="2"/>
        <v>0</v>
      </c>
      <c r="J11" s="17" t="s">
        <v>12</v>
      </c>
      <c r="K11" s="22" t="s">
        <v>39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40</v>
      </c>
      <c r="B12" s="12">
        <v>102.0</v>
      </c>
      <c r="C12" s="21">
        <v>957956.0</v>
      </c>
      <c r="D12" s="13"/>
      <c r="E12" s="13"/>
      <c r="F12" s="14">
        <f t="shared" si="1"/>
        <v>957956</v>
      </c>
      <c r="G12" s="15">
        <v>102.0</v>
      </c>
      <c r="H12" s="15">
        <f t="shared" si="4"/>
        <v>957956</v>
      </c>
      <c r="I12" s="31">
        <f t="shared" si="2"/>
        <v>0</v>
      </c>
      <c r="J12" s="17" t="s">
        <v>13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41</v>
      </c>
      <c r="B13" s="12">
        <v>144.0</v>
      </c>
      <c r="C13" s="12">
        <v>1442473.0</v>
      </c>
      <c r="D13" s="13"/>
      <c r="E13" s="13"/>
      <c r="F13" s="14">
        <f t="shared" si="1"/>
        <v>1442473</v>
      </c>
      <c r="G13" s="15">
        <v>144.0</v>
      </c>
      <c r="H13" s="30">
        <v>1657473.0</v>
      </c>
      <c r="I13" s="31">
        <f t="shared" si="2"/>
        <v>215000</v>
      </c>
      <c r="J13" s="17" t="s">
        <v>13</v>
      </c>
      <c r="K13" s="29" t="s">
        <v>42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 t="s">
        <v>19</v>
      </c>
      <c r="B14" s="5"/>
      <c r="C14" s="5"/>
      <c r="D14" s="5"/>
      <c r="E14" s="6"/>
      <c r="F14" s="24">
        <f>SUM(F4:F9)</f>
        <v>6215840</v>
      </c>
      <c r="G14" s="25"/>
      <c r="H14" s="24">
        <f>SUM(H4:H9)</f>
        <v>6235840</v>
      </c>
      <c r="I14" s="26">
        <f>SUM(I4:I10)</f>
        <v>54500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
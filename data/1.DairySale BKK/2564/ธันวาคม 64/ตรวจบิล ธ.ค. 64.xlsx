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</sheets>
  <definedNames/>
  <calcPr/>
</workbook>
</file>

<file path=xl/sharedStrings.xml><?xml version="1.0" encoding="utf-8"?>
<sst xmlns="http://schemas.openxmlformats.org/spreadsheetml/2006/main" count="91" uniqueCount="51">
  <si>
    <t>ตรวจบิล ธ.ค 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</si>
  <si>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</si>
  <si>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</si>
  <si>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</si>
  <si>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</si>
  <si>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</si>
  <si>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</si>
  <si>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</si>
  <si>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</si>
  <si>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</si>
  <si>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01-02.12.2564</t>
  </si>
  <si>
    <t>นี</t>
  </si>
  <si>
    <t>03.12.64</t>
  </si>
  <si>
    <t>เอิง</t>
  </si>
  <si>
    <t>04.12.2564</t>
  </si>
  <si>
    <t>05-06.12.2564</t>
  </si>
  <si>
    <t>07.12.2564</t>
  </si>
  <si>
    <t>08.12.2564</t>
  </si>
  <si>
    <t>เป็นบิลยกเลิกลงยอดเรียบร้อยค่ะ</t>
  </si>
  <si>
    <t>09.12.2564</t>
  </si>
  <si>
    <t>ปูน</t>
  </si>
  <si>
    <t>10.12.2564</t>
  </si>
  <si>
    <t>11.12.2564</t>
  </si>
  <si>
    <t>12.12.2564</t>
  </si>
  <si>
    <t>13.12.2564</t>
  </si>
  <si>
    <t>เป็นบิลยกเลิก ลงยอดใหม่เรียบร้อยค่ะ</t>
  </si>
  <si>
    <t>14.12.2564</t>
  </si>
  <si>
    <t>15.12.2564</t>
  </si>
  <si>
    <t>16.12.2564</t>
  </si>
  <si>
    <t xml:space="preserve">เป็นบิลยกเลิกเปลี่ยนรายการสินค้า ลงยอดเรียบร้อยค่ะ </t>
  </si>
  <si>
    <t>รวม</t>
  </si>
  <si>
    <t>17.12.2564</t>
  </si>
  <si>
    <t>18.12.2564</t>
  </si>
  <si>
    <t>ผลต่าง300 บาท เนื่องจากเป็นบิลยกเลิกการจัดงานttt ใช้ซื้อสินค้าแทนลงยอดเรียบร้อยค่ะ</t>
  </si>
  <si>
    <t>19.12.2564</t>
  </si>
  <si>
    <t>20.12.2564</t>
  </si>
  <si>
    <t>ผลต่าง 1250 บาท เนื่องจากเป็นบิลยกเลิกการจัดงานttt ใช้ซื้อสินค้าแทนลงยอดเรียบร้อยค่ะ</t>
  </si>
  <si>
    <t>21.12.2564</t>
  </si>
  <si>
    <t>22.12.2564</t>
  </si>
  <si>
    <t>ผลต่าง 22500 บาท เนื่องจากเป็นบิลยกเลิกลงยอดเรียบร้อยค่ะ</t>
  </si>
  <si>
    <t>23.12.2564</t>
  </si>
  <si>
    <t>24.12.2564</t>
  </si>
  <si>
    <t>ผลต่าง 1750 บาท เนื่องจากเป็นบิลยกเลิกลงยอดเรียบร้อยค่ะ</t>
  </si>
  <si>
    <t>25.12.2564</t>
  </si>
  <si>
    <t>26.12.2564</t>
  </si>
  <si>
    <t>ผลต่าง 27000 บาท เนื่องจากเป็นบิลยกเลิกลงยอดเรียบร้อยค่ะ</t>
  </si>
  <si>
    <t>27.12.2564</t>
  </si>
  <si>
    <t>ผลต่าง 53150 บาท เนื่องจากเป็นบิลยกเลิกการจัดงานttt ใช้ซื้อสินค้าแทน และบิลยกเลิกผิด ลงยอดเรียบร้อยค่ะ</t>
  </si>
  <si>
    <t>28.12.2564</t>
  </si>
  <si>
    <t>29.12.2564</t>
  </si>
  <si>
    <t>30.12.2564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</si>
</sst>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1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</font>
    <font/>
    <font>
      <sz val="18.0"/>
      <color theme="1"/>
      <name val="Calibri"/>
    </font>
    <font>
      <sz val="18.0"/>
      <color rgb="FFFF0000"/>
      <name val="Calibri"/>
    </font>
    <font>
      <b/>
      <u/>
      <sz val="18.0"/>
      <color theme="1"/>
      <name val="Calibri"/>
    </font>
    <font>
      <b/>
      <u/>
      <sz val="18.0"/>
      <color theme="1"/>
      <name val="Calibri"/>
    </font>
    <font>
      <b/>
      <u/>
      <sz val="18.0"/>
      <color rgb="FFFF0000"/>
      <name val="Calibri"/>
    </font>
    <font>
      <sz val="14.0"/>
      <color theme="1"/>
      <name val="Calibri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5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5" fontId="4" numFmtId="38" xfId="0" applyAlignment="1" applyBorder="1" applyFont="1" applyNumberFormat="1">
      <alignment horizontal="right" readingOrder="0" vertical="bottom"/>
    </xf>
    <xf borderId="6" fillId="5" fontId="4" numFmtId="38" xfId="0" applyAlignment="1" applyBorder="1" applyFont="1" applyNumberFormat="1">
      <alignment vertical="bottom"/>
    </xf>
    <xf borderId="6" fillId="5" fontId="4" numFmtId="164" xfId="0" applyAlignment="1" applyBorder="1" applyFont="1" applyNumberFormat="1">
      <alignment horizontal="right" vertical="bottom"/>
    </xf>
    <xf borderId="6" fillId="4" fontId="4" numFmtId="38" xfId="0" applyAlignment="1" applyBorder="1" applyFont="1" applyNumberFormat="1">
      <alignment horizontal="right" readingOrder="0" vertical="bottom"/>
    </xf>
    <xf borderId="6" fillId="4" fontId="4" numFmtId="38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6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vertical="bottom"/>
    </xf>
    <xf borderId="6" fillId="6" fontId="4" numFmtId="0" xfId="0" applyAlignment="1" applyBorder="1" applyFill="1" applyFont="1">
      <alignment vertical="bottom"/>
    </xf>
    <xf borderId="6" fillId="5" fontId="4" numFmtId="164" xfId="0" applyAlignment="1" applyBorder="1" applyFont="1" applyNumberFormat="1">
      <alignment horizontal="right" readingOrder="0" vertical="bottom"/>
    </xf>
    <xf borderId="6" fillId="0" fontId="5" numFmtId="164" xfId="0" applyAlignment="1" applyBorder="1" applyFont="1" applyNumberFormat="1">
      <alignment horizontal="right" readingOrder="0" vertical="bottom"/>
    </xf>
    <xf borderId="2" fillId="0" fontId="6" numFmtId="0" xfId="0" applyAlignment="1" applyBorder="1" applyFont="1">
      <alignment horizontal="center" vertical="bottom"/>
    </xf>
    <xf borderId="6" fillId="0" fontId="7" numFmtId="38" xfId="0" applyAlignment="1" applyBorder="1" applyFont="1" applyNumberFormat="1">
      <alignment horizontal="center" vertical="bottom"/>
    </xf>
    <xf borderId="6" fillId="0" fontId="8" numFmtId="38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6" fillId="6" fontId="9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9.88"/>
    <col customWidth="1" min="6" max="6" width="19.75"/>
    <col customWidth="1" min="8" max="8" width="15.63"/>
    <col customWidth="1" min="9" max="9" width="65.38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B2" s="4" t="s">
        <v>2</v>
      </c>
      <c r="C2" s="5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3" t="s">
        <v>10</v>
      </c>
      <c r="B4" s="14">
        <v>172.0</v>
      </c>
      <c r="C4" s="15"/>
      <c r="D4" s="16">
        <v>1462535.0</v>
      </c>
      <c r="E4" s="17">
        <v>172.0</v>
      </c>
      <c r="F4" s="18">
        <v>1462535.0</v>
      </c>
      <c r="G4" s="19"/>
      <c r="H4" s="20" t="s">
        <v>11</v>
      </c>
      <c r="I4" s="2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3" t="s">
        <v>12</v>
      </c>
      <c r="B5" s="14">
        <v>79.0</v>
      </c>
      <c r="C5" s="15"/>
      <c r="D5" s="16">
        <v>648705.0</v>
      </c>
      <c r="E5" s="17">
        <v>79.0</v>
      </c>
      <c r="F5" s="18">
        <v>648705.0</v>
      </c>
      <c r="G5" s="19"/>
      <c r="H5" s="21" t="s">
        <v>13</v>
      </c>
      <c r="I5" s="2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3" t="s">
        <v>14</v>
      </c>
      <c r="B6" s="14">
        <v>101.0</v>
      </c>
      <c r="C6" s="15"/>
      <c r="D6" s="23">
        <v>670655.0</v>
      </c>
      <c r="E6" s="17">
        <v>101.0</v>
      </c>
      <c r="F6" s="17">
        <v>670655.0</v>
      </c>
      <c r="G6" s="19"/>
      <c r="H6" s="21" t="s">
        <v>13</v>
      </c>
      <c r="I6" s="2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3" t="s">
        <v>15</v>
      </c>
      <c r="B7" s="14">
        <v>125.0</v>
      </c>
      <c r="C7" s="15"/>
      <c r="D7" s="23">
        <v>1061105.0</v>
      </c>
      <c r="E7" s="17">
        <v>125.0</v>
      </c>
      <c r="F7" s="17">
        <v>1061105.0</v>
      </c>
      <c r="G7" s="19"/>
      <c r="H7" s="20" t="s">
        <v>11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3" t="s">
        <v>16</v>
      </c>
      <c r="B8" s="14">
        <v>99.0</v>
      </c>
      <c r="C8" s="15"/>
      <c r="D8" s="23">
        <v>771545.0</v>
      </c>
      <c r="E8" s="17">
        <v>99.0</v>
      </c>
      <c r="F8" s="17">
        <v>771545.0</v>
      </c>
      <c r="G8" s="19"/>
      <c r="H8" s="20" t="s">
        <v>13</v>
      </c>
      <c r="I8" s="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3" t="s">
        <v>17</v>
      </c>
      <c r="B9" s="14">
        <v>117.0</v>
      </c>
      <c r="C9" s="15"/>
      <c r="D9" s="16">
        <v>1008865.0</v>
      </c>
      <c r="E9" s="17">
        <v>117.0</v>
      </c>
      <c r="F9" s="18">
        <v>1010890.0</v>
      </c>
      <c r="G9" s="19">
        <f>SUM(F9-D9)</f>
        <v>2025</v>
      </c>
      <c r="H9" s="20" t="s">
        <v>11</v>
      </c>
      <c r="I9" s="20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3" t="s">
        <v>19</v>
      </c>
      <c r="B10" s="14">
        <v>101.0</v>
      </c>
      <c r="C10" s="15"/>
      <c r="D10" s="16">
        <v>949730.0</v>
      </c>
      <c r="E10" s="17">
        <v>101.0</v>
      </c>
      <c r="F10" s="18">
        <v>949730.0</v>
      </c>
      <c r="G10" s="19"/>
      <c r="H10" s="20" t="s">
        <v>20</v>
      </c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3" t="s">
        <v>21</v>
      </c>
      <c r="B11" s="14">
        <v>47.0</v>
      </c>
      <c r="C11" s="15"/>
      <c r="D11" s="16">
        <v>311440.0</v>
      </c>
      <c r="E11" s="17">
        <v>47.0</v>
      </c>
      <c r="F11" s="18">
        <v>311440.0</v>
      </c>
      <c r="G11" s="19"/>
      <c r="H11" s="20" t="s">
        <v>11</v>
      </c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3" t="s">
        <v>22</v>
      </c>
      <c r="B12" s="14">
        <v>103.0</v>
      </c>
      <c r="C12" s="15"/>
      <c r="D12" s="23">
        <v>1009280.0</v>
      </c>
      <c r="E12" s="17">
        <v>103.0</v>
      </c>
      <c r="F12" s="17">
        <v>1009280.0</v>
      </c>
      <c r="G12" s="19"/>
      <c r="H12" s="20" t="s">
        <v>13</v>
      </c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3" t="s">
        <v>23</v>
      </c>
      <c r="B13" s="14">
        <v>62.0</v>
      </c>
      <c r="C13" s="15"/>
      <c r="D13" s="16">
        <v>592935.0</v>
      </c>
      <c r="E13" s="17">
        <v>62.0</v>
      </c>
      <c r="F13" s="18">
        <v>592935.0</v>
      </c>
      <c r="G13" s="19"/>
      <c r="H13" s="20" t="s">
        <v>20</v>
      </c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29.25" customHeight="1">
      <c r="A14" s="13" t="s">
        <v>24</v>
      </c>
      <c r="B14" s="14">
        <v>101.0</v>
      </c>
      <c r="C14" s="15"/>
      <c r="D14" s="16">
        <v>998290.0</v>
      </c>
      <c r="E14" s="17">
        <v>101.0</v>
      </c>
      <c r="F14" s="18">
        <v>1006565.0</v>
      </c>
      <c r="G14" s="19">
        <f>SUM(F14-D14)</f>
        <v>8275</v>
      </c>
      <c r="H14" s="20" t="s">
        <v>13</v>
      </c>
      <c r="I14" s="20" t="s">
        <v>25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28.5" customHeight="1">
      <c r="A15" s="13" t="s">
        <v>26</v>
      </c>
      <c r="B15" s="14">
        <v>102.0</v>
      </c>
      <c r="C15" s="15"/>
      <c r="D15" s="23">
        <v>1007645.0</v>
      </c>
      <c r="E15" s="17">
        <v>102.0</v>
      </c>
      <c r="F15" s="17">
        <v>1007645.0</v>
      </c>
      <c r="G15" s="19"/>
      <c r="H15" s="20" t="s">
        <v>13</v>
      </c>
      <c r="I15" s="2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30.0" customHeight="1">
      <c r="A16" s="13" t="s">
        <v>27</v>
      </c>
      <c r="B16" s="14">
        <v>91.0</v>
      </c>
      <c r="C16" s="15"/>
      <c r="D16" s="16">
        <v>1104147.0</v>
      </c>
      <c r="E16" s="17">
        <v>91.0</v>
      </c>
      <c r="F16" s="18">
        <v>1104147.0</v>
      </c>
      <c r="G16" s="19"/>
      <c r="H16" s="20" t="s">
        <v>20</v>
      </c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28.5" customHeight="1">
      <c r="A17" s="13" t="s">
        <v>28</v>
      </c>
      <c r="B17" s="14">
        <v>117.0</v>
      </c>
      <c r="C17" s="15"/>
      <c r="D17" s="16">
        <v>1312155.0</v>
      </c>
      <c r="E17" s="17">
        <v>117.0</v>
      </c>
      <c r="F17" s="18">
        <v>1312155.0</v>
      </c>
      <c r="G17" s="24">
        <v>8100.0</v>
      </c>
      <c r="H17" s="20" t="s">
        <v>20</v>
      </c>
      <c r="I17" s="20" t="s">
        <v>29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5" t="s">
        <v>30</v>
      </c>
      <c r="B18" s="5"/>
      <c r="C18" s="6"/>
      <c r="D18" s="26">
        <f>SUM(D4:D17)</f>
        <v>12909032</v>
      </c>
      <c r="E18" s="21"/>
      <c r="F18" s="26">
        <f t="shared" ref="F18:G18" si="1">SUM(F4:F17)</f>
        <v>12919332</v>
      </c>
      <c r="G18" s="27">
        <f t="shared" si="1"/>
        <v>18400</v>
      </c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9.88"/>
    <col customWidth="1" min="6" max="6" width="19.75"/>
    <col customWidth="1" min="8" max="8" width="15.63"/>
    <col customWidth="1" min="9" max="9" width="104.5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B2" s="4" t="s">
        <v>2</v>
      </c>
      <c r="C2" s="5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3" t="s">
        <v>31</v>
      </c>
      <c r="B4" s="14">
        <v>91.0</v>
      </c>
      <c r="C4" s="15"/>
      <c r="D4" s="16">
        <v>808355.0</v>
      </c>
      <c r="E4" s="17">
        <v>91.0</v>
      </c>
      <c r="F4" s="18">
        <v>808355.0</v>
      </c>
      <c r="G4" s="19">
        <f t="shared" ref="G4:G12" si="1">SUM(F4-D4)</f>
        <v>0</v>
      </c>
      <c r="H4" s="20" t="s">
        <v>13</v>
      </c>
      <c r="I4" s="2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3" t="s">
        <v>32</v>
      </c>
      <c r="B5" s="14">
        <v>75.0</v>
      </c>
      <c r="C5" s="15"/>
      <c r="D5" s="16">
        <v>627860.0</v>
      </c>
      <c r="E5" s="17">
        <v>75.0</v>
      </c>
      <c r="F5" s="17">
        <v>628160.0</v>
      </c>
      <c r="G5" s="19">
        <f t="shared" si="1"/>
        <v>300</v>
      </c>
      <c r="H5" s="20" t="s">
        <v>13</v>
      </c>
      <c r="I5" s="29" t="s">
        <v>33</v>
      </c>
      <c r="J5" s="30"/>
      <c r="K5" s="30"/>
      <c r="L5" s="3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3" t="s">
        <v>34</v>
      </c>
      <c r="B6" s="14">
        <v>61.0</v>
      </c>
      <c r="C6" s="15"/>
      <c r="D6" s="16">
        <v>438157.0</v>
      </c>
      <c r="E6" s="17">
        <v>61.0</v>
      </c>
      <c r="F6" s="17">
        <v>438157.0</v>
      </c>
      <c r="G6" s="19">
        <f t="shared" si="1"/>
        <v>0</v>
      </c>
      <c r="H6" s="20" t="s">
        <v>13</v>
      </c>
      <c r="I6" s="2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3" t="s">
        <v>35</v>
      </c>
      <c r="B7" s="14">
        <v>137.0</v>
      </c>
      <c r="C7" s="15"/>
      <c r="D7" s="16">
        <v>1406480.0</v>
      </c>
      <c r="E7" s="17">
        <v>137.0</v>
      </c>
      <c r="F7" s="18">
        <v>1407730.0</v>
      </c>
      <c r="G7" s="19">
        <f t="shared" si="1"/>
        <v>1250</v>
      </c>
      <c r="H7" s="20" t="s">
        <v>20</v>
      </c>
      <c r="I7" s="29" t="s">
        <v>36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3" t="s">
        <v>37</v>
      </c>
      <c r="B8" s="14">
        <v>98.0</v>
      </c>
      <c r="C8" s="15"/>
      <c r="D8" s="23">
        <v>1110880.0</v>
      </c>
      <c r="E8" s="17">
        <v>98.0</v>
      </c>
      <c r="F8" s="17">
        <v>1110880.0</v>
      </c>
      <c r="G8" s="19">
        <f t="shared" si="1"/>
        <v>0</v>
      </c>
      <c r="H8" s="20" t="s">
        <v>13</v>
      </c>
      <c r="I8" s="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3" t="s">
        <v>38</v>
      </c>
      <c r="B9" s="14">
        <v>73.0</v>
      </c>
      <c r="C9" s="15"/>
      <c r="D9" s="16">
        <v>731425.0</v>
      </c>
      <c r="E9" s="17">
        <v>73.0</v>
      </c>
      <c r="F9" s="17">
        <v>753925.0</v>
      </c>
      <c r="G9" s="19">
        <f t="shared" si="1"/>
        <v>22500</v>
      </c>
      <c r="H9" s="20" t="s">
        <v>20</v>
      </c>
      <c r="I9" s="29" t="s">
        <v>39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3" t="s">
        <v>40</v>
      </c>
      <c r="B10" s="14">
        <v>113.0</v>
      </c>
      <c r="C10" s="15"/>
      <c r="D10" s="16">
        <v>1062675.0</v>
      </c>
      <c r="E10" s="17">
        <v>113.0</v>
      </c>
      <c r="F10" s="18">
        <v>1062675.0</v>
      </c>
      <c r="G10" s="19">
        <f t="shared" si="1"/>
        <v>0</v>
      </c>
      <c r="H10" s="20" t="s">
        <v>13</v>
      </c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3" t="s">
        <v>41</v>
      </c>
      <c r="B11" s="14">
        <v>96.0</v>
      </c>
      <c r="C11" s="15"/>
      <c r="D11" s="16">
        <v>929340.0</v>
      </c>
      <c r="E11" s="17">
        <v>96.0</v>
      </c>
      <c r="F11" s="17">
        <v>931090.0</v>
      </c>
      <c r="G11" s="19">
        <f t="shared" si="1"/>
        <v>1750</v>
      </c>
      <c r="H11" s="20" t="s">
        <v>20</v>
      </c>
      <c r="I11" s="29" t="s">
        <v>42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3" t="s">
        <v>43</v>
      </c>
      <c r="B12" s="14">
        <v>89.0</v>
      </c>
      <c r="C12" s="15"/>
      <c r="D12" s="16">
        <v>931580.0</v>
      </c>
      <c r="E12" s="17">
        <v>89.0</v>
      </c>
      <c r="F12" s="18">
        <v>931580.0</v>
      </c>
      <c r="G12" s="19">
        <f t="shared" si="1"/>
        <v>0</v>
      </c>
      <c r="H12" s="20" t="s">
        <v>20</v>
      </c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3" t="s">
        <v>44</v>
      </c>
      <c r="B13" s="14">
        <v>59.0</v>
      </c>
      <c r="C13" s="15"/>
      <c r="D13" s="23">
        <v>644905.0</v>
      </c>
      <c r="E13" s="17">
        <v>59.0</v>
      </c>
      <c r="F13" s="17">
        <v>617905.0</v>
      </c>
      <c r="G13" s="24">
        <v>27000.0</v>
      </c>
      <c r="H13" s="20" t="s">
        <v>13</v>
      </c>
      <c r="I13" s="29" t="s">
        <v>45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29.25" customHeight="1">
      <c r="A14" s="13" t="s">
        <v>46</v>
      </c>
      <c r="B14" s="14">
        <v>135.0</v>
      </c>
      <c r="C14" s="15"/>
      <c r="D14" s="16">
        <v>1362090.0</v>
      </c>
      <c r="E14" s="17">
        <v>135.0</v>
      </c>
      <c r="F14" s="17">
        <v>1415240.0</v>
      </c>
      <c r="G14" s="19">
        <f t="shared" ref="G14:G17" si="2">SUM(F14-D14)</f>
        <v>53150</v>
      </c>
      <c r="H14" s="20" t="s">
        <v>11</v>
      </c>
      <c r="I14" s="29" t="s">
        <v>47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28.5" customHeight="1">
      <c r="A15" s="13" t="s">
        <v>48</v>
      </c>
      <c r="B15" s="14">
        <v>95.0</v>
      </c>
      <c r="C15" s="15"/>
      <c r="D15" s="23">
        <v>876815.0</v>
      </c>
      <c r="E15" s="17">
        <v>95.0</v>
      </c>
      <c r="F15" s="17">
        <v>876815.0</v>
      </c>
      <c r="G15" s="19">
        <f t="shared" si="2"/>
        <v>0</v>
      </c>
      <c r="H15" s="20" t="s">
        <v>13</v>
      </c>
      <c r="I15" s="2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30.0" customHeight="1">
      <c r="A16" s="13" t="s">
        <v>49</v>
      </c>
      <c r="B16" s="14">
        <v>137.0</v>
      </c>
      <c r="C16" s="15"/>
      <c r="D16" s="16">
        <v>2000290.0</v>
      </c>
      <c r="E16" s="17">
        <v>137.0</v>
      </c>
      <c r="F16" s="18">
        <v>2000290.0</v>
      </c>
      <c r="G16" s="19">
        <f t="shared" si="2"/>
        <v>0</v>
      </c>
      <c r="H16" s="20" t="s">
        <v>20</v>
      </c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28.5" customHeight="1">
      <c r="A17" s="13" t="s">
        <v>50</v>
      </c>
      <c r="B17" s="14">
        <v>31.0</v>
      </c>
      <c r="C17" s="15"/>
      <c r="D17" s="23">
        <v>496450.0</v>
      </c>
      <c r="E17" s="17">
        <v>31.0</v>
      </c>
      <c r="F17" s="17">
        <v>496450.0</v>
      </c>
      <c r="G17" s="19">
        <f t="shared" si="2"/>
        <v>0</v>
      </c>
      <c r="H17" s="20" t="s">
        <v>13</v>
      </c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5" t="s">
        <v>30</v>
      </c>
      <c r="B18" s="5"/>
      <c r="C18" s="6"/>
      <c r="D18" s="26">
        <f>SUM(D4:D17)</f>
        <v>13427302</v>
      </c>
      <c r="E18" s="21"/>
      <c r="F18" s="26">
        <f t="shared" ref="F18:G18" si="3">SUM(F4:F17)</f>
        <v>13479252</v>
      </c>
      <c r="G18" s="27">
        <f t="shared" si="3"/>
        <v>105950</v>
      </c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
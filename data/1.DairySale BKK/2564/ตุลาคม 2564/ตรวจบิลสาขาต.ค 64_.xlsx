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" sheetId="1" r:id="rId4"/>
    <sheet state="visible" name="16-31" sheetId="2" r:id="rId5"/>
  </sheets>
  <definedNames/>
  <calcPr/>
</workbook>
</file>

<file path=xl/sharedStrings.xml><?xml version="1.0" encoding="utf-8"?>
<sst xmlns="http://schemas.openxmlformats.org/spreadsheetml/2006/main" count="92" uniqueCount="49">
  <si>
    <t>ตรวจบิล ต.ค 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</si>
  <si>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</si>
  <si>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</si>
  <si>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</si>
  <si>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</si>
  <si>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</si>
  <si>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</si>
  <si>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</si>
  <si>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</si>
  <si>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</si>
  <si>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</si>
  <si>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</si>
  <si>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02.10.2564</t>
  </si>
  <si>
    <t>นี</t>
  </si>
  <si>
    <t>03.10.2564</t>
  </si>
  <si>
    <t>ปูน</t>
  </si>
  <si>
    <t>04.10.2564</t>
  </si>
  <si>
    <t>05.10.2564</t>
  </si>
  <si>
    <t>06.10.2564</t>
  </si>
  <si>
    <t>07.10.2564</t>
  </si>
  <si>
    <t>เอิง</t>
  </si>
  <si>
    <t>08.10.2564</t>
  </si>
  <si>
    <t>09.10.2564</t>
  </si>
  <si>
    <t>10.10.2564</t>
  </si>
  <si>
    <t>11.10.2564</t>
  </si>
  <si>
    <t xml:space="preserve">ผลต่าง 5000 บาท เป็นบิลยกเลิก </t>
  </si>
  <si>
    <t>12.10.2564</t>
  </si>
  <si>
    <t xml:space="preserve">ผลต่าง 10000 บาท เป็นบิลยกเลิก </t>
  </si>
  <si>
    <t>13.10.2564</t>
  </si>
  <si>
    <t>14.10.2564</t>
  </si>
  <si>
    <t>15.10.2564</t>
  </si>
  <si>
    <t>เอิิง</t>
  </si>
  <si>
    <t>รวม</t>
  </si>
  <si>
    <t>16.10.2564</t>
  </si>
  <si>
    <t>17.10.2564</t>
  </si>
  <si>
    <t>18.10.2564</t>
  </si>
  <si>
    <t>19.10.2564</t>
  </si>
  <si>
    <t>20.10.2564</t>
  </si>
  <si>
    <t>21.10.2564</t>
  </si>
  <si>
    <t>22.10.2564</t>
  </si>
  <si>
    <t>23.10.2564</t>
  </si>
  <si>
    <t>24.10.2564</t>
  </si>
  <si>
    <t>25.10.2564</t>
  </si>
  <si>
    <t>26.10.2564</t>
  </si>
  <si>
    <t>27.10.2564</t>
  </si>
  <si>
    <t>28.10.2564</t>
  </si>
  <si>
    <t>29.10.2564</t>
  </si>
  <si>
    <t>30.10.2564</t>
  </si>
  <si>
    <t>31.10.2564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</si>
</sst>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2">
    <font>
      <sz val="10.0"/>
      <color rgb="FF000000"/>
      <name val="Arial"/>
      <scheme val="minor"/>
    </font>
    <font>
      <b/>
      <sz val="20.0"/>
      <color theme="1"/>
      <name val="&quot;Cordia New&quot;"/>
    </font>
    <font>
      <color theme="1"/>
      <name val="Arial"/>
    </font>
    <font>
      <sz val="20.0"/>
      <color theme="1"/>
      <name val="&quot;Cordia New&quot;"/>
    </font>
    <font/>
    <font>
      <sz val="13.0"/>
      <color theme="1"/>
      <name val="Arial"/>
    </font>
    <font>
      <sz val="13.0"/>
      <color rgb="FFFF0000"/>
      <name val="Arial"/>
    </font>
    <font>
      <sz val="14.0"/>
      <color theme="1"/>
      <name val="Arial"/>
    </font>
    <font>
      <sz val="20.0"/>
      <color theme="1"/>
      <name val="Cordia New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5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5" fontId="5" numFmtId="38" xfId="0" applyAlignment="1" applyBorder="1" applyFont="1" applyNumberFormat="1">
      <alignment horizontal="right" readingOrder="0" vertical="bottom"/>
    </xf>
    <xf borderId="6" fillId="5" fontId="2" numFmtId="38" xfId="0" applyAlignment="1" applyBorder="1" applyFont="1" applyNumberFormat="1">
      <alignment vertical="bottom"/>
    </xf>
    <xf borderId="6" fillId="5" fontId="5" numFmtId="164" xfId="0" applyAlignment="1" applyBorder="1" applyFont="1" applyNumberFormat="1">
      <alignment horizontal="right" vertical="bottom"/>
    </xf>
    <xf borderId="6" fillId="4" fontId="5" numFmtId="38" xfId="0" applyAlignment="1" applyBorder="1" applyFont="1" applyNumberFormat="1">
      <alignment horizontal="right" readingOrder="0" vertical="bottom"/>
    </xf>
    <xf borderId="6" fillId="0" fontId="6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6" fillId="5" fontId="7" numFmtId="38" xfId="0" applyAlignment="1" applyBorder="1" applyFont="1" applyNumberFormat="1">
      <alignment horizontal="right" readingOrder="0" vertical="bottom"/>
    </xf>
    <xf borderId="6" fillId="5" fontId="7" numFmtId="38" xfId="0" applyAlignment="1" applyBorder="1" applyFont="1" applyNumberFormat="1">
      <alignment horizontal="right" vertical="bottom"/>
    </xf>
    <xf borderId="6" fillId="5" fontId="7" numFmtId="164" xfId="0" applyAlignment="1" applyBorder="1" applyFont="1" applyNumberFormat="1">
      <alignment horizontal="right" vertical="bottom"/>
    </xf>
    <xf borderId="6" fillId="4" fontId="7" numFmtId="38" xfId="0" applyAlignment="1" applyBorder="1" applyFont="1" applyNumberFormat="1">
      <alignment horizontal="right" readingOrder="0" vertical="bottom"/>
    </xf>
    <xf borderId="6" fillId="4" fontId="7" numFmtId="38" xfId="0" applyAlignment="1" applyBorder="1" applyFont="1" applyNumberFormat="1">
      <alignment horizontal="right" vertical="bottom"/>
    </xf>
    <xf borderId="6" fillId="6" fontId="7" numFmtId="0" xfId="0" applyAlignment="1" applyBorder="1" applyFill="1" applyFont="1">
      <alignment vertical="bottom"/>
    </xf>
    <xf borderId="6" fillId="6" fontId="7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vertical="bottom"/>
    </xf>
    <xf borderId="4" fillId="5" fontId="7" numFmtId="38" xfId="0" applyAlignment="1" applyBorder="1" applyFont="1" applyNumberFormat="1">
      <alignment horizontal="right" vertical="bottom"/>
    </xf>
    <xf borderId="4" fillId="5" fontId="2" numFmtId="38" xfId="0" applyAlignment="1" applyBorder="1" applyFont="1" applyNumberFormat="1">
      <alignment vertical="bottom"/>
    </xf>
    <xf borderId="4" fillId="5" fontId="7" numFmtId="164" xfId="0" applyAlignment="1" applyBorder="1" applyFont="1" applyNumberFormat="1">
      <alignment horizontal="right" vertical="bottom"/>
    </xf>
    <xf borderId="4" fillId="4" fontId="7" numFmtId="38" xfId="0" applyAlignment="1" applyBorder="1" applyFont="1" applyNumberFormat="1">
      <alignment horizontal="right" vertical="bottom"/>
    </xf>
    <xf borderId="4" fillId="0" fontId="6" numFmtId="164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4" fillId="6" fontId="7" numFmtId="0" xfId="0" applyAlignment="1" applyBorder="1" applyFont="1">
      <alignment vertical="bottom"/>
    </xf>
    <xf borderId="4" fillId="6" fontId="7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6" fillId="0" fontId="11" numFmtId="38" xfId="0" applyAlignment="1" applyBorder="1" applyFont="1" applyNumberFormat="1">
      <alignment horizontal="center" vertical="bottom"/>
    </xf>
    <xf borderId="6" fillId="5" fontId="5" numFmtId="38" xfId="0" applyAlignment="1" applyBorder="1" applyFont="1" applyNumberFormat="1">
      <alignment horizontal="right" vertical="bottom"/>
    </xf>
    <xf borderId="6" fillId="4" fontId="5" numFmtId="38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horizontal="center" readingOrder="0" vertical="bottom"/>
    </xf>
    <xf borderId="4" fillId="5" fontId="7" numFmtId="38" xfId="0" applyAlignment="1" applyBorder="1" applyFont="1" applyNumberFormat="1">
      <alignment horizontal="right" readingOrder="0" vertical="bottom"/>
    </xf>
    <xf borderId="4" fillId="4" fontId="7" numFmtId="38" xfId="0" applyAlignment="1" applyBorder="1" applyFont="1" applyNumberFormat="1">
      <alignment horizontal="right" readingOrder="0" vertical="bottom"/>
    </xf>
    <xf borderId="4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12</v>
      </c>
      <c r="B4" s="14">
        <v>133.0</v>
      </c>
      <c r="C4" s="14">
        <v>979870.0</v>
      </c>
      <c r="D4" s="15"/>
      <c r="E4" s="15"/>
      <c r="F4" s="16">
        <v>979870.0</v>
      </c>
      <c r="G4" s="17">
        <v>133.0</v>
      </c>
      <c r="H4" s="17">
        <v>979870.0</v>
      </c>
      <c r="I4" s="18">
        <f t="shared" ref="I4:I17" si="1">SUM(H4-C4)</f>
        <v>0</v>
      </c>
      <c r="J4" s="19" t="s">
        <v>13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14</v>
      </c>
      <c r="B5" s="21">
        <v>55.0</v>
      </c>
      <c r="C5" s="22">
        <v>266490.0</v>
      </c>
      <c r="D5" s="15"/>
      <c r="E5" s="15"/>
      <c r="F5" s="23">
        <v>266490.0</v>
      </c>
      <c r="G5" s="24">
        <v>55.0</v>
      </c>
      <c r="H5" s="25">
        <v>266490.0</v>
      </c>
      <c r="I5" s="18">
        <f t="shared" si="1"/>
        <v>0</v>
      </c>
      <c r="J5" s="19" t="s">
        <v>15</v>
      </c>
      <c r="K5" s="2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16</v>
      </c>
      <c r="B6" s="21">
        <v>127.0</v>
      </c>
      <c r="C6" s="21">
        <v>1163420.0</v>
      </c>
      <c r="D6" s="15"/>
      <c r="E6" s="15"/>
      <c r="F6" s="23">
        <f t="shared" ref="F6:F17" si="2">SUM(C6)</f>
        <v>1163420</v>
      </c>
      <c r="G6" s="24">
        <v>127.0</v>
      </c>
      <c r="H6" s="24">
        <v>1163420.0</v>
      </c>
      <c r="I6" s="18">
        <f t="shared" si="1"/>
        <v>0</v>
      </c>
      <c r="J6" s="19" t="s">
        <v>13</v>
      </c>
      <c r="K6" s="2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17</v>
      </c>
      <c r="B7" s="21">
        <v>83.0</v>
      </c>
      <c r="C7" s="22">
        <v>891270.0</v>
      </c>
      <c r="D7" s="15"/>
      <c r="E7" s="15"/>
      <c r="F7" s="23">
        <f t="shared" si="2"/>
        <v>891270</v>
      </c>
      <c r="G7" s="24">
        <v>83.0</v>
      </c>
      <c r="H7" s="25">
        <v>891270.0</v>
      </c>
      <c r="I7" s="18">
        <f t="shared" si="1"/>
        <v>0</v>
      </c>
      <c r="J7" s="19" t="s">
        <v>13</v>
      </c>
      <c r="K7" s="2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18</v>
      </c>
      <c r="B8" s="21">
        <v>67.0</v>
      </c>
      <c r="C8" s="21">
        <v>542350.0</v>
      </c>
      <c r="D8" s="15"/>
      <c r="E8" s="15"/>
      <c r="F8" s="23">
        <f t="shared" si="2"/>
        <v>542350</v>
      </c>
      <c r="G8" s="24">
        <v>67.0</v>
      </c>
      <c r="H8" s="25">
        <v>542350.0</v>
      </c>
      <c r="I8" s="18">
        <f t="shared" si="1"/>
        <v>0</v>
      </c>
      <c r="J8" s="19" t="s">
        <v>13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19</v>
      </c>
      <c r="B9" s="21">
        <v>66.0</v>
      </c>
      <c r="C9" s="21">
        <v>542500.0</v>
      </c>
      <c r="D9" s="15"/>
      <c r="E9" s="15"/>
      <c r="F9" s="23">
        <f t="shared" si="2"/>
        <v>542500</v>
      </c>
      <c r="G9" s="24">
        <v>66.0</v>
      </c>
      <c r="H9" s="24">
        <v>542500.0</v>
      </c>
      <c r="I9" s="18">
        <f t="shared" si="1"/>
        <v>0</v>
      </c>
      <c r="J9" s="19" t="s">
        <v>20</v>
      </c>
      <c r="K9" s="2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21</v>
      </c>
      <c r="B10" s="21">
        <v>73.0</v>
      </c>
      <c r="C10" s="22">
        <v>552730.0</v>
      </c>
      <c r="D10" s="15"/>
      <c r="E10" s="15"/>
      <c r="F10" s="23">
        <f t="shared" si="2"/>
        <v>552730</v>
      </c>
      <c r="G10" s="24">
        <v>73.0</v>
      </c>
      <c r="H10" s="25">
        <v>552730.0</v>
      </c>
      <c r="I10" s="18">
        <f t="shared" si="1"/>
        <v>0</v>
      </c>
      <c r="J10" s="19" t="s">
        <v>13</v>
      </c>
      <c r="K10" s="2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22</v>
      </c>
      <c r="B11" s="21">
        <v>71.0</v>
      </c>
      <c r="C11" s="22">
        <v>724890.0</v>
      </c>
      <c r="D11" s="15"/>
      <c r="E11" s="15"/>
      <c r="F11" s="23">
        <f t="shared" si="2"/>
        <v>724890</v>
      </c>
      <c r="G11" s="24">
        <v>71.0</v>
      </c>
      <c r="H11" s="25">
        <v>724890.0</v>
      </c>
      <c r="I11" s="18">
        <f t="shared" si="1"/>
        <v>0</v>
      </c>
      <c r="J11" s="19" t="s">
        <v>13</v>
      </c>
      <c r="K11" s="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23</v>
      </c>
      <c r="B12" s="21">
        <v>68.0</v>
      </c>
      <c r="C12" s="22">
        <v>499810.0</v>
      </c>
      <c r="D12" s="15"/>
      <c r="E12" s="15"/>
      <c r="F12" s="23">
        <f t="shared" si="2"/>
        <v>499810</v>
      </c>
      <c r="G12" s="24">
        <v>68.0</v>
      </c>
      <c r="H12" s="25">
        <v>499810.0</v>
      </c>
      <c r="I12" s="18">
        <f t="shared" si="1"/>
        <v>0</v>
      </c>
      <c r="J12" s="19" t="s">
        <v>15</v>
      </c>
      <c r="K12" s="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24</v>
      </c>
      <c r="B13" s="21">
        <v>85.0</v>
      </c>
      <c r="C13" s="22">
        <v>910130.0</v>
      </c>
      <c r="D13" s="15"/>
      <c r="E13" s="15"/>
      <c r="F13" s="23">
        <f t="shared" si="2"/>
        <v>910130</v>
      </c>
      <c r="G13" s="24">
        <v>85.0</v>
      </c>
      <c r="H13" s="24">
        <v>915130.0</v>
      </c>
      <c r="I13" s="18">
        <f t="shared" si="1"/>
        <v>5000</v>
      </c>
      <c r="J13" s="19" t="s">
        <v>13</v>
      </c>
      <c r="K13" s="27" t="s">
        <v>25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 t="s">
        <v>26</v>
      </c>
      <c r="B14" s="29">
        <v>86.0</v>
      </c>
      <c r="C14" s="29">
        <v>765330.0</v>
      </c>
      <c r="D14" s="30"/>
      <c r="E14" s="30"/>
      <c r="F14" s="31">
        <f t="shared" si="2"/>
        <v>765330</v>
      </c>
      <c r="G14" s="32">
        <v>86.0</v>
      </c>
      <c r="H14" s="32">
        <v>775330.0</v>
      </c>
      <c r="I14" s="33">
        <f t="shared" si="1"/>
        <v>10000</v>
      </c>
      <c r="J14" s="34" t="s">
        <v>15</v>
      </c>
      <c r="K14" s="35" t="s">
        <v>27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28</v>
      </c>
      <c r="B15" s="21">
        <v>10.0</v>
      </c>
      <c r="C15" s="21">
        <v>66200.0</v>
      </c>
      <c r="D15" s="15"/>
      <c r="E15" s="15"/>
      <c r="F15" s="23">
        <f t="shared" si="2"/>
        <v>66200</v>
      </c>
      <c r="G15" s="24">
        <v>10.0</v>
      </c>
      <c r="H15" s="24">
        <v>66200.0</v>
      </c>
      <c r="I15" s="18">
        <f t="shared" si="1"/>
        <v>0</v>
      </c>
      <c r="J15" s="19" t="s">
        <v>13</v>
      </c>
      <c r="K15" s="3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29</v>
      </c>
      <c r="B16" s="21">
        <v>85.0</v>
      </c>
      <c r="C16" s="21">
        <v>743340.0</v>
      </c>
      <c r="D16" s="15"/>
      <c r="E16" s="15"/>
      <c r="F16" s="23">
        <f t="shared" si="2"/>
        <v>743340</v>
      </c>
      <c r="G16" s="24">
        <v>85.0</v>
      </c>
      <c r="H16" s="24">
        <v>743340.0</v>
      </c>
      <c r="I16" s="18">
        <f t="shared" si="1"/>
        <v>0</v>
      </c>
      <c r="J16" s="19" t="s">
        <v>13</v>
      </c>
      <c r="K16" s="3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30</v>
      </c>
      <c r="B17" s="21">
        <v>72.0</v>
      </c>
      <c r="C17" s="22">
        <v>844860.0</v>
      </c>
      <c r="D17" s="15"/>
      <c r="E17" s="15"/>
      <c r="F17" s="23">
        <f t="shared" si="2"/>
        <v>844860</v>
      </c>
      <c r="G17" s="24">
        <v>72.0</v>
      </c>
      <c r="H17" s="25">
        <v>844860.0</v>
      </c>
      <c r="I17" s="18">
        <f t="shared" si="1"/>
        <v>0</v>
      </c>
      <c r="J17" s="19" t="s">
        <v>31</v>
      </c>
      <c r="K17" s="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7" t="s">
        <v>32</v>
      </c>
      <c r="B18" s="5"/>
      <c r="C18" s="5"/>
      <c r="D18" s="5"/>
      <c r="E18" s="6"/>
      <c r="F18" s="38">
        <f>SUM(F4:F17)</f>
        <v>9493190</v>
      </c>
      <c r="G18" s="39"/>
      <c r="H18" s="38">
        <f>SUM(H4:H17)</f>
        <v>9508190</v>
      </c>
      <c r="I18" s="40">
        <f>SUM(I13:I17)</f>
        <v>15000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8:E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75"/>
    <col customWidth="1" min="11" max="11" width="6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33</v>
      </c>
      <c r="B4" s="14">
        <v>43.0</v>
      </c>
      <c r="C4" s="41">
        <v>391470.0</v>
      </c>
      <c r="D4" s="15"/>
      <c r="E4" s="15"/>
      <c r="F4" s="23">
        <f t="shared" ref="F4:F7" si="1">SUM(C4)</f>
        <v>391470</v>
      </c>
      <c r="G4" s="17">
        <v>43.0</v>
      </c>
      <c r="H4" s="42">
        <v>391470.0</v>
      </c>
      <c r="I4" s="18">
        <f t="shared" ref="I4:I19" si="2">SUM(H4-C4)</f>
        <v>0</v>
      </c>
      <c r="J4" s="19" t="s">
        <v>15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34</v>
      </c>
      <c r="B5" s="21">
        <v>25.0</v>
      </c>
      <c r="C5" s="22">
        <v>258950.0</v>
      </c>
      <c r="D5" s="15"/>
      <c r="E5" s="15"/>
      <c r="F5" s="23">
        <f t="shared" si="1"/>
        <v>258950</v>
      </c>
      <c r="G5" s="24">
        <v>25.0</v>
      </c>
      <c r="H5" s="25">
        <v>258950.0</v>
      </c>
      <c r="I5" s="18">
        <f t="shared" si="2"/>
        <v>0</v>
      </c>
      <c r="J5" s="19" t="s">
        <v>15</v>
      </c>
      <c r="K5" s="2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35</v>
      </c>
      <c r="B6" s="21">
        <v>66.0</v>
      </c>
      <c r="C6" s="22">
        <v>636140.0</v>
      </c>
      <c r="D6" s="15"/>
      <c r="E6" s="15"/>
      <c r="F6" s="23">
        <f t="shared" si="1"/>
        <v>636140</v>
      </c>
      <c r="G6" s="24">
        <v>66.0</v>
      </c>
      <c r="H6" s="24">
        <v>636140.0</v>
      </c>
      <c r="I6" s="18">
        <f t="shared" si="2"/>
        <v>0</v>
      </c>
      <c r="J6" s="19" t="s">
        <v>13</v>
      </c>
      <c r="K6" s="2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36</v>
      </c>
      <c r="B7" s="21">
        <v>55.0</v>
      </c>
      <c r="C7" s="22">
        <v>415820.0</v>
      </c>
      <c r="D7" s="15"/>
      <c r="E7" s="15"/>
      <c r="F7" s="23">
        <f t="shared" si="1"/>
        <v>415820</v>
      </c>
      <c r="G7" s="24">
        <v>55.0</v>
      </c>
      <c r="H7" s="25">
        <v>415820.0</v>
      </c>
      <c r="I7" s="18">
        <f t="shared" si="2"/>
        <v>0</v>
      </c>
      <c r="J7" s="19" t="s">
        <v>13</v>
      </c>
      <c r="K7" s="2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37</v>
      </c>
      <c r="B8" s="21">
        <v>56.0</v>
      </c>
      <c r="C8" s="22">
        <v>647550.0</v>
      </c>
      <c r="D8" s="15"/>
      <c r="E8" s="15"/>
      <c r="F8" s="23">
        <v>647550.0</v>
      </c>
      <c r="G8" s="24">
        <v>56.0</v>
      </c>
      <c r="H8" s="25">
        <v>647550.0</v>
      </c>
      <c r="I8" s="18">
        <f t="shared" si="2"/>
        <v>0</v>
      </c>
      <c r="J8" s="19" t="s">
        <v>15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38</v>
      </c>
      <c r="B9" s="21">
        <v>62.0</v>
      </c>
      <c r="C9" s="21">
        <v>514790.0</v>
      </c>
      <c r="D9" s="15"/>
      <c r="E9" s="15"/>
      <c r="F9" s="23">
        <f t="shared" ref="F9:F17" si="3">SUM(C9)</f>
        <v>514790</v>
      </c>
      <c r="G9" s="24">
        <v>62.0</v>
      </c>
      <c r="H9" s="24">
        <v>514790.0</v>
      </c>
      <c r="I9" s="18">
        <f t="shared" si="2"/>
        <v>0</v>
      </c>
      <c r="J9" s="19" t="s">
        <v>13</v>
      </c>
      <c r="K9" s="2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39</v>
      </c>
      <c r="B10" s="21">
        <v>43.0</v>
      </c>
      <c r="C10" s="22">
        <v>440160.0</v>
      </c>
      <c r="D10" s="15"/>
      <c r="E10" s="15"/>
      <c r="F10" s="23">
        <f t="shared" si="3"/>
        <v>440160</v>
      </c>
      <c r="G10" s="24">
        <v>43.0</v>
      </c>
      <c r="H10" s="25">
        <v>440160.0</v>
      </c>
      <c r="I10" s="18">
        <f t="shared" si="2"/>
        <v>0</v>
      </c>
      <c r="J10" s="19" t="s">
        <v>15</v>
      </c>
      <c r="K10" s="2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40</v>
      </c>
      <c r="B11" s="21">
        <v>14.0</v>
      </c>
      <c r="C11" s="22">
        <v>168850.0</v>
      </c>
      <c r="D11" s="15"/>
      <c r="E11" s="15"/>
      <c r="F11" s="23">
        <f t="shared" si="3"/>
        <v>168850</v>
      </c>
      <c r="G11" s="24">
        <v>14.0</v>
      </c>
      <c r="H11" s="25">
        <v>168850.0</v>
      </c>
      <c r="I11" s="18">
        <f t="shared" si="2"/>
        <v>0</v>
      </c>
      <c r="J11" s="19" t="s">
        <v>15</v>
      </c>
      <c r="K11" s="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41</v>
      </c>
      <c r="B12" s="21">
        <v>36.0</v>
      </c>
      <c r="C12" s="21">
        <v>309200.0</v>
      </c>
      <c r="D12" s="15"/>
      <c r="E12" s="15"/>
      <c r="F12" s="23">
        <f t="shared" si="3"/>
        <v>309200</v>
      </c>
      <c r="G12" s="24">
        <v>36.0</v>
      </c>
      <c r="H12" s="24">
        <v>309200.0</v>
      </c>
      <c r="I12" s="18">
        <f t="shared" si="2"/>
        <v>0</v>
      </c>
      <c r="J12" s="19" t="s">
        <v>20</v>
      </c>
      <c r="K12" s="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42</v>
      </c>
      <c r="B13" s="21">
        <v>75.0</v>
      </c>
      <c r="C13" s="22">
        <v>563870.0</v>
      </c>
      <c r="D13" s="15"/>
      <c r="E13" s="15"/>
      <c r="F13" s="23">
        <f t="shared" si="3"/>
        <v>563870</v>
      </c>
      <c r="G13" s="24">
        <v>75.0</v>
      </c>
      <c r="H13" s="25">
        <v>563870.0</v>
      </c>
      <c r="I13" s="18">
        <f t="shared" si="2"/>
        <v>0</v>
      </c>
      <c r="J13" s="19" t="s">
        <v>15</v>
      </c>
      <c r="K13" s="2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3" t="s">
        <v>43</v>
      </c>
      <c r="B14" s="44">
        <v>51.0</v>
      </c>
      <c r="C14" s="29">
        <v>376837.0</v>
      </c>
      <c r="D14" s="30"/>
      <c r="E14" s="30"/>
      <c r="F14" s="31">
        <f t="shared" si="3"/>
        <v>376837</v>
      </c>
      <c r="G14" s="45">
        <v>51.0</v>
      </c>
      <c r="H14" s="32">
        <v>376837.0</v>
      </c>
      <c r="I14" s="33">
        <f t="shared" si="2"/>
        <v>0</v>
      </c>
      <c r="J14" s="46" t="s">
        <v>13</v>
      </c>
      <c r="K14" s="2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44</v>
      </c>
      <c r="B15" s="21">
        <v>77.0</v>
      </c>
      <c r="C15" s="22">
        <v>576670.0</v>
      </c>
      <c r="D15" s="15"/>
      <c r="E15" s="15"/>
      <c r="F15" s="23">
        <f t="shared" si="3"/>
        <v>576670</v>
      </c>
      <c r="G15" s="24">
        <v>77.0</v>
      </c>
      <c r="H15" s="25">
        <v>576670.0</v>
      </c>
      <c r="I15" s="18">
        <f t="shared" si="2"/>
        <v>0</v>
      </c>
      <c r="J15" s="46" t="s">
        <v>13</v>
      </c>
      <c r="K15" s="2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45</v>
      </c>
      <c r="B16" s="21">
        <v>65.0</v>
      </c>
      <c r="C16" s="21">
        <v>332510.0</v>
      </c>
      <c r="D16" s="15"/>
      <c r="E16" s="15"/>
      <c r="F16" s="23">
        <f t="shared" si="3"/>
        <v>332510</v>
      </c>
      <c r="G16" s="24">
        <v>65.0</v>
      </c>
      <c r="H16" s="24">
        <v>332510.0</v>
      </c>
      <c r="I16" s="18">
        <f t="shared" si="2"/>
        <v>0</v>
      </c>
      <c r="J16" s="19" t="s">
        <v>20</v>
      </c>
      <c r="K16" s="2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46</v>
      </c>
      <c r="B17" s="21">
        <v>67.0</v>
      </c>
      <c r="C17" s="21">
        <v>419567.0</v>
      </c>
      <c r="D17" s="15"/>
      <c r="E17" s="15"/>
      <c r="F17" s="23">
        <f t="shared" si="3"/>
        <v>419567</v>
      </c>
      <c r="G17" s="24">
        <v>67.0</v>
      </c>
      <c r="H17" s="24">
        <v>419567.0</v>
      </c>
      <c r="I17" s="18">
        <f t="shared" si="2"/>
        <v>0</v>
      </c>
      <c r="J17" s="19" t="s">
        <v>20</v>
      </c>
      <c r="K17" s="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47</v>
      </c>
      <c r="B18" s="44">
        <v>65.0</v>
      </c>
      <c r="C18" s="29">
        <v>525620.0</v>
      </c>
      <c r="D18" s="30"/>
      <c r="E18" s="30"/>
      <c r="F18" s="23">
        <v>525620.0</v>
      </c>
      <c r="G18" s="45">
        <v>67.0</v>
      </c>
      <c r="H18" s="32">
        <v>525620.0</v>
      </c>
      <c r="I18" s="33">
        <f t="shared" si="2"/>
        <v>0</v>
      </c>
      <c r="J18" s="19" t="s">
        <v>20</v>
      </c>
      <c r="K18" s="3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48</v>
      </c>
      <c r="B19" s="21">
        <v>49.0</v>
      </c>
      <c r="C19" s="22">
        <v>366040.0</v>
      </c>
      <c r="D19" s="15"/>
      <c r="E19" s="15"/>
      <c r="F19" s="23">
        <f>SUM(C19)</f>
        <v>366040</v>
      </c>
      <c r="G19" s="24">
        <v>49.0</v>
      </c>
      <c r="H19" s="25">
        <v>366040.0</v>
      </c>
      <c r="I19" s="18">
        <f t="shared" si="2"/>
        <v>0</v>
      </c>
      <c r="J19" s="46" t="s">
        <v>13</v>
      </c>
      <c r="K19" s="2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7" t="s">
        <v>32</v>
      </c>
      <c r="B20" s="5"/>
      <c r="C20" s="5"/>
      <c r="D20" s="5"/>
      <c r="E20" s="6"/>
      <c r="F20" s="38">
        <f>SUM(F4:F17)</f>
        <v>6052384</v>
      </c>
      <c r="G20" s="39"/>
      <c r="H20" s="38">
        <f>SUM(H4:H19)</f>
        <v>6944044</v>
      </c>
      <c r="I20" s="40">
        <f>SUM(I17:I19)</f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20:E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
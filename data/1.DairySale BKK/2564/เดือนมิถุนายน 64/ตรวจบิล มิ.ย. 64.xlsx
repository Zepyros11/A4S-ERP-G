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Copy of Copy of Sheet1" sheetId="3" r:id="rId6"/>
  </sheets>
  <definedNames/>
  <calcPr/>
</workbook>
</file>

<file path=xl/sharedStrings.xml><?xml version="1.0" encoding="utf-8"?>
<sst xmlns="http://schemas.openxmlformats.org/spreadsheetml/2006/main" count="120" uniqueCount="68">
  <si>
    <t>ตรวจบิล มิ.ย. 64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</si>
  <si>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</si>
  <si>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</si>
  <si>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</si>
  <si>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</si>
  <si>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</si>
  <si>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</si>
  <si>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</si>
  <si>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</si>
  <si>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ชุดสมัคร</t>
  </si>
  <si>
    <t>อื่นๆ</t>
  </si>
  <si>
    <t>คงเหลือ</t>
  </si>
  <si>
    <t>01.06.64</t>
  </si>
  <si>
    <t>อริสรา</t>
  </si>
  <si>
    <t>ผลต่าง 300 บาท เป็นบิล dummy</t>
  </si>
  <si>
    <t>02.06.64</t>
  </si>
  <si>
    <t>ผลต่าง 2250บาท เป็นบิล dummy</t>
  </si>
  <si>
    <t>03.06.64</t>
  </si>
  <si>
    <t>มุรณี</t>
  </si>
  <si>
    <t>ผลต่าง 20,150บาท เป็นบิลยกเลิกและลงใหม่ลงยอด dummy</t>
  </si>
  <si>
    <t>04.06.64</t>
  </si>
  <si>
    <t>ผลต่าง 15050บาท เป็นบิลยกเลิก</t>
  </si>
  <si>
    <t>05.06.64</t>
  </si>
  <si>
    <t>06.06.64</t>
  </si>
  <si>
    <t>07.06.64</t>
  </si>
  <si>
    <t>สาริยา</t>
  </si>
  <si>
    <t>08.06.64</t>
  </si>
  <si>
    <t>ผลต่าง 5000บาท เป็นบิลยกเลิกลงdaily เรียบร้อยค่ะ</t>
  </si>
  <si>
    <t>09.06.64</t>
  </si>
  <si>
    <t>ผลต่าง 3600บาท เป็นบิลยกเลิกลงdaily เรียบร้อยค่ะ</t>
  </si>
  <si>
    <t>10.06.64</t>
  </si>
  <si>
    <t>รวม</t>
  </si>
  <si>
    <t>11.06.64</t>
  </si>
  <si>
    <t>12.06.65</t>
  </si>
  <si>
    <t>ผลต่าง 4850บาท เป็นบิลยกเลิกลงdaily เรียบร้อยค่ะ</t>
  </si>
  <si>
    <t>13.06.65</t>
  </si>
  <si>
    <t>ผลต่าง 3300บาท เป็นบิลdummy</t>
  </si>
  <si>
    <t>14.06.64</t>
  </si>
  <si>
    <t>ผลต่าง 700บาท เป็นบิลยกเลิก ลงเดลี่เรียบร้อยค่ะ</t>
  </si>
  <si>
    <t>15.06.64</t>
  </si>
  <si>
    <t>ผลต่าง 16500บาท เป็นบิลยกเลิกและ dummy ลงdaily เรียบร้อยค่ะ</t>
  </si>
  <si>
    <t>16.06.64</t>
  </si>
  <si>
    <t>17.06.64</t>
  </si>
  <si>
    <t>มุุรณี</t>
  </si>
  <si>
    <t>18.06.64</t>
  </si>
  <si>
    <t>แจ๊ค</t>
  </si>
  <si>
    <t>19.06.64</t>
  </si>
  <si>
    <t>ผลต่าง 1200บาท เป็นบิลยกเลิก ลงเดลี่เรียบร้อยค่ะ</t>
  </si>
  <si>
    <t>20.06.64</t>
  </si>
  <si>
    <t>ผลต่าง 42850บาท เป็นบิลยกเลิก ลงเดลี่เรียบร้อยค่ะ</t>
  </si>
  <si>
    <t>21.06.64</t>
  </si>
  <si>
    <t>22.06.65</t>
  </si>
  <si>
    <t>23.06.65</t>
  </si>
  <si>
    <t>24.06.64</t>
  </si>
  <si>
    <t>แจ๊๊ค</t>
  </si>
  <si>
    <t>ผลต่าง 6000 บาท เนื่องจากเป็นบิลยกเลิกลง DailySale เรียบร้อยครับ</t>
  </si>
  <si>
    <t>25.06.64</t>
  </si>
  <si>
    <t>26.06.65</t>
  </si>
  <si>
    <t>นี</t>
  </si>
  <si>
    <t>27.06.64</t>
  </si>
  <si>
    <t>ปูน</t>
  </si>
  <si>
    <t>ผลต่าง 7800 บาท เนื่องจากเป็นบิลยกเลิก และ dummyลง DailySale เรียบร้อยค่ะ</t>
  </si>
  <si>
    <t>28.06.64</t>
  </si>
  <si>
    <t>29.06.64</t>
  </si>
  <si>
    <t>เอิง</t>
  </si>
  <si>
    <t>ผลต่าง 5300 บาท เนื่องจากเป็นบิลยกเลิก และ dummyลง DailySale เรียบร้อยค่ะ</t>
  </si>
  <si>
    <t>30.06.64</t>
  </si>
  <si>
    <t>ผลต่าง 14500 บาท เนื่องจากเป็นบิลยกเลิก และ dummyลง DailySale เรียบร้อยค่ะ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</si>
</sst>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2">
    <font>
      <sz val="10.0"/>
      <color rgb="FF000000"/>
      <name val="Arial"/>
      <scheme val="minor"/>
    </font>
    <font>
      <b/>
      <sz val="20.0"/>
      <color theme="1"/>
      <name val="&quot;Cordia New&quot;"/>
    </font>
    <font>
      <color theme="1"/>
      <name val="Arial"/>
    </font>
    <font>
      <sz val="20.0"/>
      <color theme="1"/>
      <name val="&quot;Cordia New&quot;"/>
    </font>
    <font/>
    <font>
      <sz val="20.0"/>
      <color rgb="FF000000"/>
      <name val="&quot;Cordia New&quot;"/>
    </font>
    <font>
      <sz val="14.0"/>
      <color rgb="FFFF0000"/>
      <name val="Arial"/>
    </font>
    <font>
      <sz val="14.0"/>
      <color theme="1"/>
      <name val="Arial"/>
    </font>
    <font>
      <sz val="13.0"/>
      <color theme="1"/>
      <name val="Arial"/>
    </font>
    <font>
      <b/>
      <u/>
      <sz val="20.0"/>
      <color theme="1"/>
      <name val="&quot;Cordia New&quot;"/>
    </font>
    <font>
      <b/>
      <u/>
      <sz val="20.0"/>
      <color theme="1"/>
      <name val="&quot;Cordia New&quot;"/>
    </font>
    <font>
      <b/>
      <u/>
      <sz val="14.0"/>
      <color rgb="FFFF0000"/>
      <name val="&quot;Cordia New&quot;"/>
    </font>
  </fonts>
  <fills count="6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5" fontId="3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5" fontId="3" numFmtId="0" xfId="0" applyAlignment="1" applyBorder="1" applyFont="1">
      <alignment horizontal="center" vertical="bottom"/>
    </xf>
    <xf borderId="6" fillId="4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readingOrder="0" vertical="bottom"/>
    </xf>
    <xf borderId="6" fillId="5" fontId="5" numFmtId="38" xfId="0" applyAlignment="1" applyBorder="1" applyFont="1" applyNumberFormat="1">
      <alignment horizontal="center" readingOrder="0" vertical="bottom"/>
    </xf>
    <xf borderId="6" fillId="5" fontId="2" numFmtId="38" xfId="0" applyAlignment="1" applyBorder="1" applyFont="1" applyNumberFormat="1">
      <alignment vertical="bottom"/>
    </xf>
    <xf borderId="6" fillId="5" fontId="3" numFmtId="164" xfId="0" applyAlignment="1" applyBorder="1" applyFont="1" applyNumberFormat="1">
      <alignment horizontal="center" vertical="bottom"/>
    </xf>
    <xf borderId="6" fillId="4" fontId="5" numFmtId="38" xfId="0" applyAlignment="1" applyBorder="1" applyFont="1" applyNumberFormat="1">
      <alignment horizontal="center" readingOrder="0" vertical="bottom"/>
    </xf>
    <xf borderId="6" fillId="4" fontId="5" numFmtId="38" xfId="0" applyAlignment="1" applyBorder="1" applyFont="1" applyNumberFormat="1">
      <alignment horizontal="center" vertical="bottom"/>
    </xf>
    <xf borderId="6" fillId="0" fontId="6" numFmtId="164" xfId="0" applyAlignment="1" applyBorder="1" applyFont="1" applyNumberFormat="1">
      <alignment horizontal="right" vertical="bottom"/>
    </xf>
    <xf borderId="6" fillId="0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center" vertical="bottom"/>
    </xf>
    <xf borderId="6" fillId="0" fontId="7" numFmtId="164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6" fillId="5" fontId="8" numFmtId="38" xfId="0" applyAlignment="1" applyBorder="1" applyFont="1" applyNumberFormat="1">
      <alignment horizontal="right" readingOrder="0" vertical="bottom"/>
    </xf>
    <xf borderId="2" fillId="0" fontId="9" numFmtId="0" xfId="0" applyAlignment="1" applyBorder="1" applyFont="1">
      <alignment horizontal="center" vertical="bottom"/>
    </xf>
    <xf borderId="6" fillId="0" fontId="10" numFmtId="38" xfId="0" applyAlignment="1" applyBorder="1" applyFont="1" applyNumberFormat="1">
      <alignment horizontal="center" vertical="bottom"/>
    </xf>
    <xf borderId="6" fillId="0" fontId="11" numFmtId="38" xfId="0" applyAlignment="1" applyBorder="1" applyFont="1" applyNumberFormat="1">
      <alignment horizontal="center" vertical="bottom"/>
    </xf>
    <xf borderId="6" fillId="5" fontId="3" numFmtId="164" xfId="0" applyAlignment="1" applyBorder="1" applyFont="1" applyNumberFormat="1">
      <alignment horizontal="center" readingOrder="0" vertical="bottom"/>
    </xf>
    <xf borderId="6" fillId="0" fontId="6" numFmtId="16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69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8" t="s">
        <v>4</v>
      </c>
      <c r="J2" s="8" t="s">
        <v>5</v>
      </c>
      <c r="K2" s="9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7</v>
      </c>
      <c r="H3" s="12" t="s">
        <v>8</v>
      </c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12</v>
      </c>
      <c r="B4" s="14">
        <v>135.0</v>
      </c>
      <c r="C4" s="14">
        <v>1433763.0</v>
      </c>
      <c r="D4" s="15"/>
      <c r="E4" s="15"/>
      <c r="F4" s="16">
        <f t="shared" ref="F4:F13" si="1">SUM(C4)</f>
        <v>1433763</v>
      </c>
      <c r="G4" s="17">
        <v>135.0</v>
      </c>
      <c r="H4" s="18">
        <v>1434063.0</v>
      </c>
      <c r="I4" s="19">
        <f t="shared" ref="I4:I13" si="2">SUM(H4-C4)</f>
        <v>300</v>
      </c>
      <c r="J4" s="13" t="s">
        <v>13</v>
      </c>
      <c r="K4" s="20" t="s">
        <v>14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15</v>
      </c>
      <c r="B5" s="14">
        <v>116.0</v>
      </c>
      <c r="C5" s="14">
        <v>1039472.0</v>
      </c>
      <c r="D5" s="15"/>
      <c r="E5" s="15"/>
      <c r="F5" s="16">
        <f t="shared" si="1"/>
        <v>1039472</v>
      </c>
      <c r="G5" s="17">
        <v>116.0</v>
      </c>
      <c r="H5" s="18">
        <v>1041722.0</v>
      </c>
      <c r="I5" s="19">
        <f t="shared" si="2"/>
        <v>2250</v>
      </c>
      <c r="J5" s="21"/>
      <c r="K5" s="20" t="s">
        <v>16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17</v>
      </c>
      <c r="B6" s="14">
        <v>86.0</v>
      </c>
      <c r="C6" s="14">
        <v>897450.0</v>
      </c>
      <c r="D6" s="15"/>
      <c r="E6" s="15"/>
      <c r="F6" s="16">
        <f t="shared" si="1"/>
        <v>897450</v>
      </c>
      <c r="G6" s="17">
        <v>86.0</v>
      </c>
      <c r="H6" s="17">
        <v>917600.0</v>
      </c>
      <c r="I6" s="22">
        <f t="shared" si="2"/>
        <v>20150</v>
      </c>
      <c r="J6" s="13" t="s">
        <v>18</v>
      </c>
      <c r="K6" s="20" t="s">
        <v>19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20</v>
      </c>
      <c r="B7" s="14">
        <v>97.0</v>
      </c>
      <c r="C7" s="14">
        <v>1061460.0</v>
      </c>
      <c r="D7" s="15"/>
      <c r="E7" s="15"/>
      <c r="F7" s="16">
        <f t="shared" si="1"/>
        <v>1061460</v>
      </c>
      <c r="G7" s="17">
        <v>97.0</v>
      </c>
      <c r="H7" s="18">
        <v>1076510.0</v>
      </c>
      <c r="I7" s="22">
        <f t="shared" si="2"/>
        <v>15050</v>
      </c>
      <c r="J7" s="13" t="s">
        <v>13</v>
      </c>
      <c r="K7" s="20" t="s">
        <v>21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22</v>
      </c>
      <c r="B8" s="14">
        <v>131.0</v>
      </c>
      <c r="C8" s="14">
        <v>1388235.0</v>
      </c>
      <c r="D8" s="15"/>
      <c r="E8" s="15"/>
      <c r="F8" s="16">
        <f t="shared" si="1"/>
        <v>1388235</v>
      </c>
      <c r="G8" s="17">
        <v>131.0</v>
      </c>
      <c r="H8" s="17">
        <v>1388235.0</v>
      </c>
      <c r="I8" s="22">
        <f t="shared" si="2"/>
        <v>0</v>
      </c>
      <c r="J8" s="13" t="s">
        <v>13</v>
      </c>
      <c r="K8" s="2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23</v>
      </c>
      <c r="B9" s="14">
        <v>55.0</v>
      </c>
      <c r="C9" s="14">
        <v>538800.0</v>
      </c>
      <c r="D9" s="15"/>
      <c r="E9" s="15"/>
      <c r="F9" s="16">
        <f t="shared" si="1"/>
        <v>538800</v>
      </c>
      <c r="G9" s="17">
        <v>55.0</v>
      </c>
      <c r="H9" s="17">
        <v>538800.0</v>
      </c>
      <c r="I9" s="22">
        <f t="shared" si="2"/>
        <v>0</v>
      </c>
      <c r="J9" s="13" t="s">
        <v>13</v>
      </c>
      <c r="K9" s="2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24</v>
      </c>
      <c r="B10" s="14">
        <v>124.0</v>
      </c>
      <c r="C10" s="14">
        <v>1562700.0</v>
      </c>
      <c r="D10" s="15"/>
      <c r="E10" s="15"/>
      <c r="F10" s="16">
        <f t="shared" si="1"/>
        <v>1562700</v>
      </c>
      <c r="G10" s="17">
        <v>124.0</v>
      </c>
      <c r="H10" s="17">
        <v>1562700.0</v>
      </c>
      <c r="I10" s="22">
        <f t="shared" si="2"/>
        <v>0</v>
      </c>
      <c r="J10" s="13" t="s">
        <v>25</v>
      </c>
      <c r="K10" s="2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26</v>
      </c>
      <c r="B11" s="14">
        <v>96.0</v>
      </c>
      <c r="C11" s="14">
        <v>1001635.0</v>
      </c>
      <c r="D11" s="15"/>
      <c r="E11" s="15"/>
      <c r="F11" s="16">
        <f t="shared" si="1"/>
        <v>1001635</v>
      </c>
      <c r="G11" s="17">
        <v>96.0</v>
      </c>
      <c r="H11" s="18">
        <v>1006635.0</v>
      </c>
      <c r="I11" s="22">
        <f t="shared" si="2"/>
        <v>5000</v>
      </c>
      <c r="J11" s="13" t="s">
        <v>13</v>
      </c>
      <c r="K11" s="20" t="s">
        <v>27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28</v>
      </c>
      <c r="B12" s="14">
        <v>98.0</v>
      </c>
      <c r="C12" s="25">
        <v>1003420.0</v>
      </c>
      <c r="D12" s="15"/>
      <c r="E12" s="15"/>
      <c r="F12" s="16">
        <f t="shared" si="1"/>
        <v>1003420</v>
      </c>
      <c r="G12" s="17">
        <v>98.0</v>
      </c>
      <c r="H12" s="18">
        <v>1007020.0</v>
      </c>
      <c r="I12" s="22">
        <f t="shared" si="2"/>
        <v>3600</v>
      </c>
      <c r="J12" s="13" t="s">
        <v>13</v>
      </c>
      <c r="K12" s="20" t="s">
        <v>29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30</v>
      </c>
      <c r="B13" s="14">
        <v>114.0</v>
      </c>
      <c r="C13" s="14">
        <v>1399560.0</v>
      </c>
      <c r="D13" s="15"/>
      <c r="E13" s="15"/>
      <c r="F13" s="16">
        <f t="shared" si="1"/>
        <v>1399560</v>
      </c>
      <c r="G13" s="17">
        <v>114.0</v>
      </c>
      <c r="H13" s="17">
        <v>1399560.0</v>
      </c>
      <c r="I13" s="22">
        <f t="shared" si="2"/>
        <v>0</v>
      </c>
      <c r="J13" s="13" t="s">
        <v>18</v>
      </c>
      <c r="K13" s="2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6" t="s">
        <v>31</v>
      </c>
      <c r="B14" s="5"/>
      <c r="C14" s="5"/>
      <c r="D14" s="5"/>
      <c r="E14" s="6"/>
      <c r="F14" s="27">
        <f>SUM(F4:F9)</f>
        <v>6359180</v>
      </c>
      <c r="G14" s="23"/>
      <c r="H14" s="27">
        <f>SUM(H4:H9)</f>
        <v>6396930</v>
      </c>
      <c r="I14" s="28">
        <f>SUM(I4:I10)</f>
        <v>37750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4:E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69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8" t="s">
        <v>4</v>
      </c>
      <c r="J2" s="8" t="s">
        <v>5</v>
      </c>
      <c r="K2" s="9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7</v>
      </c>
      <c r="H3" s="12" t="s">
        <v>8</v>
      </c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32</v>
      </c>
      <c r="B4" s="14">
        <v>94.0</v>
      </c>
      <c r="C4" s="14">
        <v>1165010.0</v>
      </c>
      <c r="D4" s="15"/>
      <c r="E4" s="15"/>
      <c r="F4" s="29">
        <v>1165010.0</v>
      </c>
      <c r="G4" s="17">
        <v>94.0</v>
      </c>
      <c r="H4" s="17">
        <v>1165010.0</v>
      </c>
      <c r="I4" s="30">
        <f t="shared" ref="I4:I13" si="1">H4-C4</f>
        <v>0</v>
      </c>
      <c r="J4" s="13" t="s">
        <v>13</v>
      </c>
      <c r="K4" s="2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33</v>
      </c>
      <c r="B5" s="14">
        <v>86.0</v>
      </c>
      <c r="C5" s="14">
        <v>946410.0</v>
      </c>
      <c r="D5" s="15"/>
      <c r="E5" s="15"/>
      <c r="F5" s="29">
        <v>946410.0</v>
      </c>
      <c r="G5" s="17">
        <v>86.0</v>
      </c>
      <c r="H5" s="18">
        <v>951260.0</v>
      </c>
      <c r="I5" s="30">
        <f t="shared" si="1"/>
        <v>4850</v>
      </c>
      <c r="J5" s="13" t="s">
        <v>13</v>
      </c>
      <c r="K5" s="20" t="s">
        <v>34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35</v>
      </c>
      <c r="B6" s="14">
        <v>71.0</v>
      </c>
      <c r="C6" s="14">
        <v>733975.0</v>
      </c>
      <c r="D6" s="15"/>
      <c r="E6" s="15"/>
      <c r="F6" s="29">
        <v>733975.0</v>
      </c>
      <c r="G6" s="17">
        <v>71.0</v>
      </c>
      <c r="H6" s="18">
        <v>737275.0</v>
      </c>
      <c r="I6" s="30">
        <f t="shared" si="1"/>
        <v>3300</v>
      </c>
      <c r="J6" s="13" t="s">
        <v>13</v>
      </c>
      <c r="K6" s="20" t="s">
        <v>36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37</v>
      </c>
      <c r="B7" s="14">
        <v>127.0</v>
      </c>
      <c r="C7" s="14">
        <v>1501430.0</v>
      </c>
      <c r="D7" s="15"/>
      <c r="E7" s="15"/>
      <c r="F7" s="14">
        <v>1501430.0</v>
      </c>
      <c r="G7" s="17">
        <v>127.0</v>
      </c>
      <c r="H7" s="18">
        <v>1501530.0</v>
      </c>
      <c r="I7" s="30">
        <f t="shared" si="1"/>
        <v>100</v>
      </c>
      <c r="J7" s="13" t="s">
        <v>18</v>
      </c>
      <c r="K7" s="20" t="s">
        <v>38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39</v>
      </c>
      <c r="B8" s="14">
        <v>117.0</v>
      </c>
      <c r="C8" s="14">
        <v>1304298.0</v>
      </c>
      <c r="D8" s="15"/>
      <c r="E8" s="15"/>
      <c r="F8" s="29">
        <v>1304298.0</v>
      </c>
      <c r="G8" s="17">
        <v>117.0</v>
      </c>
      <c r="H8" s="18">
        <v>1320798.0</v>
      </c>
      <c r="I8" s="30">
        <f t="shared" si="1"/>
        <v>16500</v>
      </c>
      <c r="J8" s="13" t="s">
        <v>13</v>
      </c>
      <c r="K8" s="20" t="s">
        <v>40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41</v>
      </c>
      <c r="B9" s="14">
        <v>108.0</v>
      </c>
      <c r="C9" s="14">
        <v>1600278.0</v>
      </c>
      <c r="D9" s="15"/>
      <c r="E9" s="15"/>
      <c r="F9" s="29">
        <v>1600278.0</v>
      </c>
      <c r="G9" s="17">
        <v>108.0</v>
      </c>
      <c r="H9" s="17">
        <v>1600278.0</v>
      </c>
      <c r="I9" s="30">
        <f t="shared" si="1"/>
        <v>0</v>
      </c>
      <c r="J9" s="13" t="s">
        <v>13</v>
      </c>
      <c r="K9" s="2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42</v>
      </c>
      <c r="B10" s="14">
        <v>107.0</v>
      </c>
      <c r="C10" s="14">
        <v>975108.0</v>
      </c>
      <c r="D10" s="15"/>
      <c r="E10" s="15"/>
      <c r="F10" s="16">
        <f>SUM(C10)</f>
        <v>975108</v>
      </c>
      <c r="G10" s="17">
        <v>107.0</v>
      </c>
      <c r="H10" s="17">
        <v>975108.0</v>
      </c>
      <c r="I10" s="30">
        <f t="shared" si="1"/>
        <v>0</v>
      </c>
      <c r="J10" s="13" t="s">
        <v>43</v>
      </c>
      <c r="K10" s="2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44</v>
      </c>
      <c r="B11" s="14">
        <v>103.0</v>
      </c>
      <c r="C11" s="14">
        <v>1107355.0</v>
      </c>
      <c r="D11" s="15"/>
      <c r="E11" s="15"/>
      <c r="F11" s="29">
        <v>1107355.0</v>
      </c>
      <c r="G11" s="17">
        <v>103.0</v>
      </c>
      <c r="H11" s="17">
        <v>1107355.0</v>
      </c>
      <c r="I11" s="30">
        <f t="shared" si="1"/>
        <v>0</v>
      </c>
      <c r="J11" s="13" t="s">
        <v>45</v>
      </c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46</v>
      </c>
      <c r="B12" s="14">
        <v>82.0</v>
      </c>
      <c r="C12" s="25">
        <v>1353690.0</v>
      </c>
      <c r="D12" s="15"/>
      <c r="E12" s="15"/>
      <c r="F12" s="29">
        <v>1353690.0</v>
      </c>
      <c r="G12" s="17">
        <v>82.0</v>
      </c>
      <c r="H12" s="18">
        <v>1354890.0</v>
      </c>
      <c r="I12" s="30">
        <f t="shared" si="1"/>
        <v>1200</v>
      </c>
      <c r="J12" s="13" t="s">
        <v>13</v>
      </c>
      <c r="K12" s="20" t="s">
        <v>47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48</v>
      </c>
      <c r="B13" s="14">
        <v>63.0</v>
      </c>
      <c r="C13" s="14">
        <v>471867.0</v>
      </c>
      <c r="D13" s="15"/>
      <c r="E13" s="15"/>
      <c r="F13" s="29">
        <v>471867.0</v>
      </c>
      <c r="G13" s="17">
        <v>63.0</v>
      </c>
      <c r="H13" s="18">
        <v>514717.0</v>
      </c>
      <c r="I13" s="30">
        <f t="shared" si="1"/>
        <v>42850</v>
      </c>
      <c r="J13" s="13" t="s">
        <v>18</v>
      </c>
      <c r="K13" s="20" t="s">
        <v>49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6" t="s">
        <v>31</v>
      </c>
      <c r="B14" s="5"/>
      <c r="C14" s="5"/>
      <c r="D14" s="5"/>
      <c r="E14" s="6"/>
      <c r="F14" s="27">
        <f>SUM(F4:F9)</f>
        <v>7251401</v>
      </c>
      <c r="G14" s="23"/>
      <c r="H14" s="27">
        <f>SUM(H4:H9)</f>
        <v>7276151</v>
      </c>
      <c r="I14" s="28">
        <f>SUM(I4:I10)</f>
        <v>24750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4:E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80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8" t="s">
        <v>4</v>
      </c>
      <c r="J2" s="8" t="s">
        <v>5</v>
      </c>
      <c r="K2" s="9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7</v>
      </c>
      <c r="H3" s="12" t="s">
        <v>8</v>
      </c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50</v>
      </c>
      <c r="B4" s="14">
        <v>107.0</v>
      </c>
      <c r="C4" s="14">
        <v>1092327.0</v>
      </c>
      <c r="D4" s="15"/>
      <c r="E4" s="15"/>
      <c r="F4" s="29">
        <f t="shared" ref="F4:F9" si="1">SUM(C4)</f>
        <v>1092327</v>
      </c>
      <c r="G4" s="17">
        <v>107.0</v>
      </c>
      <c r="H4" s="17">
        <v>1092327.0</v>
      </c>
      <c r="I4" s="30"/>
      <c r="J4" s="13" t="s">
        <v>13</v>
      </c>
      <c r="K4" s="2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51</v>
      </c>
      <c r="B5" s="14">
        <v>92.0</v>
      </c>
      <c r="C5" s="14">
        <v>860051.0</v>
      </c>
      <c r="D5" s="15"/>
      <c r="E5" s="15"/>
      <c r="F5" s="29">
        <f t="shared" si="1"/>
        <v>860051</v>
      </c>
      <c r="G5" s="17">
        <v>92.0</v>
      </c>
      <c r="H5" s="17">
        <v>860051.0</v>
      </c>
      <c r="I5" s="30"/>
      <c r="J5" s="13" t="s">
        <v>45</v>
      </c>
      <c r="K5" s="2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52</v>
      </c>
      <c r="B6" s="14">
        <v>102.0</v>
      </c>
      <c r="C6" s="14">
        <v>1118604.0</v>
      </c>
      <c r="D6" s="15"/>
      <c r="E6" s="15"/>
      <c r="F6" s="29">
        <f t="shared" si="1"/>
        <v>1118604</v>
      </c>
      <c r="G6" s="17">
        <v>102.0</v>
      </c>
      <c r="H6" s="17">
        <v>1118604.0</v>
      </c>
      <c r="I6" s="30"/>
      <c r="J6" s="13" t="s">
        <v>45</v>
      </c>
      <c r="K6" s="20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53</v>
      </c>
      <c r="B7" s="14">
        <v>101.0</v>
      </c>
      <c r="C7" s="14">
        <v>1748770.0</v>
      </c>
      <c r="D7" s="15"/>
      <c r="E7" s="15"/>
      <c r="F7" s="29">
        <f t="shared" si="1"/>
        <v>1748770</v>
      </c>
      <c r="G7" s="17">
        <v>101.0</v>
      </c>
      <c r="H7" s="17">
        <v>1754770.0</v>
      </c>
      <c r="I7" s="30">
        <v>-6000.0</v>
      </c>
      <c r="J7" s="13" t="s">
        <v>54</v>
      </c>
      <c r="K7" s="20" t="s">
        <v>55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56</v>
      </c>
      <c r="B8" s="14">
        <v>93.0</v>
      </c>
      <c r="C8" s="14">
        <v>684940.0</v>
      </c>
      <c r="D8" s="15"/>
      <c r="E8" s="15"/>
      <c r="F8" s="29">
        <f t="shared" si="1"/>
        <v>684940</v>
      </c>
      <c r="G8" s="17">
        <v>93.0</v>
      </c>
      <c r="H8" s="17">
        <v>684940.0</v>
      </c>
      <c r="I8" s="30"/>
      <c r="J8" s="13" t="s">
        <v>45</v>
      </c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57</v>
      </c>
      <c r="B9" s="14">
        <v>78.0</v>
      </c>
      <c r="C9" s="14">
        <v>694677.0</v>
      </c>
      <c r="D9" s="15"/>
      <c r="E9" s="15"/>
      <c r="F9" s="29">
        <f t="shared" si="1"/>
        <v>694677</v>
      </c>
      <c r="G9" s="17">
        <v>78.0</v>
      </c>
      <c r="H9" s="17">
        <v>694677.0</v>
      </c>
      <c r="I9" s="30"/>
      <c r="J9" s="13" t="s">
        <v>58</v>
      </c>
      <c r="K9" s="2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59</v>
      </c>
      <c r="B10" s="14">
        <v>68.0</v>
      </c>
      <c r="C10" s="14">
        <v>668770.0</v>
      </c>
      <c r="D10" s="15"/>
      <c r="E10" s="15"/>
      <c r="F10" s="29">
        <v>668770.0</v>
      </c>
      <c r="G10" s="17">
        <v>68.0</v>
      </c>
      <c r="H10" s="18">
        <v>676570.0</v>
      </c>
      <c r="I10" s="30">
        <v>-7800.0</v>
      </c>
      <c r="J10" s="13" t="s">
        <v>60</v>
      </c>
      <c r="K10" s="20" t="s">
        <v>61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62</v>
      </c>
      <c r="B11" s="14">
        <v>109.0</v>
      </c>
      <c r="C11" s="14">
        <v>1249544.0</v>
      </c>
      <c r="D11" s="15"/>
      <c r="E11" s="15"/>
      <c r="F11" s="29">
        <v>1249544.0</v>
      </c>
      <c r="G11" s="17">
        <v>109.0</v>
      </c>
      <c r="H11" s="17">
        <v>1249544.0</v>
      </c>
      <c r="I11" s="30"/>
      <c r="J11" s="13" t="s">
        <v>60</v>
      </c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63</v>
      </c>
      <c r="B12" s="14">
        <v>147.0</v>
      </c>
      <c r="C12" s="25">
        <v>1840750.0</v>
      </c>
      <c r="D12" s="15"/>
      <c r="E12" s="15"/>
      <c r="F12" s="29">
        <v>1840750.0</v>
      </c>
      <c r="G12" s="17">
        <v>147.0</v>
      </c>
      <c r="H12" s="18">
        <v>1846050.0</v>
      </c>
      <c r="I12" s="19">
        <v>-5300.0</v>
      </c>
      <c r="J12" s="13" t="s">
        <v>64</v>
      </c>
      <c r="K12" s="20" t="s">
        <v>65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66</v>
      </c>
      <c r="B13" s="14">
        <v>142.0</v>
      </c>
      <c r="C13" s="14">
        <v>1836160.0</v>
      </c>
      <c r="D13" s="15"/>
      <c r="E13" s="15"/>
      <c r="F13" s="14">
        <v>1836160.0</v>
      </c>
      <c r="G13" s="17">
        <v>142.0</v>
      </c>
      <c r="H13" s="18">
        <v>1850660.0</v>
      </c>
      <c r="I13" s="19">
        <v>-14500.0</v>
      </c>
      <c r="J13" s="13" t="s">
        <v>45</v>
      </c>
      <c r="K13" s="20" t="s">
        <v>67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6" t="s">
        <v>31</v>
      </c>
      <c r="B14" s="5"/>
      <c r="C14" s="5"/>
      <c r="D14" s="5"/>
      <c r="E14" s="6"/>
      <c r="F14" s="27">
        <f>SUM(F4:F9)</f>
        <v>6199369</v>
      </c>
      <c r="G14" s="23"/>
      <c r="H14" s="27">
        <f>SUM(H4:H9)</f>
        <v>6205369</v>
      </c>
      <c r="I14" s="28">
        <f>SUM(I4:I10)</f>
        <v>-13800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4:E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
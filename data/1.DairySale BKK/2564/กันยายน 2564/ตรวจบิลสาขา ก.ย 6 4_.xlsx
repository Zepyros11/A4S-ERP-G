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2" sheetId="2" r:id="rId5"/>
    <sheet state="visible" name="สำเนาของ ชีต2" sheetId="3" r:id="rId6"/>
  </sheets>
  <definedNames/>
  <calcPr/>
</workbook>
</file>

<file path=xl/sharedStrings.xml><?xml version="1.0" encoding="utf-8"?>
<sst xmlns="http://schemas.openxmlformats.org/spreadsheetml/2006/main" count="118" uniqueCount="61">
  <si>
    <t>ตรวจบิล ก.ย 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</si>
  <si>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</si>
  <si>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</si>
  <si>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</si>
  <si>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</si>
  <si>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</si>
  <si>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</si>
  <si>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</si>
  <si>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</si>
  <si>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</si>
  <si>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</si>
  <si>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</si>
  <si>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02.09.2564</t>
  </si>
  <si>
    <t>เอิง</t>
  </si>
  <si>
    <t>03.09.2565</t>
  </si>
  <si>
    <t>ปูน</t>
  </si>
  <si>
    <t xml:space="preserve">ผลต่าง 13400 บาท เป็นบิลยกเลิกทำการลงเดลี่เรียบร้อยค่ะ </t>
  </si>
  <si>
    <t>04.09.2566</t>
  </si>
  <si>
    <t xml:space="preserve">ผลต่าง 10400 บาท เป็นบิลยกเลิกทำการลงเดลี่เรียบร้อยค่ะ </t>
  </si>
  <si>
    <t>05.09.2567</t>
  </si>
  <si>
    <t xml:space="preserve">ผลต่าง 2500 บาท เป็นบิลยกเลิกทำการลงเดลี่เรียบร้อยค่ะ </t>
  </si>
  <si>
    <t>06.09.2568</t>
  </si>
  <si>
    <t>07.09.2569</t>
  </si>
  <si>
    <t xml:space="preserve">ผลต่าง 71700 บาท เป็นบิลยกเลิกทำการลงเดลี่เรียบร้อยค่ะ </t>
  </si>
  <si>
    <t>08.09.2570</t>
  </si>
  <si>
    <t xml:space="preserve">ผลต่าง 2800 บาท เป็นบิลยกเลิกทำการลงเดลี่เรียบร้อยค่ะ </t>
  </si>
  <si>
    <t>09.09.2570</t>
  </si>
  <si>
    <t xml:space="preserve">ผลต่าง 300 บาท เป็นบิลยกเลิกทำการลงเดลี่เรียบร้อยค่ะ </t>
  </si>
  <si>
    <t>10.09.2571</t>
  </si>
  <si>
    <t xml:space="preserve">ผลต่าง 17,800 บาท เป็นบิลยกเลิกทำการลงเดลี่เรียบร้อยค่ะ </t>
  </si>
  <si>
    <t>11.09.2571</t>
  </si>
  <si>
    <t xml:space="preserve">ผลต่าง 10000 บาท เป็นบิลยกเลิกทำการลงเดลี่เรียบร้อยค่ะ </t>
  </si>
  <si>
    <t>12.09.2572</t>
  </si>
  <si>
    <t>รวม</t>
  </si>
  <si>
    <t>13.09.2564</t>
  </si>
  <si>
    <t>14.09.2565</t>
  </si>
  <si>
    <t>15.09.2565</t>
  </si>
  <si>
    <r>
      <rPr>
        <rFont val="Arial"/>
        <color theme="1"/>
        <sz val="14.0"/>
      </rPr>
      <t>ผลต่าง 2,850 บาท เป็นบิลยกเลิกของวันที่ 14/9/2564 ได้ทำการลงเด</t>
    </r>
    <r>
      <rPr>
        <rFont val="Arial"/>
        <color theme="1"/>
        <sz val="13.0"/>
      </rPr>
      <t xml:space="preserve">ลี่เรียบร้อยค่ะ </t>
    </r>
  </si>
  <si>
    <t>16.09.2566</t>
  </si>
  <si>
    <t>17.09.2566</t>
  </si>
  <si>
    <t>18.09.2567</t>
  </si>
  <si>
    <t xml:space="preserve">ผลต่าง 74950 บาท เป็นบิลยกเลิกของวันที่ 17/9/2564 ได้ทำการลงเดลี่เรียบร้อยค่ะ </t>
  </si>
  <si>
    <t>19.09.2567</t>
  </si>
  <si>
    <t>20.09.2568</t>
  </si>
  <si>
    <t>21.09.2568</t>
  </si>
  <si>
    <t xml:space="preserve">ผลต่าง 60000บาท เป็นบิลยกเลิกของวันที่ 20/9/2564 ได้ทำการลงเดลี่เรียบร้อยค่ะ </t>
  </si>
  <si>
    <t>22.09.2569</t>
  </si>
  <si>
    <t>23.09.2569</t>
  </si>
  <si>
    <t>ตรวจบิลรายวัน</t>
  </si>
  <si>
    <t>24.09.2564</t>
  </si>
  <si>
    <t>25.09.2564</t>
  </si>
  <si>
    <t>ผลต่าง 16213 บาท เนื่องจากเป็นบิลตัดอีวอเลตของลูกค้าออกจากระบบ</t>
  </si>
  <si>
    <t>26.09.2564</t>
  </si>
  <si>
    <t xml:space="preserve">ผลต่าง 50550 บาท เนื่องจากเป็นบิลยกเลิกทำการลงเดลี่เรียบร้อยค่ะ </t>
  </si>
  <si>
    <t>27.09.2564</t>
  </si>
  <si>
    <t xml:space="preserve">ผลต่าง 2500 บาท เนื่องจากเป็นบิลยกเลิกทำการลงเดลี่เรียบร้อยค่ะ </t>
  </si>
  <si>
    <t>28.09.2564</t>
  </si>
  <si>
    <t xml:space="preserve">ผลต่าง 33700บาท เนื่องจากเป็นบิลยกเลิกทำการลงเดลี่เรียบร้อยค่ะ </t>
  </si>
  <si>
    <t>29.09.2564</t>
  </si>
  <si>
    <t>นี</t>
  </si>
  <si>
    <t>30.09.2564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</si>
</sst>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6">
    <font>
      <sz val="10.0"/>
      <color rgb="FF000000"/>
      <name val="Arial"/>
      <scheme val="minor"/>
    </font>
    <font>
      <b/>
      <sz val="20.0"/>
      <color theme="1"/>
      <name val="&quot;Cordia New&quot;"/>
    </font>
    <font/>
    <font>
      <sz val="20.0"/>
      <color theme="1"/>
      <name val="&quot;Cordia New&quot;"/>
    </font>
    <font>
      <sz val="20.0"/>
      <color rgb="FF000000"/>
      <name val="&quot;Cordia New&quot;"/>
    </font>
    <font>
      <sz val="13.0"/>
      <color theme="1"/>
      <name val="Arial"/>
    </font>
    <font>
      <color theme="1"/>
      <name val="Arial"/>
    </font>
    <font>
      <sz val="13.0"/>
      <color rgb="FFFF0000"/>
      <name val="Arial"/>
    </font>
    <font>
      <sz val="14.0"/>
      <color theme="1"/>
      <name val="Arial"/>
    </font>
    <font>
      <sz val="14.0"/>
      <color rgb="FFFF0000"/>
      <name val="Arial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14.0"/>
      <color rgb="FFFF0000"/>
      <name val="&quot;Cordia New&quot;"/>
    </font>
    <font>
      <b/>
      <sz val="30.0"/>
      <color theme="1"/>
      <name val="&quot;Cordia New&quot;"/>
    </font>
    <font>
      <b/>
      <sz val="22.0"/>
      <color theme="1"/>
      <name val="&quot;Cordia New&quot;"/>
    </font>
    <font>
      <b/>
      <u/>
      <sz val="20.0"/>
      <color rgb="FFFF0000"/>
      <name val="&quot;Cordia New&quot;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5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5" fontId="5" numFmtId="38" xfId="0" applyAlignment="1" applyBorder="1" applyFont="1" applyNumberFormat="1">
      <alignment horizontal="right" vertical="bottom"/>
    </xf>
    <xf borderId="6" fillId="5" fontId="6" numFmtId="38" xfId="0" applyAlignment="1" applyBorder="1" applyFont="1" applyNumberFormat="1">
      <alignment vertical="bottom"/>
    </xf>
    <xf borderId="6" fillId="5" fontId="5" numFmtId="164" xfId="0" applyAlignment="1" applyBorder="1" applyFont="1" applyNumberFormat="1">
      <alignment horizontal="right" vertical="bottom"/>
    </xf>
    <xf borderId="6" fillId="4" fontId="5" numFmtId="38" xfId="0" applyAlignment="1" applyBorder="1" applyFont="1" applyNumberFormat="1">
      <alignment horizontal="right" vertical="bottom"/>
    </xf>
    <xf borderId="6" fillId="0" fontId="7" numFmtId="164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vertical="bottom"/>
    </xf>
    <xf borderId="6" fillId="5" fontId="8" numFmtId="38" xfId="0" applyAlignment="1" applyBorder="1" applyFont="1" applyNumberFormat="1">
      <alignment readingOrder="0" vertical="bottom"/>
    </xf>
    <xf borderId="6" fillId="5" fontId="8" numFmtId="38" xfId="0" applyAlignment="1" applyBorder="1" applyFont="1" applyNumberFormat="1">
      <alignment vertical="bottom"/>
    </xf>
    <xf borderId="6" fillId="5" fontId="8" numFmtId="164" xfId="0" applyAlignment="1" applyBorder="1" applyFont="1" applyNumberFormat="1">
      <alignment vertical="bottom"/>
    </xf>
    <xf borderId="6" fillId="4" fontId="8" numFmtId="38" xfId="0" applyAlignment="1" applyBorder="1" applyFont="1" applyNumberFormat="1">
      <alignment readingOrder="0" vertical="bottom"/>
    </xf>
    <xf borderId="6" fillId="0" fontId="9" numFmtId="164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readingOrder="0" vertical="bottom"/>
    </xf>
    <xf borderId="6" fillId="6" fontId="8" numFmtId="0" xfId="0" applyAlignment="1" applyBorder="1" applyFill="1" applyFont="1">
      <alignment readingOrder="0" vertical="bottom"/>
    </xf>
    <xf borderId="6" fillId="5" fontId="5" numFmtId="164" xfId="0" applyAlignment="1" applyBorder="1" applyFont="1" applyNumberFormat="1">
      <alignment horizontal="right" readingOrder="0" vertical="bottom"/>
    </xf>
    <xf borderId="6" fillId="5" fontId="8" numFmtId="164" xfId="0" applyAlignment="1" applyBorder="1" applyFont="1" applyNumberFormat="1">
      <alignment horizontal="right" readingOrder="0" vertical="bottom"/>
    </xf>
    <xf borderId="6" fillId="5" fontId="8" numFmtId="164" xfId="0" applyAlignment="1" applyBorder="1" applyFont="1" applyNumberFormat="1">
      <alignment readingOrder="0" vertical="bottom"/>
    </xf>
    <xf borderId="6" fillId="0" fontId="6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6" fillId="0" fontId="11" numFmtId="38" xfId="0" applyAlignment="1" applyBorder="1" applyFont="1" applyNumberFormat="1">
      <alignment horizontal="center" vertical="bottom"/>
    </xf>
    <xf borderId="6" fillId="0" fontId="12" numFmtId="38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6" fillId="0" fontId="4" numFmtId="0" xfId="0" applyAlignment="1" applyBorder="1" applyFont="1">
      <alignment horizontal="center" readingOrder="0" vertical="bottom"/>
    </xf>
    <xf borderId="6" fillId="5" fontId="5" numFmtId="38" xfId="0" applyAlignment="1" applyBorder="1" applyFont="1" applyNumberFormat="1">
      <alignment horizontal="right" readingOrder="0" vertical="bottom"/>
    </xf>
    <xf borderId="6" fillId="4" fontId="5" numFmtId="38" xfId="0" applyAlignment="1" applyBorder="1" applyFont="1" applyNumberFormat="1">
      <alignment horizontal="right" readingOrder="0" vertical="bottom"/>
    </xf>
    <xf borderId="6" fillId="4" fontId="8" numFmtId="38" xfId="0" applyAlignment="1" applyBorder="1" applyFont="1" applyNumberFormat="1">
      <alignment vertical="bottom"/>
    </xf>
    <xf borderId="6" fillId="0" fontId="7" numFmtId="164" xfId="0" applyAlignment="1" applyBorder="1" applyFont="1" applyNumberFormat="1">
      <alignment horizontal="right" readingOrder="0" vertical="bottom"/>
    </xf>
    <xf borderId="6" fillId="5" fontId="8" numFmtId="164" xfId="0" applyAlignment="1" applyBorder="1" applyFont="1" applyNumberFormat="1">
      <alignment horizontal="right" vertical="bottom"/>
    </xf>
    <xf borderId="1" fillId="0" fontId="13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vertical="bottom"/>
    </xf>
    <xf borderId="4" fillId="4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horizontal="center" vertical="bottom"/>
    </xf>
    <xf borderId="6" fillId="5" fontId="14" numFmtId="0" xfId="0" applyAlignment="1" applyBorder="1" applyFont="1">
      <alignment horizontal="center" vertical="bottom"/>
    </xf>
    <xf borderId="6" fillId="4" fontId="14" numFmtId="0" xfId="0" applyAlignment="1" applyBorder="1" applyFont="1">
      <alignment horizontal="center" vertical="bottom"/>
    </xf>
    <xf borderId="6" fillId="0" fontId="15" numFmtId="3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6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 t="s">
        <v>2</v>
      </c>
      <c r="C2" s="2"/>
      <c r="D2" s="2"/>
      <c r="E2" s="2"/>
      <c r="F2" s="3"/>
      <c r="G2" s="6" t="s">
        <v>3</v>
      </c>
      <c r="H2" s="3"/>
      <c r="I2" s="7" t="s">
        <v>4</v>
      </c>
      <c r="J2" s="7" t="s">
        <v>5</v>
      </c>
      <c r="K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1" t="s">
        <v>7</v>
      </c>
      <c r="H3" s="11" t="s">
        <v>8</v>
      </c>
      <c r="I3" s="9"/>
      <c r="J3" s="9"/>
      <c r="K3" s="9"/>
    </row>
    <row r="4">
      <c r="A4" s="12" t="s">
        <v>12</v>
      </c>
      <c r="B4" s="13">
        <v>227.0</v>
      </c>
      <c r="C4" s="13">
        <v>1858400.0</v>
      </c>
      <c r="D4" s="14"/>
      <c r="E4" s="14"/>
      <c r="F4" s="15">
        <v>1858400.0</v>
      </c>
      <c r="G4" s="16">
        <v>226.0</v>
      </c>
      <c r="H4" s="16">
        <v>1858400.0</v>
      </c>
      <c r="I4" s="17">
        <f t="shared" ref="I4:I14" si="1">C4-H4</f>
        <v>0</v>
      </c>
      <c r="J4" s="18" t="s">
        <v>13</v>
      </c>
      <c r="K4" s="18"/>
    </row>
    <row r="5">
      <c r="A5" s="12" t="s">
        <v>14</v>
      </c>
      <c r="B5" s="19">
        <v>140.0</v>
      </c>
      <c r="C5" s="20">
        <v>1185740.0</v>
      </c>
      <c r="D5" s="14"/>
      <c r="E5" s="14"/>
      <c r="F5" s="21">
        <v>1185740.0</v>
      </c>
      <c r="G5" s="22">
        <v>140.0</v>
      </c>
      <c r="H5" s="22">
        <v>1199140.0</v>
      </c>
      <c r="I5" s="23">
        <f t="shared" si="1"/>
        <v>-13400</v>
      </c>
      <c r="J5" s="24" t="s">
        <v>15</v>
      </c>
      <c r="K5" s="25" t="s">
        <v>16</v>
      </c>
    </row>
    <row r="6">
      <c r="A6" s="12" t="s">
        <v>17</v>
      </c>
      <c r="B6" s="19">
        <v>90.0</v>
      </c>
      <c r="C6" s="20">
        <v>684534.0</v>
      </c>
      <c r="D6" s="20"/>
      <c r="E6" s="20"/>
      <c r="F6" s="21">
        <v>684534.0</v>
      </c>
      <c r="G6" s="22">
        <v>90.0</v>
      </c>
      <c r="H6" s="22">
        <v>694934.0</v>
      </c>
      <c r="I6" s="23">
        <f t="shared" si="1"/>
        <v>-10400</v>
      </c>
      <c r="J6" s="24" t="s">
        <v>13</v>
      </c>
      <c r="K6" s="25" t="s">
        <v>18</v>
      </c>
    </row>
    <row r="7">
      <c r="A7" s="12" t="s">
        <v>19</v>
      </c>
      <c r="B7" s="19">
        <v>87.0</v>
      </c>
      <c r="C7" s="19">
        <v>1388020.0</v>
      </c>
      <c r="D7" s="14"/>
      <c r="E7" s="14"/>
      <c r="F7" s="26">
        <v>1388020.0</v>
      </c>
      <c r="G7" s="22">
        <v>87.0</v>
      </c>
      <c r="H7" s="22">
        <v>1390520.0</v>
      </c>
      <c r="I7" s="17">
        <f t="shared" si="1"/>
        <v>-2500</v>
      </c>
      <c r="J7" s="24" t="s">
        <v>13</v>
      </c>
      <c r="K7" s="25" t="s">
        <v>20</v>
      </c>
    </row>
    <row r="8">
      <c r="A8" s="12" t="s">
        <v>21</v>
      </c>
      <c r="B8" s="19">
        <v>126.0</v>
      </c>
      <c r="C8" s="19">
        <v>1346990.0</v>
      </c>
      <c r="D8" s="14"/>
      <c r="E8" s="14"/>
      <c r="F8" s="26">
        <v>1346990.0</v>
      </c>
      <c r="G8" s="22">
        <v>126.0</v>
      </c>
      <c r="H8" s="22">
        <v>1346990.0</v>
      </c>
      <c r="I8" s="17">
        <f t="shared" si="1"/>
        <v>0</v>
      </c>
      <c r="J8" s="24" t="s">
        <v>13</v>
      </c>
      <c r="K8" s="18"/>
    </row>
    <row r="9">
      <c r="A9" s="12" t="s">
        <v>22</v>
      </c>
      <c r="B9" s="19">
        <v>115.0</v>
      </c>
      <c r="C9" s="20">
        <v>1076720.0</v>
      </c>
      <c r="D9" s="20"/>
      <c r="E9" s="20"/>
      <c r="F9" s="21">
        <v>1076720.0</v>
      </c>
      <c r="G9" s="22">
        <v>115.0</v>
      </c>
      <c r="H9" s="22">
        <v>1148420.0</v>
      </c>
      <c r="I9" s="23">
        <f t="shared" si="1"/>
        <v>-71700</v>
      </c>
      <c r="J9" s="24" t="s">
        <v>15</v>
      </c>
      <c r="K9" s="25" t="s">
        <v>23</v>
      </c>
    </row>
    <row r="10">
      <c r="A10" s="12" t="s">
        <v>24</v>
      </c>
      <c r="B10" s="19">
        <v>123.0</v>
      </c>
      <c r="C10" s="20">
        <v>884270.0</v>
      </c>
      <c r="D10" s="20"/>
      <c r="E10" s="20"/>
      <c r="F10" s="21">
        <v>884270.0</v>
      </c>
      <c r="G10" s="22">
        <v>123.0</v>
      </c>
      <c r="H10" s="22">
        <v>887070.0</v>
      </c>
      <c r="I10" s="23">
        <f t="shared" si="1"/>
        <v>-2800</v>
      </c>
      <c r="J10" s="24" t="s">
        <v>15</v>
      </c>
      <c r="K10" s="25" t="s">
        <v>25</v>
      </c>
    </row>
    <row r="11">
      <c r="A11" s="12" t="s">
        <v>26</v>
      </c>
      <c r="B11" s="19">
        <v>85.0</v>
      </c>
      <c r="C11" s="19">
        <v>553540.0</v>
      </c>
      <c r="D11" s="20"/>
      <c r="E11" s="20"/>
      <c r="F11" s="27">
        <v>553540.0</v>
      </c>
      <c r="G11" s="22">
        <v>85.0</v>
      </c>
      <c r="H11" s="22">
        <v>553840.0</v>
      </c>
      <c r="I11" s="23">
        <f t="shared" si="1"/>
        <v>-300</v>
      </c>
      <c r="J11" s="24" t="s">
        <v>13</v>
      </c>
      <c r="K11" s="25" t="s">
        <v>27</v>
      </c>
    </row>
    <row r="12">
      <c r="A12" s="12" t="s">
        <v>28</v>
      </c>
      <c r="B12" s="19">
        <v>104.0</v>
      </c>
      <c r="C12" s="20">
        <v>883070.0</v>
      </c>
      <c r="D12" s="20"/>
      <c r="E12" s="20"/>
      <c r="F12" s="21">
        <v>883070.0</v>
      </c>
      <c r="G12" s="22">
        <v>104.0</v>
      </c>
      <c r="H12" s="22">
        <v>900870.0</v>
      </c>
      <c r="I12" s="23">
        <f t="shared" si="1"/>
        <v>-17800</v>
      </c>
      <c r="J12" s="24" t="s">
        <v>15</v>
      </c>
      <c r="K12" s="25" t="s">
        <v>29</v>
      </c>
    </row>
    <row r="13">
      <c r="A13" s="12" t="s">
        <v>30</v>
      </c>
      <c r="B13" s="19">
        <v>75.0</v>
      </c>
      <c r="C13" s="20">
        <v>630320.0</v>
      </c>
      <c r="D13" s="20"/>
      <c r="E13" s="20"/>
      <c r="F13" s="21">
        <v>630320.0</v>
      </c>
      <c r="G13" s="22">
        <v>75.0</v>
      </c>
      <c r="H13" s="22">
        <v>640320.0</v>
      </c>
      <c r="I13" s="23">
        <f t="shared" si="1"/>
        <v>-10000</v>
      </c>
      <c r="J13" s="24" t="s">
        <v>15</v>
      </c>
      <c r="K13" s="25" t="s">
        <v>31</v>
      </c>
    </row>
    <row r="14">
      <c r="A14" s="12" t="s">
        <v>32</v>
      </c>
      <c r="B14" s="19">
        <v>56.0</v>
      </c>
      <c r="C14" s="19">
        <v>422640.0</v>
      </c>
      <c r="D14" s="14"/>
      <c r="E14" s="14"/>
      <c r="F14" s="28">
        <v>422640.0</v>
      </c>
      <c r="G14" s="22">
        <v>56.0</v>
      </c>
      <c r="H14" s="22">
        <v>422640.0</v>
      </c>
      <c r="I14" s="17">
        <f t="shared" si="1"/>
        <v>0</v>
      </c>
      <c r="J14" s="24" t="s">
        <v>13</v>
      </c>
      <c r="K14" s="29"/>
    </row>
    <row r="15">
      <c r="A15" s="30" t="s">
        <v>33</v>
      </c>
      <c r="B15" s="2"/>
      <c r="C15" s="2"/>
      <c r="D15" s="2"/>
      <c r="E15" s="3"/>
      <c r="F15" s="31">
        <f>SUM(F4:F13)</f>
        <v>10491604</v>
      </c>
      <c r="G15" s="29"/>
      <c r="H15" s="31">
        <f>SUM(H4:H13)</f>
        <v>10620504</v>
      </c>
      <c r="I15" s="32">
        <f>SUM(I4:I10)</f>
        <v>-100800</v>
      </c>
      <c r="J15" s="33"/>
      <c r="K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5:E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7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5" t="s">
        <v>2</v>
      </c>
      <c r="C2" s="2"/>
      <c r="D2" s="2"/>
      <c r="E2" s="2"/>
      <c r="F2" s="3"/>
      <c r="G2" s="6" t="s">
        <v>3</v>
      </c>
      <c r="H2" s="3"/>
      <c r="I2" s="7" t="s">
        <v>4</v>
      </c>
      <c r="J2" s="7" t="s">
        <v>5</v>
      </c>
      <c r="K2" s="8" t="s">
        <v>6</v>
      </c>
    </row>
    <row r="3">
      <c r="A3" s="9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1" t="s">
        <v>7</v>
      </c>
      <c r="H3" s="11" t="s">
        <v>8</v>
      </c>
      <c r="I3" s="9"/>
      <c r="J3" s="9"/>
      <c r="K3" s="9"/>
    </row>
    <row r="4">
      <c r="A4" s="34" t="s">
        <v>34</v>
      </c>
      <c r="B4" s="35">
        <v>117.0</v>
      </c>
      <c r="C4" s="13">
        <v>1045410.0</v>
      </c>
      <c r="D4" s="14"/>
      <c r="E4" s="14"/>
      <c r="F4" s="15">
        <v>1045410.0</v>
      </c>
      <c r="G4" s="36">
        <v>117.0</v>
      </c>
      <c r="H4" s="16">
        <v>1045410.0</v>
      </c>
      <c r="I4" s="17">
        <f t="shared" ref="I4:I5" si="1">C4-H4</f>
        <v>0</v>
      </c>
      <c r="J4" s="24" t="s">
        <v>13</v>
      </c>
      <c r="K4" s="18"/>
    </row>
    <row r="5">
      <c r="A5" s="34" t="s">
        <v>35</v>
      </c>
      <c r="B5" s="19">
        <v>74.0</v>
      </c>
      <c r="C5" s="20">
        <v>560080.0</v>
      </c>
      <c r="D5" s="14"/>
      <c r="E5" s="14"/>
      <c r="F5" s="21">
        <v>560080.0</v>
      </c>
      <c r="G5" s="22">
        <v>74.0</v>
      </c>
      <c r="H5" s="37">
        <v>560080.0</v>
      </c>
      <c r="I5" s="17">
        <f t="shared" si="1"/>
        <v>0</v>
      </c>
      <c r="J5" s="24" t="s">
        <v>13</v>
      </c>
      <c r="K5" s="25"/>
    </row>
    <row r="6">
      <c r="A6" s="34" t="s">
        <v>36</v>
      </c>
      <c r="B6" s="19">
        <v>91.0</v>
      </c>
      <c r="C6" s="19">
        <v>627930.0</v>
      </c>
      <c r="D6" s="20"/>
      <c r="E6" s="20"/>
      <c r="F6" s="28">
        <v>627930.0</v>
      </c>
      <c r="G6" s="22">
        <v>91.0</v>
      </c>
      <c r="H6" s="22">
        <v>630780.0</v>
      </c>
      <c r="I6" s="38">
        <v>2850.0</v>
      </c>
      <c r="J6" s="24" t="s">
        <v>13</v>
      </c>
      <c r="K6" s="25" t="s">
        <v>37</v>
      </c>
    </row>
    <row r="7">
      <c r="A7" s="34" t="s">
        <v>38</v>
      </c>
      <c r="B7" s="19">
        <v>86.0</v>
      </c>
      <c r="C7" s="20">
        <v>950760.0</v>
      </c>
      <c r="D7" s="14"/>
      <c r="E7" s="14"/>
      <c r="F7" s="15">
        <v>950760.0</v>
      </c>
      <c r="G7" s="22">
        <v>86.0</v>
      </c>
      <c r="H7" s="37">
        <v>950760.0</v>
      </c>
      <c r="I7" s="17">
        <f t="shared" ref="I7:I8" si="2">C7-H7</f>
        <v>0</v>
      </c>
      <c r="J7" s="24" t="s">
        <v>15</v>
      </c>
      <c r="K7" s="25"/>
    </row>
    <row r="8">
      <c r="A8" s="34" t="s">
        <v>39</v>
      </c>
      <c r="B8" s="19">
        <v>83.0</v>
      </c>
      <c r="C8" s="20">
        <v>780270.0</v>
      </c>
      <c r="D8" s="14"/>
      <c r="E8" s="14"/>
      <c r="F8" s="15">
        <v>780270.0</v>
      </c>
      <c r="G8" s="22">
        <v>83.0</v>
      </c>
      <c r="H8" s="37">
        <v>780270.0</v>
      </c>
      <c r="I8" s="17">
        <f t="shared" si="2"/>
        <v>0</v>
      </c>
      <c r="J8" s="24" t="s">
        <v>15</v>
      </c>
      <c r="K8" s="18"/>
    </row>
    <row r="9">
      <c r="A9" s="34" t="s">
        <v>40</v>
      </c>
      <c r="B9" s="19">
        <v>62.0</v>
      </c>
      <c r="C9" s="20">
        <v>466530.0</v>
      </c>
      <c r="D9" s="20"/>
      <c r="E9" s="20"/>
      <c r="F9" s="21">
        <v>466530.0</v>
      </c>
      <c r="G9" s="22">
        <v>62.0</v>
      </c>
      <c r="H9" s="22">
        <v>541480.0</v>
      </c>
      <c r="I9" s="38">
        <v>74950.0</v>
      </c>
      <c r="J9" s="24" t="s">
        <v>15</v>
      </c>
      <c r="K9" s="25" t="s">
        <v>41</v>
      </c>
    </row>
    <row r="10">
      <c r="A10" s="34" t="s">
        <v>42</v>
      </c>
      <c r="B10" s="19">
        <v>40.0</v>
      </c>
      <c r="C10" s="20">
        <v>364000.0</v>
      </c>
      <c r="D10" s="20"/>
      <c r="E10" s="20"/>
      <c r="F10" s="21">
        <v>364000.0</v>
      </c>
      <c r="G10" s="22">
        <v>40.0</v>
      </c>
      <c r="H10" s="37">
        <v>364000.0</v>
      </c>
      <c r="I10" s="17">
        <f t="shared" ref="I10:I11" si="3">C10-H10</f>
        <v>0</v>
      </c>
      <c r="J10" s="24" t="s">
        <v>13</v>
      </c>
      <c r="K10" s="25"/>
    </row>
    <row r="11">
      <c r="A11" s="34" t="s">
        <v>43</v>
      </c>
      <c r="B11" s="19">
        <v>132.0</v>
      </c>
      <c r="C11" s="20">
        <v>1513730.0</v>
      </c>
      <c r="D11" s="20"/>
      <c r="E11" s="20"/>
      <c r="F11" s="39">
        <v>1513730.0</v>
      </c>
      <c r="G11" s="22">
        <v>132.0</v>
      </c>
      <c r="H11" s="37">
        <v>1513730.0</v>
      </c>
      <c r="I11" s="17">
        <f t="shared" si="3"/>
        <v>0</v>
      </c>
      <c r="J11" s="24" t="s">
        <v>13</v>
      </c>
      <c r="K11" s="25"/>
    </row>
    <row r="12">
      <c r="A12" s="34" t="s">
        <v>44</v>
      </c>
      <c r="B12" s="19">
        <v>90.0</v>
      </c>
      <c r="C12" s="20">
        <v>804600.0</v>
      </c>
      <c r="D12" s="20"/>
      <c r="E12" s="20"/>
      <c r="F12" s="21">
        <v>804600.0</v>
      </c>
      <c r="G12" s="22">
        <v>90.0</v>
      </c>
      <c r="H12" s="22">
        <v>864600.0</v>
      </c>
      <c r="I12" s="17">
        <f>H12-C12</f>
        <v>60000</v>
      </c>
      <c r="J12" s="24" t="s">
        <v>13</v>
      </c>
      <c r="K12" s="25" t="s">
        <v>45</v>
      </c>
    </row>
    <row r="13">
      <c r="A13" s="34" t="s">
        <v>46</v>
      </c>
      <c r="B13" s="19">
        <v>93.0</v>
      </c>
      <c r="C13" s="20">
        <v>755520.0</v>
      </c>
      <c r="D13" s="20"/>
      <c r="E13" s="20"/>
      <c r="F13" s="21">
        <v>755520.0</v>
      </c>
      <c r="G13" s="22">
        <v>93.0</v>
      </c>
      <c r="H13" s="37">
        <v>755520.0</v>
      </c>
      <c r="I13" s="17">
        <f t="shared" ref="I13:I14" si="4">C13-H13</f>
        <v>0</v>
      </c>
      <c r="J13" s="24" t="s">
        <v>15</v>
      </c>
      <c r="K13" s="25"/>
    </row>
    <row r="14">
      <c r="A14" s="34" t="s">
        <v>47</v>
      </c>
      <c r="B14" s="19">
        <v>93.0</v>
      </c>
      <c r="C14" s="19">
        <v>727660.0</v>
      </c>
      <c r="D14" s="14"/>
      <c r="E14" s="14"/>
      <c r="F14" s="28">
        <v>727660.0</v>
      </c>
      <c r="G14" s="22">
        <v>93.0</v>
      </c>
      <c r="H14" s="22">
        <v>727660.0</v>
      </c>
      <c r="I14" s="17">
        <f t="shared" si="4"/>
        <v>0</v>
      </c>
      <c r="J14" s="24" t="s">
        <v>13</v>
      </c>
      <c r="K14" s="29"/>
    </row>
    <row r="15">
      <c r="A15" s="30" t="s">
        <v>33</v>
      </c>
      <c r="B15" s="2"/>
      <c r="C15" s="2"/>
      <c r="D15" s="2"/>
      <c r="E15" s="3"/>
      <c r="F15" s="31">
        <f>SUM(F4:F14)</f>
        <v>8596490</v>
      </c>
      <c r="G15" s="29"/>
      <c r="H15" s="31">
        <f>SUM(H4:H14)</f>
        <v>8734290</v>
      </c>
      <c r="I15" s="32">
        <f>I14+I13+I12+I11+I10+I9+I8+I7+I6+I5+I4</f>
        <v>137800</v>
      </c>
      <c r="J15" s="33"/>
      <c r="K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5:E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3.75"/>
    <col customWidth="1" min="11" max="11" width="79.5"/>
  </cols>
  <sheetData>
    <row r="1">
      <c r="A1" s="40" t="s">
        <v>48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1" t="s">
        <v>1</v>
      </c>
      <c r="B2" s="42" t="s">
        <v>2</v>
      </c>
      <c r="C2" s="2"/>
      <c r="D2" s="2"/>
      <c r="E2" s="2"/>
      <c r="F2" s="3"/>
      <c r="G2" s="43" t="s">
        <v>3</v>
      </c>
      <c r="H2" s="3"/>
      <c r="I2" s="44" t="s">
        <v>4</v>
      </c>
      <c r="J2" s="44" t="s">
        <v>5</v>
      </c>
      <c r="K2" s="45" t="s">
        <v>6</v>
      </c>
    </row>
    <row r="3">
      <c r="A3" s="9"/>
      <c r="B3" s="46" t="s">
        <v>7</v>
      </c>
      <c r="C3" s="46" t="s">
        <v>8</v>
      </c>
      <c r="D3" s="46" t="s">
        <v>9</v>
      </c>
      <c r="E3" s="46" t="s">
        <v>10</v>
      </c>
      <c r="F3" s="46" t="s">
        <v>11</v>
      </c>
      <c r="G3" s="47" t="s">
        <v>7</v>
      </c>
      <c r="H3" s="47" t="s">
        <v>8</v>
      </c>
      <c r="I3" s="9"/>
      <c r="J3" s="9"/>
      <c r="K3" s="9"/>
    </row>
    <row r="4">
      <c r="A4" s="34" t="s">
        <v>49</v>
      </c>
      <c r="B4" s="35">
        <v>88.0</v>
      </c>
      <c r="C4" s="35">
        <v>753790.0</v>
      </c>
      <c r="D4" s="14"/>
      <c r="E4" s="14"/>
      <c r="F4" s="26">
        <v>753790.0</v>
      </c>
      <c r="G4" s="36">
        <v>88.0</v>
      </c>
      <c r="H4" s="36">
        <v>753790.0</v>
      </c>
      <c r="I4" s="38">
        <f>SUM(C4-F4)</f>
        <v>0</v>
      </c>
      <c r="J4" s="24" t="s">
        <v>13</v>
      </c>
      <c r="K4" s="18"/>
    </row>
    <row r="5">
      <c r="A5" s="34" t="s">
        <v>50</v>
      </c>
      <c r="B5" s="19">
        <v>84.0</v>
      </c>
      <c r="C5" s="20">
        <v>776850.0</v>
      </c>
      <c r="D5" s="14"/>
      <c r="E5" s="14"/>
      <c r="F5" s="21">
        <v>776850.0</v>
      </c>
      <c r="G5" s="22">
        <v>84.0</v>
      </c>
      <c r="H5" s="22">
        <v>793063.0</v>
      </c>
      <c r="I5" s="38">
        <f t="shared" ref="I5:I10" si="1">SUM(H5-C5)</f>
        <v>16213</v>
      </c>
      <c r="J5" s="24" t="s">
        <v>13</v>
      </c>
      <c r="K5" s="25" t="s">
        <v>51</v>
      </c>
    </row>
    <row r="6">
      <c r="A6" s="34" t="s">
        <v>52</v>
      </c>
      <c r="B6" s="19">
        <v>64.0</v>
      </c>
      <c r="C6" s="19">
        <v>396730.0</v>
      </c>
      <c r="D6" s="20"/>
      <c r="E6" s="20"/>
      <c r="F6" s="28">
        <v>396730.0</v>
      </c>
      <c r="G6" s="22">
        <v>64.0</v>
      </c>
      <c r="H6" s="22">
        <v>447280.0</v>
      </c>
      <c r="I6" s="38">
        <f t="shared" si="1"/>
        <v>50550</v>
      </c>
      <c r="J6" s="24" t="s">
        <v>13</v>
      </c>
      <c r="K6" s="25" t="s">
        <v>53</v>
      </c>
    </row>
    <row r="7">
      <c r="A7" s="34" t="s">
        <v>54</v>
      </c>
      <c r="B7" s="19">
        <v>78.0</v>
      </c>
      <c r="C7" s="19">
        <v>487820.0</v>
      </c>
      <c r="D7" s="14"/>
      <c r="E7" s="14"/>
      <c r="F7" s="26">
        <f t="shared" ref="F7:F9" si="2">SUM(C7)</f>
        <v>487820</v>
      </c>
      <c r="G7" s="22">
        <v>78.0</v>
      </c>
      <c r="H7" s="22">
        <v>490320.0</v>
      </c>
      <c r="I7" s="38">
        <f t="shared" si="1"/>
        <v>2500</v>
      </c>
      <c r="J7" s="24" t="s">
        <v>13</v>
      </c>
      <c r="K7" s="25" t="s">
        <v>55</v>
      </c>
    </row>
    <row r="8">
      <c r="A8" s="34" t="s">
        <v>56</v>
      </c>
      <c r="B8" s="19">
        <v>123.0</v>
      </c>
      <c r="C8" s="19">
        <v>1387630.0</v>
      </c>
      <c r="D8" s="14"/>
      <c r="E8" s="14"/>
      <c r="F8" s="26">
        <f t="shared" si="2"/>
        <v>1387630</v>
      </c>
      <c r="G8" s="22">
        <v>123.0</v>
      </c>
      <c r="H8" s="22">
        <v>1421330.0</v>
      </c>
      <c r="I8" s="38">
        <f t="shared" si="1"/>
        <v>33700</v>
      </c>
      <c r="J8" s="24" t="s">
        <v>15</v>
      </c>
      <c r="K8" s="25" t="s">
        <v>57</v>
      </c>
    </row>
    <row r="9">
      <c r="A9" s="34" t="s">
        <v>58</v>
      </c>
      <c r="B9" s="19">
        <v>81.0</v>
      </c>
      <c r="C9" s="19">
        <v>681450.0</v>
      </c>
      <c r="D9" s="20"/>
      <c r="E9" s="20"/>
      <c r="F9" s="26">
        <f t="shared" si="2"/>
        <v>681450</v>
      </c>
      <c r="G9" s="22">
        <v>81.0</v>
      </c>
      <c r="H9" s="22">
        <v>681450.0</v>
      </c>
      <c r="I9" s="38">
        <f t="shared" si="1"/>
        <v>0</v>
      </c>
      <c r="J9" s="24" t="s">
        <v>59</v>
      </c>
      <c r="K9" s="25"/>
    </row>
    <row r="10">
      <c r="A10" s="34" t="s">
        <v>60</v>
      </c>
      <c r="B10" s="19">
        <v>84.0</v>
      </c>
      <c r="C10" s="20">
        <v>472119.0</v>
      </c>
      <c r="D10" s="20"/>
      <c r="E10" s="20"/>
      <c r="F10" s="28">
        <v>472119.0</v>
      </c>
      <c r="G10" s="22">
        <v>84.0</v>
      </c>
      <c r="H10" s="37">
        <v>472119.0</v>
      </c>
      <c r="I10" s="38">
        <f t="shared" si="1"/>
        <v>0</v>
      </c>
      <c r="J10" s="24" t="s">
        <v>59</v>
      </c>
      <c r="K10" s="25"/>
    </row>
    <row r="11">
      <c r="A11" s="34"/>
      <c r="B11" s="19"/>
      <c r="C11" s="20"/>
      <c r="D11" s="20"/>
      <c r="E11" s="20"/>
      <c r="F11" s="39"/>
      <c r="G11" s="22"/>
      <c r="H11" s="37"/>
      <c r="I11" s="17"/>
      <c r="J11" s="24"/>
      <c r="K11" s="25"/>
    </row>
    <row r="12">
      <c r="A12" s="30" t="s">
        <v>33</v>
      </c>
      <c r="B12" s="2"/>
      <c r="C12" s="2"/>
      <c r="D12" s="2"/>
      <c r="E12" s="3"/>
      <c r="F12" s="31">
        <f>SUM(F4:F11)</f>
        <v>4956389</v>
      </c>
      <c r="G12" s="29"/>
      <c r="H12" s="31">
        <f>SUM(H4:H11)</f>
        <v>5059352</v>
      </c>
      <c r="I12" s="48">
        <f>I5+I6+I7+I8+I9+I10+I11</f>
        <v>102963</v>
      </c>
      <c r="J12" s="33"/>
      <c r="K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2:E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
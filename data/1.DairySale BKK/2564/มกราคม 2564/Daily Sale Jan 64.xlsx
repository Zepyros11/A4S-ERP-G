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3.01.21" sheetId="1" r:id="rId4"/>
    <sheet state="visible" name="5.01.21" sheetId="2" r:id="rId5"/>
    <sheet state="visible" name="06.01.21" sheetId="3" r:id="rId6"/>
    <sheet state="visible" name="07.01.21" sheetId="4" r:id="rId7"/>
    <sheet state="visible" name="08.01.21" sheetId="5" r:id="rId8"/>
    <sheet state="visible" name="09.01.21" sheetId="6" r:id="rId9"/>
    <sheet state="visible" name="10.01.21" sheetId="7" r:id="rId10"/>
    <sheet state="visible" name="11.01.21" sheetId="8" r:id="rId11"/>
    <sheet state="visible" name="12.01.21" sheetId="9" r:id="rId12"/>
    <sheet state="visible" name="13.01.21" sheetId="10" r:id="rId13"/>
    <sheet state="visible" name="14.01.21" sheetId="11" r:id="rId14"/>
    <sheet state="visible" name="15.01.21" sheetId="12" r:id="rId15"/>
    <sheet state="visible" name="16.01.21" sheetId="13" r:id="rId16"/>
    <sheet state="visible" name="17.01.21" sheetId="14" r:id="rId17"/>
    <sheet state="visible" name="18.01.21" sheetId="15" r:id="rId18"/>
    <sheet state="visible" name="19.01.64" sheetId="16" r:id="rId19"/>
    <sheet state="visible" name="20.01.64" sheetId="17" r:id="rId20"/>
    <sheet state="visible" name="21.01.64" sheetId="18" r:id="rId21"/>
    <sheet state="visible" name="22.01.64" sheetId="19" r:id="rId22"/>
    <sheet state="visible" name="23.01.64" sheetId="20" r:id="rId23"/>
    <sheet state="visible" name="24.01.64" sheetId="21" r:id="rId24"/>
    <sheet state="visible" name="25.01.64" sheetId="22" r:id="rId25"/>
    <sheet state="visible" name="4.01.21" sheetId="23" r:id="rId26"/>
    <sheet state="visible" name="26.01.64" sheetId="24" r:id="rId27"/>
    <sheet state="visible" name="27.01.64" sheetId="25" r:id="rId28"/>
    <sheet state="visible" name="28.01.64" sheetId="26" r:id="rId29"/>
    <sheet state="visible" name="29.01.64" sheetId="27" r:id="rId30"/>
    <sheet state="visible" name="30.01.64" sheetId="28" r:id="rId31"/>
    <sheet state="visible" name="31.01.64" sheetId="29" r:id="rId32"/>
  </sheets>
  <definedNames/>
  <calcPr/>
</workbook>
</file>

<file path=xl/sharedStrings.xml><?xml version="1.0" encoding="utf-8"?>
<sst xmlns="http://schemas.openxmlformats.org/spreadsheetml/2006/main" count="5145" uniqueCount="3122">
  <si>
    <t>DAILY  SALE  03 Jan 2021</t>
  </si>
  <si>
    <t>NO</t>
  </si>
  <si>
    <t>เลขออเดอร์</t>
  </si>
  <si>
    <t>รหัส</t>
  </si>
  <si>
    <t>Name</t>
  </si>
  <si>
    <t>Payment</t>
  </si>
  <si>
    <t>Cash</t>
  </si>
  <si>
    <t>Credit Card</t>
  </si>
  <si>
    <t>Tranfer Money</t>
  </si>
  <si>
    <t>E-WALLET</t>
  </si>
  <si>
    <t>Paypal</t>
  </si>
  <si>
    <t>ยอดในระบบ</t>
  </si>
  <si>
    <t>ผลต่าง</t>
  </si>
  <si>
    <t>Front Office</t>
  </si>
  <si>
    <t>Online</t>
  </si>
  <si>
    <t>KBANK</t>
  </si>
  <si>
    <t>KTB</t>
  </si>
  <si>
    <t>STHBKK012101000002</t>
  </si>
  <si>
    <t>นาย เจษฎาพร กันยามา</t>
  </si>
  <si>
    <t>STHBKK012101000004</t>
  </si>
  <si>
    <t>นาย พลรัตน์+สมนึก ผ่องศรี</t>
  </si>
  <si>
    <t>STHBKK012101000006</t>
  </si>
  <si>
    <t>นางสาว นัชนรินทร์ แก้ววันทา</t>
  </si>
  <si>
    <t>STHBKK012101000007</t>
  </si>
  <si>
    <t>ธนกร+นพัชนันต์ อภัยพงศ์</t>
  </si>
  <si>
    <t>STHBKK012101000008</t>
  </si>
  <si>
    <t>นาย ยงยุทธ สมศรี</t>
  </si>
  <si>
    <t>STHBKK012101000009</t>
  </si>
  <si>
    <t>นาย ปรีชา ร่มโพธิ์ทอง</t>
  </si>
  <si>
    <t>STHBKK012101000010</t>
  </si>
  <si>
    <t>เพื่อนเกษตรกร</t>
  </si>
  <si>
    <t>STHBKK012101000011</t>
  </si>
  <si>
    <t>นาง วณัฐกมล วิไลลักษณ์</t>
  </si>
  <si>
    <t>STHBKK012101000012</t>
  </si>
  <si>
    <t>นาย อิทธิกร เศรษฐกวี</t>
  </si>
  <si>
    <t>STHBKK012101000013</t>
  </si>
  <si>
    <t>นางสาว สุภาวดี บุญเพ็ชร</t>
  </si>
  <si>
    <t>STHBKK012101000014</t>
  </si>
  <si>
    <t>นาย ณัฎฐ์นันธ์ นุกุลภูก้านก่อง</t>
  </si>
  <si>
    <t>STHBKK012101000015</t>
  </si>
  <si>
    <t>นาย นุกูล ทองขาว</t>
  </si>
  <si>
    <t>STHBKK012101000016</t>
  </si>
  <si>
    <t>นาง อรพรรณ จรรยา</t>
  </si>
  <si>
    <t>STHBKK012101000017</t>
  </si>
  <si>
    <t>STHBKK012101000018</t>
  </si>
  <si>
    <t>STHBKK012101000019</t>
  </si>
  <si>
    <t>STHBKK012101000020</t>
  </si>
  <si>
    <t>นางสาว รัฏฐพิชญ์ ทานา</t>
  </si>
  <si>
    <t>STHBKK012101000021</t>
  </si>
  <si>
    <t>นางสาว อลิษา บุญทวี</t>
  </si>
  <si>
    <t>STHBKK012101000022</t>
  </si>
  <si>
    <t>นาย วราพล จันทร์เต็ม</t>
  </si>
  <si>
    <t>STHBKK012101000023</t>
  </si>
  <si>
    <t>นาย ศุภชัย บุญทวี</t>
  </si>
  <si>
    <t>STHBKK012101000024</t>
  </si>
  <si>
    <t>นาย ณัฐวัฒน์ วิไลลักษณ์</t>
  </si>
  <si>
    <t>STHBKK012101000025</t>
  </si>
  <si>
    <t>DAILY  SALE  05 Jan 2021</t>
  </si>
  <si>
    <t>STHBKK012101000145</t>
  </si>
  <si>
    <t>นาย อดุลย์ กลิ่นหอมอุทิศ</t>
  </si>
  <si>
    <t>STHBKK012101000146</t>
  </si>
  <si>
    <t>นางสาว สุภาพร พรมทา</t>
  </si>
  <si>
    <t>STHBKK012101000147</t>
  </si>
  <si>
    <t>นาง สุปราณี ไพโรจน์</t>
  </si>
  <si>
    <t>STHBKK012101000148</t>
  </si>
  <si>
    <t>นาง ฑณัฐพรณ์ สวัสดิวงศ์</t>
  </si>
  <si>
    <t>STHBKK012101000149</t>
  </si>
  <si>
    <t>นาย ธนภัทร อยู่คำ</t>
  </si>
  <si>
    <t>STHBKK012101000150</t>
  </si>
  <si>
    <t>ห้างหุ้นส่วนจำกัด ไดม่อนอันดามัน เน็ตเวิร์ค</t>
  </si>
  <si>
    <t>STHBKK012101000151</t>
  </si>
  <si>
    <t>STHBKK012101000152</t>
  </si>
  <si>
    <t>นาย จักรพงศ์ หันเชื้อจีน</t>
  </si>
  <si>
    <t>STHBKK012101000153</t>
  </si>
  <si>
    <t>นางสาว จิราภรณ์ เขาทอง</t>
  </si>
  <si>
    <t>STHBKK012101000154</t>
  </si>
  <si>
    <t>นาง จิราพร โพธิ์ไกร</t>
  </si>
  <si>
    <t>STHBKK012101000155</t>
  </si>
  <si>
    <t>บริษัท เค24 โกลบอล จำกัด</t>
  </si>
  <si>
    <t>STHBKK012101000157</t>
  </si>
  <si>
    <t>MR SOKSIEM</t>
  </si>
  <si>
    <t>STHBKK012101000158</t>
  </si>
  <si>
    <t>นาย เอกสิทธิ์ ชำนาญ</t>
  </si>
  <si>
    <t>STHBKK012101000159</t>
  </si>
  <si>
    <t>นาง เต็มลักษณ์ ยวงลำใย+สมยศ น้ำเพชร</t>
  </si>
  <si>
    <t>STHBKK012101000160</t>
  </si>
  <si>
    <t>นางสาว กำไร รุ่งกิจกุลภัค</t>
  </si>
  <si>
    <t>STHBKK012101000161</t>
  </si>
  <si>
    <t>นาย ปิยะเดช ยิ่งวิวัฒนพงษ์</t>
  </si>
  <si>
    <t>STHBKK012101000162</t>
  </si>
  <si>
    <t>นางสาว SEAN PISEY</t>
  </si>
  <si>
    <t>STHBKK012101000163</t>
  </si>
  <si>
    <t>นาย พินิจ ไหมละออง</t>
  </si>
  <si>
    <t>STHBKK012101000164</t>
  </si>
  <si>
    <t>นาง ดาณี หมัดหมัน</t>
  </si>
  <si>
    <t>STHBKK012101000165</t>
  </si>
  <si>
    <t>วลีทิพย์ ญาณกวี</t>
  </si>
  <si>
    <t>STHBKK012101000166</t>
  </si>
  <si>
    <t>นาย มลฑล โพธิ์รักษ์</t>
  </si>
  <si>
    <t>STHBKK012101000167</t>
  </si>
  <si>
    <t>วาสนา บุญเกษม</t>
  </si>
  <si>
    <t>STHBKK012101000169</t>
  </si>
  <si>
    <t>STHBKK012101000170</t>
  </si>
  <si>
    <t>อรณิกร บุญเกษม</t>
  </si>
  <si>
    <t>STHBKK012101000171</t>
  </si>
  <si>
    <t>นาย กมล ขันหลวง</t>
  </si>
  <si>
    <t>STHBKK012101000172</t>
  </si>
  <si>
    <t>สุรวิทย์ ทิพยโสภากุล</t>
  </si>
  <si>
    <t>STHBKK012101000173</t>
  </si>
  <si>
    <t>นาย ปรีชา แก้วโกถม</t>
  </si>
  <si>
    <t>STHBKK012101000174</t>
  </si>
  <si>
    <t>นาย จรัญ กอบธัญกรณ์</t>
  </si>
  <si>
    <t>STHBKK012101000175</t>
  </si>
  <si>
    <t>STHBKK012101000176</t>
  </si>
  <si>
    <t>นาย เกียรติศักดิ์ อาดมะเร๊ะ</t>
  </si>
  <si>
    <t>STHBKK012101000177</t>
  </si>
  <si>
    <t>นางสาว ดวงกมล กันอยู่</t>
  </si>
  <si>
    <t>STHBKK012101000178</t>
  </si>
  <si>
    <t>นาง โนรี เต๊ะหละ</t>
  </si>
  <si>
    <t>STHBKK012101000179</t>
  </si>
  <si>
    <t>นาย ถิรกร ศิริพฤกษ์ - ชลพรรณ ช้างจันทร์</t>
  </si>
  <si>
    <t>STHBKK012101000180</t>
  </si>
  <si>
    <t>นาย รัชชานนท์ แก่นจรรยา</t>
  </si>
  <si>
    <t>STHBKK012101000184</t>
  </si>
  <si>
    <t>STHBKK012101000185</t>
  </si>
  <si>
    <t>STHBKK012101000186</t>
  </si>
  <si>
    <t>นาย ปรเมศวร์ ธรรมโชติ</t>
  </si>
  <si>
    <t>STHBKK012101000187</t>
  </si>
  <si>
    <t>STHBKK012101000188</t>
  </si>
  <si>
    <t>นางสาว ณิชจิรา ชอบธรรม</t>
  </si>
  <si>
    <t>STHBKK012101000189</t>
  </si>
  <si>
    <t>นาง สมจิตร นวนสุ่ม</t>
  </si>
  <si>
    <t>STHBKK012101000190</t>
  </si>
  <si>
    <t>นาง พัชราวดี จันทมล</t>
  </si>
  <si>
    <t>STHBKK012101000191</t>
  </si>
  <si>
    <t>STHBKK012101000192</t>
  </si>
  <si>
    <t>นาง กาญจนา จันทรมณี</t>
  </si>
  <si>
    <t>STHBKK012101000193</t>
  </si>
  <si>
    <t>คณาง ไพรบึง</t>
  </si>
  <si>
    <t>STHBKK012101000194</t>
  </si>
  <si>
    <t>นาย นิคม ยิ้มสาระ</t>
  </si>
  <si>
    <t>STHBKK012101000195</t>
  </si>
  <si>
    <t>นาย ณัฐพงษ์ ภาวิชาติ</t>
  </si>
  <si>
    <t>STHBKK012101000196</t>
  </si>
  <si>
    <t>นาย ณัฐพงษ์ ว่องวิการ</t>
  </si>
  <si>
    <t>STHBKK012101000197</t>
  </si>
  <si>
    <t>นาย จักรพงศ์ สินธุรักษ์</t>
  </si>
  <si>
    <t>STHBKK012101000198</t>
  </si>
  <si>
    <t>นางสาว สมหวัง ไชยพันธ์</t>
  </si>
  <si>
    <t>STHBKK012101000199</t>
  </si>
  <si>
    <t>นาย กฤษณะ บุรณพันธ์</t>
  </si>
  <si>
    <t>STHBKK012101000200</t>
  </si>
  <si>
    <t>นาง สมนึก คำบรรลือ</t>
  </si>
  <si>
    <t>STHBKK012101000202</t>
  </si>
  <si>
    <t>นาย ณัฐพงษ์ พันธ์ทอง</t>
  </si>
  <si>
    <t>STHBKK012101000203</t>
  </si>
  <si>
    <t>นาย วีระ ชูศิลป์</t>
  </si>
  <si>
    <t>STHBKK012101000204</t>
  </si>
  <si>
    <t>นางสาว วันวิสาข แก้วแกมทอง</t>
  </si>
  <si>
    <t>STHBKK012101000205</t>
  </si>
  <si>
    <t>นาย สถาพร อันอินทร์</t>
  </si>
  <si>
    <t>STHBKK012101000206</t>
  </si>
  <si>
    <t>นิรันดร์ สันอีด</t>
  </si>
  <si>
    <t>STHBKK012101000207</t>
  </si>
  <si>
    <t>STHBKK012101000208</t>
  </si>
  <si>
    <t>นางสาว จริยา พัฒนมหกุล</t>
  </si>
  <si>
    <t>STHBKK012101000209</t>
  </si>
  <si>
    <t>STHBKK012101000211</t>
  </si>
  <si>
    <t>นาย วัลลภ ไพโรจน์</t>
  </si>
  <si>
    <t>STHBKK012101000212</t>
  </si>
  <si>
    <t>นางสาว สุพัตรา กันเฉย</t>
  </si>
  <si>
    <t>STHBKK012101000213</t>
  </si>
  <si>
    <t>นางสาว พิมพ์มาดา เงางาม-อรุษ วรกุลทวีโชติ</t>
  </si>
  <si>
    <t>STHBKK012101000215</t>
  </si>
  <si>
    <t>นางสาว สุดาวรรณ์ จันทร์แดง</t>
  </si>
  <si>
    <t>STHBKK012101000216</t>
  </si>
  <si>
    <t>นาย พีระพงศ์ สิงหพล</t>
  </si>
  <si>
    <t>STHBKK012101000217</t>
  </si>
  <si>
    <t>STHBKK012101000218</t>
  </si>
  <si>
    <t>นาย ณัฐพล ศรีทอง</t>
  </si>
  <si>
    <t>STHBKK012101000219</t>
  </si>
  <si>
    <t>นางสาว ศรัญญา สายทอง</t>
  </si>
  <si>
    <t>STHBKK012101000220</t>
  </si>
  <si>
    <t>นาง ทิพยาภรณ์ ฆ้องวงษ์</t>
  </si>
  <si>
    <t>STHBKK012101000221</t>
  </si>
  <si>
    <t>STHBKK012101000222</t>
  </si>
  <si>
    <t>นาย เตชธรรม จำปาเงิน</t>
  </si>
  <si>
    <t>STHBKK012101000224</t>
  </si>
  <si>
    <t>นาย เอนก กอนาก</t>
  </si>
  <si>
    <t>STHBKK012101000225</t>
  </si>
  <si>
    <t>สุนีย์ โปรยลาภ</t>
  </si>
  <si>
    <t>STHBKK012101000226</t>
  </si>
  <si>
    <t>ภัคภร ทองประสม</t>
  </si>
  <si>
    <t>STHBKK012101000227</t>
  </si>
  <si>
    <t>MR CHEM PRA</t>
  </si>
  <si>
    <t>STHBKK012101000228</t>
  </si>
  <si>
    <t>นาย สรรณ สินธุรัตน์</t>
  </si>
  <si>
    <t>STHBKK012101000230</t>
  </si>
  <si>
    <t>STHBKK012101000231</t>
  </si>
  <si>
    <t>STHBKK012101000232</t>
  </si>
  <si>
    <t>MR SONG DARA</t>
  </si>
  <si>
    <t>STHBKK012101000233</t>
  </si>
  <si>
    <t>MR SEN SOR</t>
  </si>
  <si>
    <t>STHBKK012101000234</t>
  </si>
  <si>
    <t>สุรพล จันทรานุรักษ์</t>
  </si>
  <si>
    <t>STHBKK012101000235</t>
  </si>
  <si>
    <t>MS SREYMOM MORN</t>
  </si>
  <si>
    <t>STHBKK012101000236</t>
  </si>
  <si>
    <t>นางสาว นิศริน สูเด็น</t>
  </si>
  <si>
    <t>STHBKK012101000239</t>
  </si>
  <si>
    <t>นาย มงคล เพ็งเคียน</t>
  </si>
  <si>
    <t>STHBKK012101000240</t>
  </si>
  <si>
    <t>STHBKK012101000241</t>
  </si>
  <si>
    <t>STHBKK012101000242</t>
  </si>
  <si>
    <t>STHBKK012101000243</t>
  </si>
  <si>
    <t>STHBKK012101000244</t>
  </si>
  <si>
    <t>STHBKK012101000245</t>
  </si>
  <si>
    <t>STHBKK012101000246</t>
  </si>
  <si>
    <t>บริษัท สว่างทรัพย์ จำกัด</t>
  </si>
  <si>
    <t>STHBKK012101000247</t>
  </si>
  <si>
    <t>นางสาว พศิจาธิกาณ ธนัฐศิณีญา</t>
  </si>
  <si>
    <t>STHBKK012101000248</t>
  </si>
  <si>
    <t>STHBKK012101000249</t>
  </si>
  <si>
    <t>STHBKK012101000250</t>
  </si>
  <si>
    <t>นาย เมธาพัฒน์ รังษีธนาวรรักษ์</t>
  </si>
  <si>
    <t>STHBKK012101000251</t>
  </si>
  <si>
    <t>STHBKK012101000252</t>
  </si>
  <si>
    <t>นางสาว เมทิกา ทองประสม</t>
  </si>
  <si>
    <t>STHBKK012101000253</t>
  </si>
  <si>
    <t>นางสาว วรกาญจน์ ตติยรัตนาภรณ์</t>
  </si>
  <si>
    <t>STHBKK012101000254</t>
  </si>
  <si>
    <t>นางสาว วิรมณ สวายประโคน</t>
  </si>
  <si>
    <t>STHBKK012101000255</t>
  </si>
  <si>
    <t>นางสาว กาญจนา จองเกียรติ์</t>
  </si>
  <si>
    <t>STHBKK012101000256</t>
  </si>
  <si>
    <t>นางสาว ธมลกันย์ โกเมศกัลยรัตน์</t>
  </si>
  <si>
    <t>STHBKK012101000257</t>
  </si>
  <si>
    <t>นาย ศรัณยพงษ์ รัตนเมธารัฐ</t>
  </si>
  <si>
    <t>STHBKK012101000258</t>
  </si>
  <si>
    <t>STHONLIN2101000021</t>
  </si>
  <si>
    <t>นาย บำรุง ชอบธรรม</t>
  </si>
  <si>
    <t>STHONLIN2101000030</t>
  </si>
  <si>
    <t>นางสาว ชุลีรัตน์ ฟองใหญ่</t>
  </si>
  <si>
    <t>STHONLIN2101000035</t>
  </si>
  <si>
    <t>นาย ชาญภูมิ กาวี</t>
  </si>
  <si>
    <t>STHONLIN2101000036</t>
  </si>
  <si>
    <t>STHONLIN2101000037</t>
  </si>
  <si>
    <t>นางสาว นันทา ชนะผล</t>
  </si>
  <si>
    <t>STHONLIN2101000038</t>
  </si>
  <si>
    <t>STHONLIN2101000039</t>
  </si>
  <si>
    <t>นาย พุฒิพัฒน์ รัตนพิริยสกุล</t>
  </si>
  <si>
    <t>STHONLIN2101000047</t>
  </si>
  <si>
    <t>นางสาว พัทธนันท์ ไชยเดช</t>
  </si>
  <si>
    <t>STHONLIN2101000048</t>
  </si>
  <si>
    <t xml:space="preserve">  </t>
  </si>
  <si>
    <t>DAILY  SALE  06 Jan 2021</t>
  </si>
  <si>
    <t>STHBKK012101000259</t>
  </si>
  <si>
    <t>STHBKK012101000260</t>
  </si>
  <si>
    <t>นาง ฐานมญ ชลคีรี</t>
  </si>
  <si>
    <t>STHBKK012101000261</t>
  </si>
  <si>
    <t>STHBKK012101000262</t>
  </si>
  <si>
    <t>นางสาว อาทิตติยา กกกลิ่น</t>
  </si>
  <si>
    <t>STHBKK012101000263</t>
  </si>
  <si>
    <t>นาย ชัยยะเดช เดชบุญมี</t>
  </si>
  <si>
    <t>STHBKK012101000264</t>
  </si>
  <si>
    <t>นาง วัชริน จุนเนียง</t>
  </si>
  <si>
    <t>STHBKK012101000265</t>
  </si>
  <si>
    <t>นาง สุวรรณา ภูมี</t>
  </si>
  <si>
    <t>STHBKK012101000266</t>
  </si>
  <si>
    <t>นาย อำนาจ ภูมี</t>
  </si>
  <si>
    <t>STHBKK012101000267</t>
  </si>
  <si>
    <t>STHBKK012101000268</t>
  </si>
  <si>
    <t>นางสาว ปาลีรัศม์ รัชตวรรณวัฒน์</t>
  </si>
  <si>
    <t>STHBKK012101000269</t>
  </si>
  <si>
    <t>นาย ธีราวินทร์ รัชตวรรณวัฒน์</t>
  </si>
  <si>
    <t>STHBKK012101000270</t>
  </si>
  <si>
    <t>นาย ยศพัทธิ์ - สุปรียา ศรีอุทิศ</t>
  </si>
  <si>
    <t>STHBKK012101000271</t>
  </si>
  <si>
    <t>นาย สุรวัฒน์ ตั้งพงศ์ศิรประภา</t>
  </si>
  <si>
    <t>STHBKK012101000273</t>
  </si>
  <si>
    <t>นางสาว อรอนงค์ ศรีสุข</t>
  </si>
  <si>
    <t>STHBKK012101000276</t>
  </si>
  <si>
    <t>นางสาว กัลยารัตน์ พรธาดาวิทย์</t>
  </si>
  <si>
    <t>STHBKK012101000277</t>
  </si>
  <si>
    <t>นาย สมควร พึ่งเมือง</t>
  </si>
  <si>
    <t>STHBKK012101000278</t>
  </si>
  <si>
    <t>STHBKK012101000279</t>
  </si>
  <si>
    <t>นางสาว กฤษณา</t>
  </si>
  <si>
    <t>STHBKK012101000280</t>
  </si>
  <si>
    <t>STHBKK012101000281</t>
  </si>
  <si>
    <t>นาย วิเชษฐ สกุลหอม - สมพิศ ทองหุ้ม</t>
  </si>
  <si>
    <t>STHBKK012101000282</t>
  </si>
  <si>
    <t>STHBKK012101000283</t>
  </si>
  <si>
    <t>มัลลิกา พลรัตน์</t>
  </si>
  <si>
    <t>STHBKK012101000284</t>
  </si>
  <si>
    <t>STHBKK012101000285</t>
  </si>
  <si>
    <t>นาย นัชยาฎา หวังมี</t>
  </si>
  <si>
    <t>STHBKK012101000286</t>
  </si>
  <si>
    <t>นาย สัมฤทธิ์ ทองล้อม</t>
  </si>
  <si>
    <t>STHBKK012101000287</t>
  </si>
  <si>
    <t>STHBKK012101000288</t>
  </si>
  <si>
    <t>ธนวรรธน์ สุุขจิตร</t>
  </si>
  <si>
    <t>STHBKK012101000289</t>
  </si>
  <si>
    <t>STHBKK012101000290</t>
  </si>
  <si>
    <t>STHBKK012101000291</t>
  </si>
  <si>
    <t>STHBKK012101000292</t>
  </si>
  <si>
    <t>STHBKK012101000293</t>
  </si>
  <si>
    <t>STHBKK012101000294</t>
  </si>
  <si>
    <t>นาย ประมง จันทะสิงห์</t>
  </si>
  <si>
    <t>STHBKK012101000295</t>
  </si>
  <si>
    <t>นาย เกียรติศักดิ์ ทิมหันต์</t>
  </si>
  <si>
    <t>STHBKK012101000296</t>
  </si>
  <si>
    <t>STHBKK012101000297</t>
  </si>
  <si>
    <t>STHBKK012101000298</t>
  </si>
  <si>
    <t>STHBKK012101000299</t>
  </si>
  <si>
    <t>นาง เกศร วงษ์วิภาค - รังสรรค์ ดวงสูงเนิน</t>
  </si>
  <si>
    <t>STHBKK012101000302</t>
  </si>
  <si>
    <t>STHBKK012101000303</t>
  </si>
  <si>
    <t>STHBKK012101000304</t>
  </si>
  <si>
    <t>STHBKK012101000308</t>
  </si>
  <si>
    <t>นางสาว ลำใย สาตชิต</t>
  </si>
  <si>
    <t>STHBKK012101000309</t>
  </si>
  <si>
    <t>นางสาว เยาวดี สำเภา+ชนินทร์ ด่านธรรมกุล</t>
  </si>
  <si>
    <t>STHBKK012101000310</t>
  </si>
  <si>
    <t>รัชฎา นานอน</t>
  </si>
  <si>
    <t>STHBKK012101000311</t>
  </si>
  <si>
    <t>STHBKK012101000312</t>
  </si>
  <si>
    <t>STHBKK012101000313</t>
  </si>
  <si>
    <t>ชื่อธุรกิจ BY24</t>
  </si>
  <si>
    <t>STHBKK012101000314</t>
  </si>
  <si>
    <t>นางสาว สุมาลี แย้มผล</t>
  </si>
  <si>
    <t>STHBKK012101000315</t>
  </si>
  <si>
    <t>STHBKK012101000316</t>
  </si>
  <si>
    <t>STHBKK012101000317</t>
  </si>
  <si>
    <t>นางสาว รักษนีย์ สุขดา</t>
  </si>
  <si>
    <t>STHBKK012101000318</t>
  </si>
  <si>
    <t>STHBKK012101000319</t>
  </si>
  <si>
    <t>นาย วัชรชัย ขุนศรีรักษา</t>
  </si>
  <si>
    <t>STHBKK012101000320</t>
  </si>
  <si>
    <t>นางสาว พิณภาพร มะโนน้อม</t>
  </si>
  <si>
    <t>STHBKK012101000321</t>
  </si>
  <si>
    <t>เหน่ง ผันผาย</t>
  </si>
  <si>
    <t>STHBKK012101000322</t>
  </si>
  <si>
    <t>นาย สันติ สืบพันธ์ดี</t>
  </si>
  <si>
    <t>STHBKK012101000323</t>
  </si>
  <si>
    <t>บริษัทจำกัด เจแอลที คอร์ปอเรชั่น</t>
  </si>
  <si>
    <t>STHBKK012101000324</t>
  </si>
  <si>
    <t>STHBKK012101000325</t>
  </si>
  <si>
    <t>นาง สุดารัตน์ สงฆ์ทอง</t>
  </si>
  <si>
    <t>STHBKK012101000326</t>
  </si>
  <si>
    <t>STHBKK012101000327</t>
  </si>
  <si>
    <t>นาย สุรศักดิ์ ไชยจักร</t>
  </si>
  <si>
    <t>STHBKK012101000328</t>
  </si>
  <si>
    <t>STHBKK012101000329</t>
  </si>
  <si>
    <t>สรธัญรดา สุวรรณรัตน์</t>
  </si>
  <si>
    <t>STHBKK012101000330</t>
  </si>
  <si>
    <t>นางสาว สุชานันท์ สะตะ</t>
  </si>
  <si>
    <t>STHBKK012101000331</t>
  </si>
  <si>
    <t>นาย มนตรี จันทรวิวัฒน์</t>
  </si>
  <si>
    <t>STHBKK012101000333</t>
  </si>
  <si>
    <t>นางสาว จารุภา จันทร์เต็ม</t>
  </si>
  <si>
    <t>STHBKK012101000334</t>
  </si>
  <si>
    <t>นาย ธนกฤต ทองแทน</t>
  </si>
  <si>
    <t>STHBKK012101000335</t>
  </si>
  <si>
    <t>STHBKK012101000336</t>
  </si>
  <si>
    <t>มนตรี บุญรอด</t>
  </si>
  <si>
    <t>STHBKK012101000337</t>
  </si>
  <si>
    <t>นาง สุรัตน์ พัฒนมหกุล</t>
  </si>
  <si>
    <t>STHONLIN2101000052</t>
  </si>
  <si>
    <t>STHONLIN2101000054</t>
  </si>
  <si>
    <t>นาย ดิเรก กรีฑา</t>
  </si>
  <si>
    <t>STHONLIN2101000055</t>
  </si>
  <si>
    <t>นางสาว นภัทร อินทราพงษ์</t>
  </si>
  <si>
    <t>STHONLIN2101000056</t>
  </si>
  <si>
    <t>นาย อุเทน ฉวีวรรณ์</t>
  </si>
  <si>
    <t>STHONLIN2101000058</t>
  </si>
  <si>
    <t>STHONLIN2101000059</t>
  </si>
  <si>
    <t>STHONLIN2101000061</t>
  </si>
  <si>
    <t>นาง ศศกร อมตวงษ์</t>
  </si>
  <si>
    <t>STHONLIN2101000062</t>
  </si>
  <si>
    <t>นาย สมเกียรติ ยงหนู</t>
  </si>
  <si>
    <t>STHONLIN2101000064</t>
  </si>
  <si>
    <t>นางสาว สุวรรณ นำประทีป</t>
  </si>
  <si>
    <t>STHONLIN2101000065</t>
  </si>
  <si>
    <t>นาย มงคล ปันทวาย</t>
  </si>
  <si>
    <t>STHONLIN2101000066</t>
  </si>
  <si>
    <t>นาย พีรพงศ์ ภรประเสริฐศรี</t>
  </si>
  <si>
    <t>STHONLIN2101000067</t>
  </si>
  <si>
    <t>DAILY  SALE  07 Jan 2021</t>
  </si>
  <si>
    <t>STHBKK012101000338</t>
  </si>
  <si>
    <t>STHBKK012101000339</t>
  </si>
  <si>
    <t>STHBKK012101000340</t>
  </si>
  <si>
    <t>นาย นัธทวัฒน์ชัย ผิวผ่อง</t>
  </si>
  <si>
    <t>STHBKK012101000341</t>
  </si>
  <si>
    <t>นาย วินัย พุกสุข</t>
  </si>
  <si>
    <t>STHBKK012101000342</t>
  </si>
  <si>
    <t>STHBKK012101000343</t>
  </si>
  <si>
    <t>นางสาว วิไลพร ไชยะสี</t>
  </si>
  <si>
    <t>STHBKK012101000344</t>
  </si>
  <si>
    <t>วาสนา ดิษปัญญา</t>
  </si>
  <si>
    <t>STHBKK012101000345</t>
  </si>
  <si>
    <t>ห้างหุ้นส่วนจำกัด หจก.เครือข่ายปิยธนา</t>
  </si>
  <si>
    <t>STHBKK012101000346</t>
  </si>
  <si>
    <t>นาง ณุตรา จินดารัตนวรกุล</t>
  </si>
  <si>
    <t>STHBKK012101000347</t>
  </si>
  <si>
    <t>STHBKK012101000348</t>
  </si>
  <si>
    <t>STHBKK012101000349</t>
  </si>
  <si>
    <t>สมพรรณ์ ปัดนา</t>
  </si>
  <si>
    <t>STHBKK012101000350</t>
  </si>
  <si>
    <t>นาย ต้นสัก สุคนธรัตน์</t>
  </si>
  <si>
    <t>STHBKK012101000351</t>
  </si>
  <si>
    <t>STHBKK012101000352</t>
  </si>
  <si>
    <t>นาง วรัทยา จันทร์ชื่น</t>
  </si>
  <si>
    <t>STHBKK012101000353</t>
  </si>
  <si>
    <t>STHBKK012101000354</t>
  </si>
  <si>
    <t>นางสาว พัชรินทร์ เพชรน้อย</t>
  </si>
  <si>
    <t>STHBKK012101000355</t>
  </si>
  <si>
    <t>นาง กชพร ชานนชนกนันท์</t>
  </si>
  <si>
    <t>STHBKK012101000356</t>
  </si>
  <si>
    <t>นาย รุสดี หลังเกต</t>
  </si>
  <si>
    <t>STHBKK012101000357</t>
  </si>
  <si>
    <t>นาง พิชาวีร์ บวรธีราเศรษฐ์</t>
  </si>
  <si>
    <t>STHBKK012101000358</t>
  </si>
  <si>
    <t>STHBKK012101000359</t>
  </si>
  <si>
    <t>STHBKK012101000360</t>
  </si>
  <si>
    <t>STHBKK012101000362</t>
  </si>
  <si>
    <t>นางสาว เนตรฤทัย วันอินทร์</t>
  </si>
  <si>
    <t>STHBKK012101000363</t>
  </si>
  <si>
    <t>นุสรา คำเหล็ก</t>
  </si>
  <si>
    <t>STHBKK012101000364</t>
  </si>
  <si>
    <t>นาง อังคณา นวมหอม</t>
  </si>
  <si>
    <t>STHBKK012101000365</t>
  </si>
  <si>
    <t>นาย ธีระศักดิ์ ใหญ่ยงค์</t>
  </si>
  <si>
    <t>STHBKK012101000366</t>
  </si>
  <si>
    <t>นางสาว เบญจมาศ ไชยพฤกษ์</t>
  </si>
  <si>
    <t>STHBKK012101000367</t>
  </si>
  <si>
    <t>STHBKK012101000368</t>
  </si>
  <si>
    <t>STHBKK012101000369</t>
  </si>
  <si>
    <t>บริษัทจำกัด ต้องรวย</t>
  </si>
  <si>
    <t>STHBKK012101000370</t>
  </si>
  <si>
    <t>นางสาว กัญญ์ญภัสส์ ผลิวรรธนะ</t>
  </si>
  <si>
    <t>STHBKK012101000372</t>
  </si>
  <si>
    <t>นาง ญาณิศา มิสธรรม</t>
  </si>
  <si>
    <t>STHBKK012101000373</t>
  </si>
  <si>
    <t>นาย ศราวุฒน์ สินธุวรโรจน์</t>
  </si>
  <si>
    <t>STHBKK012101000376</t>
  </si>
  <si>
    <t>STHBKK012101000377</t>
  </si>
  <si>
    <t>ภวพล ชัยสุขสังข์+ดร.สุนีย์ ภิรมย์ประเมศ</t>
  </si>
  <si>
    <t>STHBKK012101000378</t>
  </si>
  <si>
    <t>STHBKK012101000379</t>
  </si>
  <si>
    <t>STHBKK012101000380</t>
  </si>
  <si>
    <t>STHBKK012101000381</t>
  </si>
  <si>
    <t>STHBKK012101000382</t>
  </si>
  <si>
    <t>นางสาว อภัสนันท์ เจริญศิริวิชญกุล</t>
  </si>
  <si>
    <t>STHBKK012101000383</t>
  </si>
  <si>
    <t>นางสาว จามรี จันทร์ผกา</t>
  </si>
  <si>
    <t>STHBKK012101000384</t>
  </si>
  <si>
    <t>นาย เกษตร นากกระแสร์</t>
  </si>
  <si>
    <t>STHBKK012101000385</t>
  </si>
  <si>
    <t>นาง จันทร์ศิริ ศรศรี</t>
  </si>
  <si>
    <t>STHBKK012101000386</t>
  </si>
  <si>
    <t>STHBKK012101000387</t>
  </si>
  <si>
    <t>STHBKK012101000388</t>
  </si>
  <si>
    <t>STHBKK012101000389</t>
  </si>
  <si>
    <t>STHBKK012101000390</t>
  </si>
  <si>
    <t>นางสาว นภาพร กิจเจริญ</t>
  </si>
  <si>
    <t>STHBKK012101000391</t>
  </si>
  <si>
    <t>นาง สุพัตรา พรมแพร</t>
  </si>
  <si>
    <t>STHBKK012101000392</t>
  </si>
  <si>
    <t>นาย กาญจน์พิสุทธิ์ ชุติกุลอนันต์</t>
  </si>
  <si>
    <t>STHBKK012101000393</t>
  </si>
  <si>
    <t>นาย กฤตนัย กงอิ่ม</t>
  </si>
  <si>
    <t>STHBKK012101000394</t>
  </si>
  <si>
    <t>STHBKK012101000395</t>
  </si>
  <si>
    <t>ลำใย เจริญศิริ</t>
  </si>
  <si>
    <t>STHBKK012101000396</t>
  </si>
  <si>
    <t>STHBKK012101000397</t>
  </si>
  <si>
    <t>นาง คำนึง โกส้ม</t>
  </si>
  <si>
    <t>STHBKK012101000398</t>
  </si>
  <si>
    <t>STHBKK012101000399</t>
  </si>
  <si>
    <t>STHBKK012101000400</t>
  </si>
  <si>
    <t>STHBKK012101000401</t>
  </si>
  <si>
    <t>สนั่น ปริมาณ</t>
  </si>
  <si>
    <t>STHBKK012101000402</t>
  </si>
  <si>
    <t>นางสาว จันทนา มั่นมานะเสรี</t>
  </si>
  <si>
    <t>STHBKK012101000403</t>
  </si>
  <si>
    <t>STHBKK012101000404</t>
  </si>
  <si>
    <t>STHBKK012101000405</t>
  </si>
  <si>
    <t>นางสาว จุฑารัตน์ - ภูผา ตรงดี</t>
  </si>
  <si>
    <t>STHBKK012101000406</t>
  </si>
  <si>
    <t>นางสาว มาเรียม ยิ้มสาระ</t>
  </si>
  <si>
    <t>STHBKK012101000407</t>
  </si>
  <si>
    <t>STHBKK012101000408</t>
  </si>
  <si>
    <t>นางสาว ปรียาวดี โคดม</t>
  </si>
  <si>
    <t>STHBKK012101000409</t>
  </si>
  <si>
    <t>STHBKK012101000410</t>
  </si>
  <si>
    <t>STHBKK012101000411</t>
  </si>
  <si>
    <t>STHBKK012101000412</t>
  </si>
  <si>
    <t>นาย ภูวสิษฐ์&amp;#8203; บวร&amp;#8203;ธ&amp;#8203;ี&amp;#8203;รา&amp;#8203;เศรษฐ์</t>
  </si>
  <si>
    <t>STHBKK012101000413</t>
  </si>
  <si>
    <t>นาย สุเมธ กลิ่นเย็น</t>
  </si>
  <si>
    <t>STHBKK012101000414</t>
  </si>
  <si>
    <t>STHBKK012101000415</t>
  </si>
  <si>
    <t>STHBKK012101000416</t>
  </si>
  <si>
    <t>นางสาว ณิฐชานันท์ นนท์วุฒิวัชร์</t>
  </si>
  <si>
    <t>STHBKK012101000417</t>
  </si>
  <si>
    <t>ถามพนต์ นวลดี</t>
  </si>
  <si>
    <t>STHBKK012101000418</t>
  </si>
  <si>
    <t>พ.ต.ท. วิรุฬ อินทร์มีสุข</t>
  </si>
  <si>
    <t>STHBKK012101000419</t>
  </si>
  <si>
    <t>STHBKK012101000420</t>
  </si>
  <si>
    <t>นาย ธีระ ปัตถาระกัง</t>
  </si>
  <si>
    <t>STHBKK012101000421</t>
  </si>
  <si>
    <t>STHBKK012101000422</t>
  </si>
  <si>
    <t>STHBKK012101000424</t>
  </si>
  <si>
    <t>STHBKK012101000425</t>
  </si>
  <si>
    <t>นาย ชัชธนา ทองงามขำ</t>
  </si>
  <si>
    <t>STHBKK012101000426</t>
  </si>
  <si>
    <t>STHBKK012101000427</t>
  </si>
  <si>
    <t>นาย สุทธิ คำบุญ</t>
  </si>
  <si>
    <t>STHBKK012101000428</t>
  </si>
  <si>
    <t>STHBKK012101000429</t>
  </si>
  <si>
    <t>STHBKK012101000430</t>
  </si>
  <si>
    <t>นาย สำอางค์ พลอยดีเลิศ</t>
  </si>
  <si>
    <t>STHBKK012101000431</t>
  </si>
  <si>
    <t>นาย จรัญ มากบางแก้ว</t>
  </si>
  <si>
    <t>STHBKK012101000432</t>
  </si>
  <si>
    <t>นางสาว ชวันรัตน์ สุคนธชัยโรจน์</t>
  </si>
  <si>
    <t>STHBKK012101000433</t>
  </si>
  <si>
    <t>STHBKK012101000434</t>
  </si>
  <si>
    <t>MR Veasna l</t>
  </si>
  <si>
    <t>STHBKK012101000435</t>
  </si>
  <si>
    <t>MR Heng chamroeun</t>
  </si>
  <si>
    <t>STHBKK012101000436</t>
  </si>
  <si>
    <t>STHBKK012101000438</t>
  </si>
  <si>
    <t>นาย กุศล ศรีบุณยะแก้ว</t>
  </si>
  <si>
    <t>STHONLIN2101000071</t>
  </si>
  <si>
    <t>นางสาว นภัสรพี องอาจสัมฤทธิ์</t>
  </si>
  <si>
    <t>STHONLIN2101000073</t>
  </si>
  <si>
    <t>STHONLIN2101000074</t>
  </si>
  <si>
    <t>STHONLIN2101000075</t>
  </si>
  <si>
    <t>STHONLIN2101000077</t>
  </si>
  <si>
    <t>นาง นารินี กมลสุวรรณ</t>
  </si>
  <si>
    <t>STHONLIN2101000078</t>
  </si>
  <si>
    <t>STHONLIN2101000079</t>
  </si>
  <si>
    <t>STHONLIN2101000083</t>
  </si>
  <si>
    <t>STHONLIN2101000084</t>
  </si>
  <si>
    <t>STHONLIN2101000085</t>
  </si>
  <si>
    <t>STHONLIN2101000089</t>
  </si>
  <si>
    <t>DAILY  SALE  08 Jan 2021</t>
  </si>
  <si>
    <t>STHBKK012101000439</t>
  </si>
  <si>
    <t>STHBKK012101000440</t>
  </si>
  <si>
    <t>นาย สรรชัย เทียนทอง</t>
  </si>
  <si>
    <t>STHBKK012101000441</t>
  </si>
  <si>
    <t>นาง ดุษณี เจมส์</t>
  </si>
  <si>
    <t>STHBKK012101000442</t>
  </si>
  <si>
    <t>นาย พันธ์ณุ คำคล้าย</t>
  </si>
  <si>
    <t>STHBKK012101000443</t>
  </si>
  <si>
    <t>นางสาว บัวนภา คดีพิศาล</t>
  </si>
  <si>
    <t>STHBKK012101000444</t>
  </si>
  <si>
    <t>STHBKK012101000445</t>
  </si>
  <si>
    <t>STHBKK012101000446</t>
  </si>
  <si>
    <t>นางสาว ไพลิน สิงห์ชู</t>
  </si>
  <si>
    <t>STHBKK012101000447</t>
  </si>
  <si>
    <t>นาย เสริมวิชญ์ สุขชาญ</t>
  </si>
  <si>
    <t>STHBKK012101000448</t>
  </si>
  <si>
    <t>STHBKK012101000449</t>
  </si>
  <si>
    <t>STHBKK012101000450</t>
  </si>
  <si>
    <t>ธีรพัชร์ ประสพภูอารีย์-กนกวรรณ</t>
  </si>
  <si>
    <t>STHBKK012101000451</t>
  </si>
  <si>
    <t>STHBKK012101000452</t>
  </si>
  <si>
    <t>นาย ณัฐพงศ์ บุญสิงห์</t>
  </si>
  <si>
    <t>STHBKK012101000453</t>
  </si>
  <si>
    <t>นาย บุญนาค เรืองอยู่</t>
  </si>
  <si>
    <t>STHBKK012101000454</t>
  </si>
  <si>
    <t>นาง นิตย์อุษา ภูริศจิราภัทร์</t>
  </si>
  <si>
    <t>STHBKK012101000455</t>
  </si>
  <si>
    <t>นาย ฐณกฤต อาจหาญ-กัญจนจักก์ อินทร์มีสุข</t>
  </si>
  <si>
    <t>STHBKK012101000456</t>
  </si>
  <si>
    <t>STHBKK012101000457</t>
  </si>
  <si>
    <t>STHBKK012101000458</t>
  </si>
  <si>
    <t>STHBKK012101000459</t>
  </si>
  <si>
    <t>STHBKK012101000460</t>
  </si>
  <si>
    <t>STHBKK012101000461</t>
  </si>
  <si>
    <t>STHBKK012101000462</t>
  </si>
  <si>
    <t>STHBKK012101000463</t>
  </si>
  <si>
    <t>STHBKK012101000464</t>
  </si>
  <si>
    <t>STHBKK012101000465</t>
  </si>
  <si>
    <t>STHBKK012101000466</t>
  </si>
  <si>
    <t>นาย ไพทูรย์&amp;#8203; วัดเวียงคำ</t>
  </si>
  <si>
    <t>STHBKK012101000467</t>
  </si>
  <si>
    <t>STHBKK012101000468</t>
  </si>
  <si>
    <t>STHBKK012101000469</t>
  </si>
  <si>
    <t>นางสาว มลทิน ดาวท่าน</t>
  </si>
  <si>
    <t>STHBKK012101000470</t>
  </si>
  <si>
    <t>นาง ประดิษ ศุภลักษณ์</t>
  </si>
  <si>
    <t>STHBKK012101000471</t>
  </si>
  <si>
    <t>นาง นิภาพร อินเถื่อน</t>
  </si>
  <si>
    <t>STHBKK012101000472</t>
  </si>
  <si>
    <t>นาย เพชร ภูมี</t>
  </si>
  <si>
    <t>STHBKK012101000473</t>
  </si>
  <si>
    <t>STHBKK012101000474</t>
  </si>
  <si>
    <t>STHBKK012101000475</t>
  </si>
  <si>
    <t>นาย สิปปภาส โรจนวสุธร</t>
  </si>
  <si>
    <t>STHBKK012101000476</t>
  </si>
  <si>
    <t>นาย สันติภาพ นิมะบุตร์</t>
  </si>
  <si>
    <t>STHBKK012101000477</t>
  </si>
  <si>
    <t>นาย ณฐพนธ์+ชบา ศรีศักดา</t>
  </si>
  <si>
    <t>STHBKK012101000478</t>
  </si>
  <si>
    <t>STHBKK012101000479</t>
  </si>
  <si>
    <t>นาย ณัฐพนธ์ แพร่พิพัฒน์</t>
  </si>
  <si>
    <t>STHBKK012101000480</t>
  </si>
  <si>
    <t>STHBKK012101000481</t>
  </si>
  <si>
    <t>นาย เรวัตร โปธิปัน</t>
  </si>
  <si>
    <t>STHBKK012101000482</t>
  </si>
  <si>
    <t>STHBKK012101000483</t>
  </si>
  <si>
    <t>STHBKK012101000484</t>
  </si>
  <si>
    <t>STHBKK012101000485</t>
  </si>
  <si>
    <t>STHBKK012101000486</t>
  </si>
  <si>
    <t>STHBKK012101000487</t>
  </si>
  <si>
    <t>นาง ศิราณีย์ ทิพยโสภากุล</t>
  </si>
  <si>
    <t>STHBKK012101000488</t>
  </si>
  <si>
    <t>STHBKK012101000489</t>
  </si>
  <si>
    <t>STHBKK012101000490</t>
  </si>
  <si>
    <t>STHBKK012101000493</t>
  </si>
  <si>
    <t>STHBKK012101000494</t>
  </si>
  <si>
    <t>STHBKK012101000495</t>
  </si>
  <si>
    <t>STHBKK012101000496</t>
  </si>
  <si>
    <t>STHBKK012101000497</t>
  </si>
  <si>
    <t>STHBKK012101000499</t>
  </si>
  <si>
    <t>นางสาว ยุพิน ล้อมประจิตร</t>
  </si>
  <si>
    <t>STHBKK012101000500</t>
  </si>
  <si>
    <t>STHBKK012101000501</t>
  </si>
  <si>
    <t>STHBKK012101000502</t>
  </si>
  <si>
    <t>นาง อรวรรณ จันทร์วงศ์</t>
  </si>
  <si>
    <t>STHBKK012101000503</t>
  </si>
  <si>
    <t>STHBKK012101000505</t>
  </si>
  <si>
    <t>นาย ยงยุทธ แก้วสม</t>
  </si>
  <si>
    <t>STHBKK012101000506</t>
  </si>
  <si>
    <t>STHBKK012101000507</t>
  </si>
  <si>
    <t>นางสาว ยูรีนา เกษา</t>
  </si>
  <si>
    <t>STHBKK012101000508</t>
  </si>
  <si>
    <t>STHBKK012101000509</t>
  </si>
  <si>
    <t>STHBKK012101000510</t>
  </si>
  <si>
    <t>STHBKK012101000511</t>
  </si>
  <si>
    <t>STHBKK012101000512</t>
  </si>
  <si>
    <t>นางสาว วรรณี เล็กสาคร</t>
  </si>
  <si>
    <t>STHBKK012101000513</t>
  </si>
  <si>
    <t>STHBKK012101000514</t>
  </si>
  <si>
    <t>STHBKK012101000515</t>
  </si>
  <si>
    <t>STHBKK012101000516</t>
  </si>
  <si>
    <t>นางสาว จิณห์ภณิดา วรรณนิคมจิตร์</t>
  </si>
  <si>
    <t>STHBKK012101000517</t>
  </si>
  <si>
    <t>STHBKK012101000518</t>
  </si>
  <si>
    <t>บริษัท ดีเวย์ ริชคอร์ป จำกัด</t>
  </si>
  <si>
    <t>STHONLIN2101000102</t>
  </si>
  <si>
    <t>STHONLIN2101000103</t>
  </si>
  <si>
    <t>STHONLIN2101000105</t>
  </si>
  <si>
    <t>STHONLIN2101000107</t>
  </si>
  <si>
    <t>บริษัทจำกัด ต.ศรีโสภณ จำกัด</t>
  </si>
  <si>
    <t>STHONLIN2101000109</t>
  </si>
  <si>
    <t>STHONLIN2101000110</t>
  </si>
  <si>
    <t>นางสาว รชตวรรณ วรรณศรี</t>
  </si>
  <si>
    <t>STHONLIN2101000111</t>
  </si>
  <si>
    <t>DAILY  SALE  09 Jan 2021</t>
  </si>
  <si>
    <t>6401BKK010000001</t>
  </si>
  <si>
    <t>นาย ถัทธาพันธ์ ศรีถัด</t>
  </si>
  <si>
    <t>STHBKK012101000519</t>
  </si>
  <si>
    <t>นางสาว ณัฐพัชร์ ยิ่งรวีจิรโชติ</t>
  </si>
  <si>
    <t>STHBKK012101000521</t>
  </si>
  <si>
    <t>นางสาว ปภาดา ลัพเสถียร</t>
  </si>
  <si>
    <t>STHBKK012101000522</t>
  </si>
  <si>
    <t>นาย อภิวัฒน์ หน่ายมี</t>
  </si>
  <si>
    <t>STHBKK012101000523</t>
  </si>
  <si>
    <t>STHBKK012101000524</t>
  </si>
  <si>
    <t>STHBKK012101000525</t>
  </si>
  <si>
    <t>STHBKK012101000526</t>
  </si>
  <si>
    <t>นาย วิสูตร สุขก้อน</t>
  </si>
  <si>
    <t>STHBKK012101000527</t>
  </si>
  <si>
    <t>นางสาว สมคิด ยิ้มสาระ</t>
  </si>
  <si>
    <t>STHBKK012101000528</t>
  </si>
  <si>
    <t>STHBKK012101000529</t>
  </si>
  <si>
    <t>STHBKK012101000530</t>
  </si>
  <si>
    <t>STHBKK012101000532</t>
  </si>
  <si>
    <t>นาย ประสิทธิ์ พันธุ์วโรบล</t>
  </si>
  <si>
    <t>STHBKK012101000533</t>
  </si>
  <si>
    <t>STHBKK012101000534</t>
  </si>
  <si>
    <t>นางสาว ธนิดา แสงจันทร์</t>
  </si>
  <si>
    <t>STHBKK012101000535</t>
  </si>
  <si>
    <t>STHBKK012101000536</t>
  </si>
  <si>
    <t>STHBKK012101000537</t>
  </si>
  <si>
    <t>นาย ชูเกียรติ วีระตุมมา</t>
  </si>
  <si>
    <t>STHBKK012101000538</t>
  </si>
  <si>
    <t>นางสาว สีไพร บุญนิตย์</t>
  </si>
  <si>
    <t>STHBKK012101000539</t>
  </si>
  <si>
    <t>นาย สุรเชษฐ์ บุตรเครือ</t>
  </si>
  <si>
    <t>STHBKK012101000540</t>
  </si>
  <si>
    <t>STHBKK012101000541</t>
  </si>
  <si>
    <t>นางสาว พัณภัช เกตุเกลี้ยง</t>
  </si>
  <si>
    <t>STHBKK012101000543</t>
  </si>
  <si>
    <t>STHBKK012101000544</t>
  </si>
  <si>
    <t>STHBKK012101000545</t>
  </si>
  <si>
    <t>STHBKK012101000546</t>
  </si>
  <si>
    <t>STHBKK012101000547</t>
  </si>
  <si>
    <t>นาง พเยาว์ ชาวสวน</t>
  </si>
  <si>
    <t>STHBKK012101000548</t>
  </si>
  <si>
    <t>STHBKK012101000549</t>
  </si>
  <si>
    <t>STHBKK012101000550</t>
  </si>
  <si>
    <t>STHBKK012101000551</t>
  </si>
  <si>
    <t>นางสาว ณัฐธาวี เขมะชัยเวช</t>
  </si>
  <si>
    <t>STHBKK012101000552</t>
  </si>
  <si>
    <t>STHBKK012101000553</t>
  </si>
  <si>
    <t>นาย จเร ศรีมาก</t>
  </si>
  <si>
    <t>STHBKK012101000554</t>
  </si>
  <si>
    <t>นาย พรชัย คูสกุล</t>
  </si>
  <si>
    <t>STHBKK012101000555</t>
  </si>
  <si>
    <t>นาย สิริศักดิ์ นมพุก</t>
  </si>
  <si>
    <t>STHBKK012101000557</t>
  </si>
  <si>
    <t>นาย สายันต์ ทรัพย์เอี่ยม</t>
  </si>
  <si>
    <t>STHBKK012101000558</t>
  </si>
  <si>
    <t>นาย ประเสริฐ มีเครือรอด</t>
  </si>
  <si>
    <t>STHBKK012101000559</t>
  </si>
  <si>
    <t>STHBKK012101000560</t>
  </si>
  <si>
    <t>นาย พิชิตชัย สีดาวงค์</t>
  </si>
  <si>
    <t>STHBKK012101000561</t>
  </si>
  <si>
    <t>นาง นิตยา ศรีวรมย์</t>
  </si>
  <si>
    <t>STHBKK012101000562</t>
  </si>
  <si>
    <t>STHBKK012101000563</t>
  </si>
  <si>
    <t>STHBKK012101000564</t>
  </si>
  <si>
    <t>นาย บุญยืน เขตร์วิริยะการ</t>
  </si>
  <si>
    <t>STHBKK012101000565</t>
  </si>
  <si>
    <t>นาย บุญจันทร์ ศรีดา</t>
  </si>
  <si>
    <t>STHBKK012101000566</t>
  </si>
  <si>
    <t>STHBKK012101000567</t>
  </si>
  <si>
    <t>STHBKK012101000568</t>
  </si>
  <si>
    <t>STHBKK012101000569</t>
  </si>
  <si>
    <t>STHBKK012101000570</t>
  </si>
  <si>
    <t>ปริญพัชร์ ศรีศุภณัฐธนากุล</t>
  </si>
  <si>
    <t>STHBKK012101000571</t>
  </si>
  <si>
    <t>นาย มนัฐศิวัช กูลศิริวัฒน์</t>
  </si>
  <si>
    <t>STHBKK012101000572</t>
  </si>
  <si>
    <t>นาง ภัทรพิดา อุ่นโสดา</t>
  </si>
  <si>
    <t>STHBKK012101000573</t>
  </si>
  <si>
    <t>STHBKK012101000574</t>
  </si>
  <si>
    <t>CHUON KHUN</t>
  </si>
  <si>
    <t>STHBKK012101000575</t>
  </si>
  <si>
    <t>STHBKK012101000576</t>
  </si>
  <si>
    <t>STHBKK012101000577</t>
  </si>
  <si>
    <t>นางสาว ชาลินี แคล้วโยธา</t>
  </si>
  <si>
    <t>STHBKK012101000578</t>
  </si>
  <si>
    <t>STHBKK012101000579</t>
  </si>
  <si>
    <t>STHBKK012101000580</t>
  </si>
  <si>
    <t>STHBKK012101000581</t>
  </si>
  <si>
    <t>STHBKK012101000582</t>
  </si>
  <si>
    <t>STHBKK012101000584</t>
  </si>
  <si>
    <t>STHBKK012101000585</t>
  </si>
  <si>
    <t>บริษัทจำกัด กุลไลฟ์ 24 จำกัด</t>
  </si>
  <si>
    <t>STHONLIN2101000115</t>
  </si>
  <si>
    <t>STHONLIN2101000119</t>
  </si>
  <si>
    <t>STHONLIN2101000120</t>
  </si>
  <si>
    <t>นางสาว ศรุดา ทองสีดี</t>
  </si>
  <si>
    <t>STHONLIN2101000121</t>
  </si>
  <si>
    <t>STHONLIN2101000122</t>
  </si>
  <si>
    <t>STHONLIN2101000126</t>
  </si>
  <si>
    <t>DAILY  SALE  10 Jan 2021</t>
  </si>
  <si>
    <t>STHBKK012101000586</t>
  </si>
  <si>
    <t>STHBKK012101000587</t>
  </si>
  <si>
    <t>นางสาว เจนาธรณ์ อติพรวณิชย์</t>
  </si>
  <si>
    <t>STHBKK012101000588</t>
  </si>
  <si>
    <t>STHBKK012101000589</t>
  </si>
  <si>
    <t>นาย ศักดิ์ดา อุดร</t>
  </si>
  <si>
    <t>STHBKK012101000590</t>
  </si>
  <si>
    <t>นางสาว อชิรดานันท์ เกิดปั้น</t>
  </si>
  <si>
    <t>STHBKK012101000592</t>
  </si>
  <si>
    <t>STHBKK012101000593</t>
  </si>
  <si>
    <t>STHBKK012101000594</t>
  </si>
  <si>
    <t>STHBKK012101000595</t>
  </si>
  <si>
    <t>นาย พิสิฐ โฉ่พลกรัง</t>
  </si>
  <si>
    <t>STHBKK012101000597</t>
  </si>
  <si>
    <t>นางสาว อลิศา เสือนุ่ม</t>
  </si>
  <si>
    <t>STHBKK012101000598</t>
  </si>
  <si>
    <t>STHBKK012101000599</t>
  </si>
  <si>
    <t>นางสาว อัจฉรา พันธ์อุโมงค์</t>
  </si>
  <si>
    <t>STHBKK012101000600</t>
  </si>
  <si>
    <t>STHBKK012101000601</t>
  </si>
  <si>
    <t>บริษัทจำกัด เอ็น.เค.ทรัพย์โซเชียล จำกัด</t>
  </si>
  <si>
    <t>STHBKK012101000602</t>
  </si>
  <si>
    <t>STHBKK012101000603</t>
  </si>
  <si>
    <t>STHBKK012101000604</t>
  </si>
  <si>
    <t>STHBKK012101000605</t>
  </si>
  <si>
    <t>นาย พัทราวุธ คำประกอบ</t>
  </si>
  <si>
    <t>STHBKK012101000606</t>
  </si>
  <si>
    <t>นาย บรรจง ปุยอบ</t>
  </si>
  <si>
    <t>STHBKK012101000607</t>
  </si>
  <si>
    <t>นาง ชัยศิริ ปราชญานุกุล</t>
  </si>
  <si>
    <t>STHBKK012101000608</t>
  </si>
  <si>
    <t>นาง นภาไพลิน กาละวันต์</t>
  </si>
  <si>
    <t>STHBKK012101000609</t>
  </si>
  <si>
    <t>นาง พิรญาณ์ มีใย</t>
  </si>
  <si>
    <t>STHBKK012101000611</t>
  </si>
  <si>
    <t>STHBKK012101000613</t>
  </si>
  <si>
    <t>STHBKK012101000614</t>
  </si>
  <si>
    <t>นางสาว สุภาศิลป์ แสนแก้ว</t>
  </si>
  <si>
    <t>STHBKK012101000615</t>
  </si>
  <si>
    <t>STHBKK012101000616</t>
  </si>
  <si>
    <t>STHBKK012101000618</t>
  </si>
  <si>
    <t>STHBKK012101000619</t>
  </si>
  <si>
    <t>STHBKK012101000620</t>
  </si>
  <si>
    <t>STHBKK012101000621</t>
  </si>
  <si>
    <t>STHBKK012101000622</t>
  </si>
  <si>
    <t>STHBKK012101000623</t>
  </si>
  <si>
    <t>นางสาว Sreng Linna</t>
  </si>
  <si>
    <t>STHBKK012101000624</t>
  </si>
  <si>
    <t>STHBKK012101000625</t>
  </si>
  <si>
    <t>STHBKK012101000626</t>
  </si>
  <si>
    <t>STHBKK012101000627</t>
  </si>
  <si>
    <t>นาง อรพิน นางแสน</t>
  </si>
  <si>
    <t>STHBKK012101000628</t>
  </si>
  <si>
    <t>STHBKK012101000629</t>
  </si>
  <si>
    <t>STHBKK012101000630</t>
  </si>
  <si>
    <t>STHBKK012101000631</t>
  </si>
  <si>
    <t>STHBKK012101000632</t>
  </si>
  <si>
    <t>STHBKK012101000633</t>
  </si>
  <si>
    <t>นาย สมรวม กุลโสภณ</t>
  </si>
  <si>
    <t>STHBKK012101000634</t>
  </si>
  <si>
    <t>STHBKK012101000635</t>
  </si>
  <si>
    <t>STHBKK012101000636</t>
  </si>
  <si>
    <t>ดนัสพันธุ์ ศรีถัด</t>
  </si>
  <si>
    <t>STHBKK012101000637</t>
  </si>
  <si>
    <t>STHBKK012101000638</t>
  </si>
  <si>
    <t>STHBKK012101000639</t>
  </si>
  <si>
    <t>STHBKK012101000640</t>
  </si>
  <si>
    <t>STHBKK012101000641</t>
  </si>
  <si>
    <t>นาง ณัฎฐณันธ์ วงวันดี-ทศพล เต็มราม</t>
  </si>
  <si>
    <t>STHBKK012101000643</t>
  </si>
  <si>
    <t>STHBKK012101000644</t>
  </si>
  <si>
    <t>นาง สุมาลี วีระตุมมา</t>
  </si>
  <si>
    <t>STHBKK012101000645</t>
  </si>
  <si>
    <t>STHBKK012101000646</t>
  </si>
  <si>
    <t>STHBKK012101000647</t>
  </si>
  <si>
    <t>นางสาว อาภรณ์ เนียมโสด</t>
  </si>
  <si>
    <t>STHONLIN2101000135</t>
  </si>
  <si>
    <t>DAILY  SALE  11 Jan 2021</t>
  </si>
  <si>
    <t>STHBKK012101000648</t>
  </si>
  <si>
    <t>STHBKK012101000649</t>
  </si>
  <si>
    <t>STHBKK012101000650</t>
  </si>
  <si>
    <t>นาง สีแพร มังกรแก้ว</t>
  </si>
  <si>
    <t>STHBKK012101000651</t>
  </si>
  <si>
    <t>STHBKK012101000652</t>
  </si>
  <si>
    <t>นางสาว สร้อยประดับ คำสวน</t>
  </si>
  <si>
    <t>STHBKK012101000653</t>
  </si>
  <si>
    <t>นางสาว สุวรรณา หอมเย็น</t>
  </si>
  <si>
    <t>STHBKK012101000654</t>
  </si>
  <si>
    <t>STHBKK012101000655</t>
  </si>
  <si>
    <t>STHBKK012101000656</t>
  </si>
  <si>
    <t>STHBKK012101000657</t>
  </si>
  <si>
    <t>นางสาว ชรินรัตน์ น้อยคำ</t>
  </si>
  <si>
    <t>STHBKK012101000658</t>
  </si>
  <si>
    <t>นาย ธราดล ทองประกอบ</t>
  </si>
  <si>
    <t>STHBKK012101000659</t>
  </si>
  <si>
    <t>STHBKK012101000662</t>
  </si>
  <si>
    <t>STHBKK012101000663</t>
  </si>
  <si>
    <t>STHBKK012101000664</t>
  </si>
  <si>
    <t>STHBKK012101000665</t>
  </si>
  <si>
    <t>STHBKK012101000666</t>
  </si>
  <si>
    <t>STHBKK012101000667</t>
  </si>
  <si>
    <t>STHBKK012101000668</t>
  </si>
  <si>
    <t>STHBKK012101000669</t>
  </si>
  <si>
    <t>STHBKK012101000670</t>
  </si>
  <si>
    <t>นาง ปราณี ธานี</t>
  </si>
  <si>
    <t>STHBKK012101000671</t>
  </si>
  <si>
    <t>STHBKK012101000672</t>
  </si>
  <si>
    <t>STHBKK012101000673</t>
  </si>
  <si>
    <t>STHBKK012101000674</t>
  </si>
  <si>
    <t>STHBKK012101000675</t>
  </si>
  <si>
    <t>นาง รจนา กันทาผาม</t>
  </si>
  <si>
    <t>STHBKK012101000676</t>
  </si>
  <si>
    <t>STHBKK012101000678</t>
  </si>
  <si>
    <t>STHBKK012101000679</t>
  </si>
  <si>
    <t>นาง สิริกาญจน์ อัครพงษ์โภคิน</t>
  </si>
  <si>
    <t>STHBKK012101000680</t>
  </si>
  <si>
    <t>นาง ดาวเรือง ขันอินทร์</t>
  </si>
  <si>
    <t>STHBKK012101000681</t>
  </si>
  <si>
    <t>วิษณุ สามล</t>
  </si>
  <si>
    <t>STHBKK012101000682</t>
  </si>
  <si>
    <t>STHBKK012101000683</t>
  </si>
  <si>
    <t>นาง รัศมี พรมดี</t>
  </si>
  <si>
    <t>STHBKK012101000684</t>
  </si>
  <si>
    <t>นาง ศรีจันทร์ สามล</t>
  </si>
  <si>
    <t>STHBKK012101000685</t>
  </si>
  <si>
    <t>STHBKK012101000686</t>
  </si>
  <si>
    <t>STHBKK012101000688</t>
  </si>
  <si>
    <t>STHBKK012101000689</t>
  </si>
  <si>
    <t>นาง ประเทือง สุริโย</t>
  </si>
  <si>
    <t>STHBKK012101000690</t>
  </si>
  <si>
    <t>นาย ธิติวัฒน์ รัตนภูมิ</t>
  </si>
  <si>
    <t>STHBKK012101000691</t>
  </si>
  <si>
    <t>นางสาว อรวรรณ มั่นคง</t>
  </si>
  <si>
    <t>STHBKK012101000692</t>
  </si>
  <si>
    <t>STHBKK012101000693</t>
  </si>
  <si>
    <t>ศุทธิ์ธี ลาภูเขียว</t>
  </si>
  <si>
    <t>STHBKK012101000694</t>
  </si>
  <si>
    <t>นาง อุไรวรรณ&amp;#8203; ฉิมอ่วม</t>
  </si>
  <si>
    <t>STHBKK012101000695</t>
  </si>
  <si>
    <t>STHBKK012101000696</t>
  </si>
  <si>
    <t>นาง รัตนกร ไม้แดง</t>
  </si>
  <si>
    <t>STHBKK012101000697</t>
  </si>
  <si>
    <t>STHBKK012101000698</t>
  </si>
  <si>
    <t>นาย จตุรเทพ ไม้แดง</t>
  </si>
  <si>
    <t>STHBKK012101000699</t>
  </si>
  <si>
    <t>STHBKK012101000700</t>
  </si>
  <si>
    <t>นาย ณัฐพล ไม้แดง</t>
  </si>
  <si>
    <t>STHBKK012101000701</t>
  </si>
  <si>
    <t>นาง ปราณี ศรัทธานนท์</t>
  </si>
  <si>
    <t>STHBKK012101000702</t>
  </si>
  <si>
    <t>STHBKK012101000703</t>
  </si>
  <si>
    <t>นาย ไพฑูรย์ จันทร์รุ่งโรจน์</t>
  </si>
  <si>
    <t>STHBKK012101000704</t>
  </si>
  <si>
    <t>นาย ฐากร ตันสิรานนท์-ศศิพิมพ์ ปลื้มจิตร์</t>
  </si>
  <si>
    <t>STHBKK012101000705</t>
  </si>
  <si>
    <t>STHBKK012101000706</t>
  </si>
  <si>
    <t>STHBKK012101000707</t>
  </si>
  <si>
    <t>STHBKK012101000708</t>
  </si>
  <si>
    <t>นาย ธนภณ ทวียศหิรัญ</t>
  </si>
  <si>
    <t>STHBKK012101000709</t>
  </si>
  <si>
    <t>STHBKK012101000711</t>
  </si>
  <si>
    <t>STHBKK012101000712</t>
  </si>
  <si>
    <t>STHBKK012101000713</t>
  </si>
  <si>
    <t>STHBKK012101000714</t>
  </si>
  <si>
    <t>นางสาว กัลยาณี ร่มละมูล</t>
  </si>
  <si>
    <t>STHBKK012101000715</t>
  </si>
  <si>
    <t>นางสาว จินดารัตน์ นวลคล่ำ</t>
  </si>
  <si>
    <t>STHBKK012101000716</t>
  </si>
  <si>
    <t>STHBKK012101000717</t>
  </si>
  <si>
    <t>STHBKK012101000718</t>
  </si>
  <si>
    <t>นาย ภานุวัตน์ จุ้ยเนียม</t>
  </si>
  <si>
    <t>STHBKK012101000719</t>
  </si>
  <si>
    <t>STHBKK012101000720</t>
  </si>
  <si>
    <t>STHBKK012101000721</t>
  </si>
  <si>
    <t>STHBKK012101000722</t>
  </si>
  <si>
    <t>นาง สุนัน ปาระมีศรี</t>
  </si>
  <si>
    <t>STHBKK012101000723</t>
  </si>
  <si>
    <t>นาง ศรีรัตน์ ปัญญา</t>
  </si>
  <si>
    <t>STHBKK012101000724</t>
  </si>
  <si>
    <t>STHBKK012101000725</t>
  </si>
  <si>
    <t>นาง กรรณิการ์ คล้ายแก้ว</t>
  </si>
  <si>
    <t>STHBKK012101000726</t>
  </si>
  <si>
    <t>STHBKK012101000727</t>
  </si>
  <si>
    <t>STHBKK012101000728</t>
  </si>
  <si>
    <t>STHBKK012101000729</t>
  </si>
  <si>
    <t>STHBKK012101000730</t>
  </si>
  <si>
    <t>STHBKK012101000731</t>
  </si>
  <si>
    <t>นาง อภิญญา อินทรศักดิ์</t>
  </si>
  <si>
    <t>STHBKK012101000732</t>
  </si>
  <si>
    <t>นางสาว ประภัสสร ดีดวงพันธ์</t>
  </si>
  <si>
    <t>STHBKK012101000733</t>
  </si>
  <si>
    <t>นางสาว ณัฐนันท์ ไพโรจน์</t>
  </si>
  <si>
    <t>STHBKK012101000734</t>
  </si>
  <si>
    <t>STHBKK012101000735</t>
  </si>
  <si>
    <t>STHBKK012101000737</t>
  </si>
  <si>
    <t>STHBKK012101000738</t>
  </si>
  <si>
    <t>STHBKK012101000739</t>
  </si>
  <si>
    <t>STHBKK012101000740</t>
  </si>
  <si>
    <t>STHBKK012101000741</t>
  </si>
  <si>
    <t>STHBKK012101000742</t>
  </si>
  <si>
    <t>นาย พิเชษฐ์ แถลงกิจ</t>
  </si>
  <si>
    <t>STHONLIN2101000143</t>
  </si>
  <si>
    <t>STHONLIN2101000144</t>
  </si>
  <si>
    <t>STHONLIN2101000145</t>
  </si>
  <si>
    <t>STHONLIN2101000146</t>
  </si>
  <si>
    <t>STHONLIN2101000147</t>
  </si>
  <si>
    <t>STHONLIN2101000148</t>
  </si>
  <si>
    <t>STHONLIN2101000149</t>
  </si>
  <si>
    <t>STHONLIN2101000150</t>
  </si>
  <si>
    <t>DAILY  SALE  12 Jan 2021</t>
  </si>
  <si>
    <t>STHBKK012101000743</t>
  </si>
  <si>
    <t>MENGAY SOK</t>
  </si>
  <si>
    <t>STHBKK012101000748</t>
  </si>
  <si>
    <t>หฤทัย พัฒนาบำรุง</t>
  </si>
  <si>
    <t>STHBKK012101000749</t>
  </si>
  <si>
    <t>ถิรายุ พัฒนาบำรุง</t>
  </si>
  <si>
    <t>STHBKK012101000750</t>
  </si>
  <si>
    <t>ภิรายุ พัฒนาบำรุง</t>
  </si>
  <si>
    <t>STHBKK012101000751</t>
  </si>
  <si>
    <t>จำรัส พัฒนาบำรุง</t>
  </si>
  <si>
    <t>STHBKK012101000752</t>
  </si>
  <si>
    <t>อนันต์ พัฒนาบำรุง</t>
  </si>
  <si>
    <t>STHBKK012101000753</t>
  </si>
  <si>
    <t>สมบัติ กมลพิชัยธรรม</t>
  </si>
  <si>
    <t>STHBKK012101000754</t>
  </si>
  <si>
    <t>ขนิษฐา กมลพิชัยธรรม</t>
  </si>
  <si>
    <t>STHBKK012101000755</t>
  </si>
  <si>
    <t>พิศาล กมลพิชัยธรรม</t>
  </si>
  <si>
    <t>STHBKK012101000756</t>
  </si>
  <si>
    <t>ยศพงษ์ กมลพิชัยธรรม</t>
  </si>
  <si>
    <t>STHBKK012101000757</t>
  </si>
  <si>
    <t>วิชัย กมลพิชัยธรรม</t>
  </si>
  <si>
    <t>STHBKK012101000758</t>
  </si>
  <si>
    <t>ยงยุทธ ตรีมงคลเลิศ</t>
  </si>
  <si>
    <t>STHBKK012101000759</t>
  </si>
  <si>
    <t>วีรยุทธ ตรีมงคลเลิศ</t>
  </si>
  <si>
    <t>STHBKK012101000760</t>
  </si>
  <si>
    <t>นรินทร์ ตรีมงคลเลิศ</t>
  </si>
  <si>
    <t>STHBKK012101000761</t>
  </si>
  <si>
    <t>ชวิศ ตรีมงคลเลิศ</t>
  </si>
  <si>
    <t>STHBKK012101000762</t>
  </si>
  <si>
    <t>อัศวิน ตรีมงคลเลิศ</t>
  </si>
  <si>
    <t>STHBKK012101000763</t>
  </si>
  <si>
    <t>รัตนา มีขจรเกียรติ</t>
  </si>
  <si>
    <t>STHBKK012101000764</t>
  </si>
  <si>
    <t>ปกป้อง มีขจรเกียรติ</t>
  </si>
  <si>
    <t>STHBKK012101000765</t>
  </si>
  <si>
    <t>สหรัฐ มีขจรเกียรติ</t>
  </si>
  <si>
    <t>STHBKK012101000766</t>
  </si>
  <si>
    <t>จำรูญ มีขจรเกียรติ</t>
  </si>
  <si>
    <t>STHBKK012101000767</t>
  </si>
  <si>
    <t>วีรชัย มีขจรเกียรติ</t>
  </si>
  <si>
    <t>STHBKK012101000768</t>
  </si>
  <si>
    <t>รวิวรรณ มโนกิจยากร</t>
  </si>
  <si>
    <t>STHBKK012101000769</t>
  </si>
  <si>
    <t>กิตติ มโนกิจยากร</t>
  </si>
  <si>
    <t>STHBKK012101000770</t>
  </si>
  <si>
    <t>ชัยพร มโนกิจยากร</t>
  </si>
  <si>
    <t>STHBKK012101000771</t>
  </si>
  <si>
    <t>วุฒินนท์ มโนกิจยากร</t>
  </si>
  <si>
    <t>STHBKK012101000772</t>
  </si>
  <si>
    <t>วุฒิชัย มโนกิจยากร</t>
  </si>
  <si>
    <t>STHBKK012101000773</t>
  </si>
  <si>
    <t>นาย เมธา อนันต์</t>
  </si>
  <si>
    <t>STHBKK012101000774</t>
  </si>
  <si>
    <t>นาง รัชชาณัน เดชา</t>
  </si>
  <si>
    <t>STHBKK012101000775</t>
  </si>
  <si>
    <t>นาย สายน้ำ เจริญสันชัย</t>
  </si>
  <si>
    <t>STHBKK012101000776</t>
  </si>
  <si>
    <t>นางสาว นหทัย ใจเริศ</t>
  </si>
  <si>
    <t>STHBKK012101000777</t>
  </si>
  <si>
    <t>นาย ธนชิต เพ็งหยวก</t>
  </si>
  <si>
    <t>STHBKK012101000778</t>
  </si>
  <si>
    <t>STHBKK012101000779</t>
  </si>
  <si>
    <t>STHBKK012101000780</t>
  </si>
  <si>
    <t>STHBKK012101000781</t>
  </si>
  <si>
    <t>STHBKK012101000782</t>
  </si>
  <si>
    <t>กาญจนา บุญเกษม</t>
  </si>
  <si>
    <t>STHBKK012101000783</t>
  </si>
  <si>
    <t>STHBKK012101000784</t>
  </si>
  <si>
    <t>STHBKK012101000785</t>
  </si>
  <si>
    <t>STHBKK012101000786</t>
  </si>
  <si>
    <t>STHBKK012101000787</t>
  </si>
  <si>
    <t>บริษัทจำกัด วี.เอ็น.ซี.สกินแคร์ จำกัด</t>
  </si>
  <si>
    <t>STHBKK012101000788</t>
  </si>
  <si>
    <t>STHBKK012101000789</t>
  </si>
  <si>
    <t>STHBKK012101000790</t>
  </si>
  <si>
    <t>STHBKK012101000791</t>
  </si>
  <si>
    <t>STHBKK012101000792</t>
  </si>
  <si>
    <t>STHBKK012101000793</t>
  </si>
  <si>
    <t>นางสาว นริศราพร ธงไชย</t>
  </si>
  <si>
    <t>STHBKK012101000794</t>
  </si>
  <si>
    <t>STHBKK012101000795</t>
  </si>
  <si>
    <t>นาย ธราธิป พระสว่าง</t>
  </si>
  <si>
    <t>STHBKK012101000796</t>
  </si>
  <si>
    <t>STHBKK012101000797</t>
  </si>
  <si>
    <t>STHBKK012101000798</t>
  </si>
  <si>
    <t>STHBKK012101000799</t>
  </si>
  <si>
    <t>STHBKK012101000801</t>
  </si>
  <si>
    <t>STHBKK012101000802</t>
  </si>
  <si>
    <t>นางสาว เกศรินทร์ บุญอุบล</t>
  </si>
  <si>
    <t>STHBKK012101000803</t>
  </si>
  <si>
    <t>นางสาว กัญญาณัฐ มั่นดี</t>
  </si>
  <si>
    <t>STHBKK012101000804</t>
  </si>
  <si>
    <t>STHBKK012101000805</t>
  </si>
  <si>
    <t>STHBKK012101000806</t>
  </si>
  <si>
    <t>นางสาว เรวดี พลเยี่ยม</t>
  </si>
  <si>
    <t>STHBKK012101000807</t>
  </si>
  <si>
    <t>STHBKK012101000808</t>
  </si>
  <si>
    <t>STHBKK012101000809</t>
  </si>
  <si>
    <t>STHBKK012101000810</t>
  </si>
  <si>
    <t>STHBKK012101000811</t>
  </si>
  <si>
    <t>นาย พิภพ เอียดแก้ว</t>
  </si>
  <si>
    <t>STHBKK012101000812</t>
  </si>
  <si>
    <t>STHBKK012101000814</t>
  </si>
  <si>
    <t>STHBKK012101000815</t>
  </si>
  <si>
    <t>นาย ศิวกร สิงห์รักษ์</t>
  </si>
  <si>
    <t>STHBKK012101000816</t>
  </si>
  <si>
    <t>STHBKK012101000817</t>
  </si>
  <si>
    <t>STHBKK012101000818</t>
  </si>
  <si>
    <t>STHBKK012101000819</t>
  </si>
  <si>
    <t>STHBKK012101000820</t>
  </si>
  <si>
    <t>STHBKK012101000821</t>
  </si>
  <si>
    <t>นาย ว่าที่ ร.ต.ประสิทธิ์ - ธนพร รูปขำดี</t>
  </si>
  <si>
    <t>STHBKK012101000822</t>
  </si>
  <si>
    <t>STHBKK012101000823</t>
  </si>
  <si>
    <t>นางสาว คูณมี โทแก้ว</t>
  </si>
  <si>
    <t>STHBKK012101000826</t>
  </si>
  <si>
    <t>STHBKK012101000827</t>
  </si>
  <si>
    <t>STHBKK012101000828</t>
  </si>
  <si>
    <t>STHBKK012101000829</t>
  </si>
  <si>
    <t>STHBKK012101000830</t>
  </si>
  <si>
    <t>STHBKK012101000831</t>
  </si>
  <si>
    <t>นางสาว กัลยรัตน์ ภูมี</t>
  </si>
  <si>
    <t>STHBKK012101000832</t>
  </si>
  <si>
    <t>STHBKK012101000833</t>
  </si>
  <si>
    <t>STHBKK012101000834</t>
  </si>
  <si>
    <t>STHBKK012101000835</t>
  </si>
  <si>
    <t>นาย สุทธิพงษ์ คงสมสุทธิ์</t>
  </si>
  <si>
    <t>STHBKK012101000836</t>
  </si>
  <si>
    <t>STHBKK012101000838</t>
  </si>
  <si>
    <t>STHBKK012101000840</t>
  </si>
  <si>
    <t>STHBKK012101000841</t>
  </si>
  <si>
    <t>STHBKK012101000842</t>
  </si>
  <si>
    <t>นาย ภูมิพัฒน์ คงแถวทอง</t>
  </si>
  <si>
    <t>STHBKK012101000844</t>
  </si>
  <si>
    <t>STHBKK012101000846</t>
  </si>
  <si>
    <t>STHBKK012101000848</t>
  </si>
  <si>
    <t>VYRA CHHEANG</t>
  </si>
  <si>
    <t>STHBKK012101000849</t>
  </si>
  <si>
    <t>นาย บุญสม อุดมรักษ์</t>
  </si>
  <si>
    <t>STHBKK012101000853</t>
  </si>
  <si>
    <t>STHBKK012101000854</t>
  </si>
  <si>
    <t>STHBKK012101000856</t>
  </si>
  <si>
    <t>นางสาว ภาวนา สีเนหะ</t>
  </si>
  <si>
    <t>STHBKK012101000857</t>
  </si>
  <si>
    <t>STHBKK012101000858</t>
  </si>
  <si>
    <t>STHBKK012101000859</t>
  </si>
  <si>
    <t>STHBKK012101000860</t>
  </si>
  <si>
    <t>นาง ประทุม สังขวงษ์</t>
  </si>
  <si>
    <t>STHBKK012101000861</t>
  </si>
  <si>
    <t>STHBKK012101000862</t>
  </si>
  <si>
    <t>นาย ธนวรรธน์ ปราชญ์เรืองนนท์</t>
  </si>
  <si>
    <t>STHBKK012101000863</t>
  </si>
  <si>
    <t>นางสาว อุษา มาตย์นอก</t>
  </si>
  <si>
    <t>STHBKK012101000864</t>
  </si>
  <si>
    <t>STHBKK012101000865</t>
  </si>
  <si>
    <t>STHBKK012101000866</t>
  </si>
  <si>
    <t>STHBKK012101000867</t>
  </si>
  <si>
    <t>STHBKK012101000868</t>
  </si>
  <si>
    <t>STHBKK012101000869</t>
  </si>
  <si>
    <t>STHBKK012101000870</t>
  </si>
  <si>
    <t>STHBKK012101000871</t>
  </si>
  <si>
    <t>นางสาว กฤษณี จั่นแก้ว</t>
  </si>
  <si>
    <t>STHBKK012101000872</t>
  </si>
  <si>
    <t>นาง ลำเพลิน พุ่มไสว</t>
  </si>
  <si>
    <t>STHBKK012101000873</t>
  </si>
  <si>
    <t>นางสาว ณัฐธยาน์ ดอกพุฒ</t>
  </si>
  <si>
    <t>STHBKK012101000874</t>
  </si>
  <si>
    <t>นาง ตุลาพร เอี่ยมละออ</t>
  </si>
  <si>
    <t>STHBKK012101000875</t>
  </si>
  <si>
    <t>พิชชาพร พุ่มไสว</t>
  </si>
  <si>
    <t>STHBKK012101000876</t>
  </si>
  <si>
    <t>STHBKK012101000879</t>
  </si>
  <si>
    <t>STHBKK012101000881</t>
  </si>
  <si>
    <t>STHONLIN2101000159</t>
  </si>
  <si>
    <t>STHONLIN2101000161</t>
  </si>
  <si>
    <t>STHONLIN2101000166</t>
  </si>
  <si>
    <t>รวมพล บุญยัง</t>
  </si>
  <si>
    <t>STHONLIN2101000167</t>
  </si>
  <si>
    <t>นาย กมล กมลรัตนาชัย</t>
  </si>
  <si>
    <t>STHONLIN2101000168</t>
  </si>
  <si>
    <t>DAILY  SALE  13 Jan 2021</t>
  </si>
  <si>
    <t>STHBKK012101000882</t>
  </si>
  <si>
    <t>นางสาว วนิดา แก้วนาหอ</t>
  </si>
  <si>
    <t>STHBKK012101000883</t>
  </si>
  <si>
    <t>STHBKK012101000884</t>
  </si>
  <si>
    <t>STHBKK012101000885</t>
  </si>
  <si>
    <t>STHBKK012101000886</t>
  </si>
  <si>
    <t>STHBKK012101000887</t>
  </si>
  <si>
    <t>STHBKK012101000889</t>
  </si>
  <si>
    <t>นางสาว แก้วเพียงขวัญ จันทรพงศ์</t>
  </si>
  <si>
    <t>STHBKK012101000890</t>
  </si>
  <si>
    <t>STHBKK012101000891</t>
  </si>
  <si>
    <t>STHBKK012101000892</t>
  </si>
  <si>
    <t>นาง บังอร ช่วยประดิษฐ</t>
  </si>
  <si>
    <t>STHBKK012101000893</t>
  </si>
  <si>
    <t>STHBKK012101000894</t>
  </si>
  <si>
    <t>STHBKK012101000895</t>
  </si>
  <si>
    <t>STHBKK012101000896</t>
  </si>
  <si>
    <t>STHBKK012101000898</t>
  </si>
  <si>
    <t>STHBKK012101000899</t>
  </si>
  <si>
    <t>STHBKK012101000900</t>
  </si>
  <si>
    <t>STHBKK012101000901</t>
  </si>
  <si>
    <t>STHBKK012101000902</t>
  </si>
  <si>
    <t>STHBKK012101000903</t>
  </si>
  <si>
    <t>STHBKK012101000904</t>
  </si>
  <si>
    <t>STHBKK012101000905</t>
  </si>
  <si>
    <t>STHBKK012101000906</t>
  </si>
  <si>
    <t>STHBKK012101000907</t>
  </si>
  <si>
    <t>STHBKK012101000908</t>
  </si>
  <si>
    <t>STHBKK012101000909</t>
  </si>
  <si>
    <t>นางสาว รดากุล ลาลัยวรากูล</t>
  </si>
  <si>
    <t>STHBKK012101000910</t>
  </si>
  <si>
    <t>STHBKK012101000911</t>
  </si>
  <si>
    <t>นาย บัณฑิต สีตาล</t>
  </si>
  <si>
    <t>STHBKK012101000915</t>
  </si>
  <si>
    <t>นาย ธนดิษ ธนบดีอนันต์</t>
  </si>
  <si>
    <t>STHBKK012101000916</t>
  </si>
  <si>
    <t>STHBKK012101000918</t>
  </si>
  <si>
    <t>นางสาว ปรียานุช กรัดเฟื่อง</t>
  </si>
  <si>
    <t>STHBKK012101000919</t>
  </si>
  <si>
    <t>STHBKK012101000920</t>
  </si>
  <si>
    <t>STHBKK012101000921</t>
  </si>
  <si>
    <t>STHBKK012101000922</t>
  </si>
  <si>
    <t>STHBKK012101000923</t>
  </si>
  <si>
    <t>STHBKK012101000924</t>
  </si>
  <si>
    <t>STHBKK012101000925</t>
  </si>
  <si>
    <t>STHBKK012101000927</t>
  </si>
  <si>
    <t>STHBKK012101000928</t>
  </si>
  <si>
    <t>STHBKK012101000929</t>
  </si>
  <si>
    <t>นิศาชล ศรีแก้ว</t>
  </si>
  <si>
    <t>STHBKK012101000930</t>
  </si>
  <si>
    <t>นางสาว ปัทมา ชีวานิช</t>
  </si>
  <si>
    <t>STHBKK012101000931</t>
  </si>
  <si>
    <t>STHBKK012101000932</t>
  </si>
  <si>
    <t>STHBKK012101000933</t>
  </si>
  <si>
    <t>STHBKK012101000934</t>
  </si>
  <si>
    <t>STHBKK012101000935</t>
  </si>
  <si>
    <t>STHBKK012101000936</t>
  </si>
  <si>
    <t>STHBKK012101000937</t>
  </si>
  <si>
    <t>STHBKK012101000938</t>
  </si>
  <si>
    <t>นาย ธนศักดิ์ จันทร์เจริญ</t>
  </si>
  <si>
    <t>STHBKK012101000942</t>
  </si>
  <si>
    <t>STHBKK012101000944</t>
  </si>
  <si>
    <t>STHBKK012101000945</t>
  </si>
  <si>
    <t>STHBKK012101000946</t>
  </si>
  <si>
    <t>STHBKK012101000947</t>
  </si>
  <si>
    <t>STHBKK012101000948</t>
  </si>
  <si>
    <t>ปพิชญา จำรัสธเนศ</t>
  </si>
  <si>
    <t>STHBKK012101000949</t>
  </si>
  <si>
    <t>STHBKK012101000950</t>
  </si>
  <si>
    <t>นางสาว วลัย จำรัสธเนศ</t>
  </si>
  <si>
    <t>STHBKK012101000951</t>
  </si>
  <si>
    <t>STHBKK012101000952</t>
  </si>
  <si>
    <t>STHBKK012101000953</t>
  </si>
  <si>
    <t>STHBKK012101000955</t>
  </si>
  <si>
    <t>นางสาว เขมจิรา เจริญศิริ</t>
  </si>
  <si>
    <t>STHBKK012101000956</t>
  </si>
  <si>
    <t>นางสาว สุปราณี เรืองพานิช</t>
  </si>
  <si>
    <t>STHBKK012101000957</t>
  </si>
  <si>
    <t>นางสาว ณัฐนันท์ เจริญศิริวิชญกุล</t>
  </si>
  <si>
    <t>STHBKK012101000958</t>
  </si>
  <si>
    <t>นาย สมคิด ศรีบุบผา</t>
  </si>
  <si>
    <t>STHBKK012101000959</t>
  </si>
  <si>
    <t>นาง ชลดา งามสุข</t>
  </si>
  <si>
    <t>STHBKK012101000960</t>
  </si>
  <si>
    <t>STHBKK012101000963</t>
  </si>
  <si>
    <t>STHBKK012101000964</t>
  </si>
  <si>
    <t>STHBKK012101000967</t>
  </si>
  <si>
    <t>นาย สุวิทย์ มั่นเขตวิทย์</t>
  </si>
  <si>
    <t>STHBKK012101000968</t>
  </si>
  <si>
    <t>STHBKK012101000969</t>
  </si>
  <si>
    <t>STHBKK012101000970</t>
  </si>
  <si>
    <t>STHBKK012101000972</t>
  </si>
  <si>
    <t>STHBKK012101000973</t>
  </si>
  <si>
    <t>STHBKK012101000975</t>
  </si>
  <si>
    <t>นาย วันชัย พิมพ์ดี</t>
  </si>
  <si>
    <t>STHBKK012101000976</t>
  </si>
  <si>
    <t>STHBKK012101000978</t>
  </si>
  <si>
    <t>พีรพัฒน์ รักษ์บำรุง</t>
  </si>
  <si>
    <t>STHBKK012101000979</t>
  </si>
  <si>
    <t>นาง ชญาน์นันท์ ฉิมยี่ทวีโชค</t>
  </si>
  <si>
    <t>STHBKK012101000980</t>
  </si>
  <si>
    <t>STHBKK012101000981</t>
  </si>
  <si>
    <t>STHBKK012101000982</t>
  </si>
  <si>
    <t>STHONLIN2101000177</t>
  </si>
  <si>
    <t>STHONLIN2101000179</t>
  </si>
  <si>
    <t>STHONLIN2101000180</t>
  </si>
  <si>
    <t>STHONLIN2101000183</t>
  </si>
  <si>
    <t>STHONLIN2101000185</t>
  </si>
  <si>
    <t>DAILY  SALE  14 Jan 2021</t>
  </si>
  <si>
    <t>6401BKK010000002</t>
  </si>
  <si>
    <t>บริษัทจำกัด พีเคพี เทรดเดอร์</t>
  </si>
  <si>
    <t>STHBKK012101000984</t>
  </si>
  <si>
    <t>STHBKK012101000985</t>
  </si>
  <si>
    <t>STHBKK012101000986</t>
  </si>
  <si>
    <t>STHBKK012101000987</t>
  </si>
  <si>
    <t>STHBKK012101000988</t>
  </si>
  <si>
    <t>STHBKK012101000989</t>
  </si>
  <si>
    <t>STHBKK012101000990</t>
  </si>
  <si>
    <t>นางสาว วรรณา ต๊ะแก้ว</t>
  </si>
  <si>
    <t>STHBKK012101000991</t>
  </si>
  <si>
    <t>STHBKK012101000992</t>
  </si>
  <si>
    <t>อนัตตา จิตรสม</t>
  </si>
  <si>
    <t>STHBKK012101000993</t>
  </si>
  <si>
    <t>นาย มิตร ดังใหม่</t>
  </si>
  <si>
    <t>STHBKK012101000994</t>
  </si>
  <si>
    <t>นางสาว ปัญฑารีย์ สุวรัฐชวนันท์</t>
  </si>
  <si>
    <t>STHBKK012101000995</t>
  </si>
  <si>
    <t>STHBKK012101000996</t>
  </si>
  <si>
    <t>STHBKK012101000997</t>
  </si>
  <si>
    <t>นาย ธนสิน ยวงลำใย</t>
  </si>
  <si>
    <t>STHBKK012101000998</t>
  </si>
  <si>
    <t>STHBKK012101000999</t>
  </si>
  <si>
    <t>STHBKK012101001000</t>
  </si>
  <si>
    <t>นางสาว กานดา โกษัย</t>
  </si>
  <si>
    <t>STHBKK012101001001</t>
  </si>
  <si>
    <t>นางสาว หนึ่งฤทัย คำอินทร์</t>
  </si>
  <si>
    <t>STHBKK012101001002</t>
  </si>
  <si>
    <t>STHBKK012101001003</t>
  </si>
  <si>
    <t>STHBKK012101001004</t>
  </si>
  <si>
    <t>STHBKK012101001005</t>
  </si>
  <si>
    <t>STHBKK012101001006</t>
  </si>
  <si>
    <t>STHBKK012101001007</t>
  </si>
  <si>
    <t>STHBKK012101001008</t>
  </si>
  <si>
    <t>STHBKK012101001009</t>
  </si>
  <si>
    <t>STHBKK012101001010</t>
  </si>
  <si>
    <t>STHBKK012101001011</t>
  </si>
  <si>
    <t>นาย ไสว สาวสุวรรณ</t>
  </si>
  <si>
    <t>STHBKK012101001012</t>
  </si>
  <si>
    <t>STHBKK012101001013</t>
  </si>
  <si>
    <t>STHBKK012101001014</t>
  </si>
  <si>
    <t>STHBKK012101001015</t>
  </si>
  <si>
    <t>STHBKK012101001016</t>
  </si>
  <si>
    <t>STHBKK012101001017</t>
  </si>
  <si>
    <t>STHBKK012101001018</t>
  </si>
  <si>
    <t>STHBKK012101001019</t>
  </si>
  <si>
    <t>STHBKK012101001020</t>
  </si>
  <si>
    <t>STHBKK012101001021</t>
  </si>
  <si>
    <t>นาง ณัฐรดา สกุลณี</t>
  </si>
  <si>
    <t>STHBKK012101001022</t>
  </si>
  <si>
    <t>STHBKK012101001023</t>
  </si>
  <si>
    <t>นาง วราภรณ์ - อุดมศักดิ์ บุญพิศ</t>
  </si>
  <si>
    <t>STHBKK012101001024</t>
  </si>
  <si>
    <t>นางสาว นริศรา อ่อนทา</t>
  </si>
  <si>
    <t>STHBKK012101001025</t>
  </si>
  <si>
    <t>STHBKK012101001026</t>
  </si>
  <si>
    <t>STHBKK012101001027</t>
  </si>
  <si>
    <t>นางสาว สุรัตนา พิมศรี</t>
  </si>
  <si>
    <t>STHBKK012101001028</t>
  </si>
  <si>
    <t>STHBKK012101001029</t>
  </si>
  <si>
    <t>STHBKK012101001030</t>
  </si>
  <si>
    <t>STHBKK012101001031</t>
  </si>
  <si>
    <t>STHBKK012101001032</t>
  </si>
  <si>
    <t>STHBKK012101001033</t>
  </si>
  <si>
    <t>นาย พุทธิพงษ์ วงไพวรรณ</t>
  </si>
  <si>
    <t>STHBKK012101001034</t>
  </si>
  <si>
    <t>นางสาว วรารัตน์ นึกแจ้ง</t>
  </si>
  <si>
    <t>STHBKK012101001035</t>
  </si>
  <si>
    <t>STHBKK012101001037</t>
  </si>
  <si>
    <t>STHBKK012101001038</t>
  </si>
  <si>
    <t>STHBKK012101001039</t>
  </si>
  <si>
    <t>STHBKK012101001040</t>
  </si>
  <si>
    <t>STHBKK012101001041</t>
  </si>
  <si>
    <t>นางสาว อรษา เขมพฤทธิ์</t>
  </si>
  <si>
    <t>STHBKK012101001042</t>
  </si>
  <si>
    <t>นาง ศิริวรรณ แก้วเทศ</t>
  </si>
  <si>
    <t>STHBKK012101001043</t>
  </si>
  <si>
    <t>STHONLIN2101000188</t>
  </si>
  <si>
    <t>STHONLIN2101000197</t>
  </si>
  <si>
    <t>STHONLIN2101000199</t>
  </si>
  <si>
    <t>STHONLIN2101000200</t>
  </si>
  <si>
    <t>STHONLIN2101000202</t>
  </si>
  <si>
    <t>นาย ไตรสิทธิ์ มงคลปรีดาไชย</t>
  </si>
  <si>
    <t>STHONLIN2101000203</t>
  </si>
  <si>
    <t>STHONLIN2101000204</t>
  </si>
  <si>
    <t>DAILY  SALE  15 Jan 2021</t>
  </si>
  <si>
    <t>STHBKK012101001044</t>
  </si>
  <si>
    <t>นาง รัชนี อัศวพัฒนากูล</t>
  </si>
  <si>
    <t>STHBKK012101001045</t>
  </si>
  <si>
    <t>STHBKK012101001046</t>
  </si>
  <si>
    <t>STHBKK012101001048</t>
  </si>
  <si>
    <t>STHBKK012101001049</t>
  </si>
  <si>
    <t>STHBKK012101001050</t>
  </si>
  <si>
    <t>นางสาว พัสราภรณ์ แก้วอ่อน</t>
  </si>
  <si>
    <t>STHBKK012101001051</t>
  </si>
  <si>
    <t>นาย อภินัทธ์ ทรัพย์เมฆ</t>
  </si>
  <si>
    <t>STHBKK012101001052</t>
  </si>
  <si>
    <t>STHBKK012101001053</t>
  </si>
  <si>
    <t>STHBKK012101001054</t>
  </si>
  <si>
    <t>STHBKK012101001055</t>
  </si>
  <si>
    <t>นางสาว กวินทิพย์ คงมี</t>
  </si>
  <si>
    <t>STHBKK012101001056</t>
  </si>
  <si>
    <t>นาย ชวิน มั่นเกษตรกิจ</t>
  </si>
  <si>
    <t>STHBKK012101001057</t>
  </si>
  <si>
    <t>STHBKK012101001058</t>
  </si>
  <si>
    <t>นาย ยงยุทธ-ปรียานุช ประสาทศิลป์</t>
  </si>
  <si>
    <t>STHBKK012101001059</t>
  </si>
  <si>
    <t>STHBKK012101001060</t>
  </si>
  <si>
    <t>STHBKK012101001061</t>
  </si>
  <si>
    <t>STHBKK012101001062</t>
  </si>
  <si>
    <t>STHBKK012101001063</t>
  </si>
  <si>
    <t>STHBKK012101001064</t>
  </si>
  <si>
    <t>STHBKK012101001065</t>
  </si>
  <si>
    <t>นาย ณรงค์ คงประยูร</t>
  </si>
  <si>
    <t>STHBKK012101001066</t>
  </si>
  <si>
    <t>STHBKK012101001067</t>
  </si>
  <si>
    <t>นาง น้ำผึ้ง จันทพุฒ</t>
  </si>
  <si>
    <t>STHBKK012101001068</t>
  </si>
  <si>
    <t>STHBKK012101001069</t>
  </si>
  <si>
    <t>นาย สมศักดิ์ ศรีอ่อน</t>
  </si>
  <si>
    <t>STHBKK012101001070</t>
  </si>
  <si>
    <t>STHBKK012101001071</t>
  </si>
  <si>
    <t>นาย วันชัย ขันสิงหา</t>
  </si>
  <si>
    <t>STHBKK012101001072</t>
  </si>
  <si>
    <t>STHBKK012101001074</t>
  </si>
  <si>
    <t>สุรชาติ นพนิธิพัฒน์</t>
  </si>
  <si>
    <t>STHBKK012101001075</t>
  </si>
  <si>
    <t>STHBKK012101001076</t>
  </si>
  <si>
    <t>STHBKK012101001077</t>
  </si>
  <si>
    <t>STHBKK012101001078</t>
  </si>
  <si>
    <t>STHBKK012101001079</t>
  </si>
  <si>
    <t>STHBKK012101001081</t>
  </si>
  <si>
    <t>STHBKK012101001082</t>
  </si>
  <si>
    <t>STHBKK012101001083</t>
  </si>
  <si>
    <t>STHBKK012101001084</t>
  </si>
  <si>
    <t>STHBKK012101001085</t>
  </si>
  <si>
    <t>STHBKK012101001086</t>
  </si>
  <si>
    <t>นางสาว จุฑามาศ ด้วงฟู</t>
  </si>
  <si>
    <t>STHBKK012101001087</t>
  </si>
  <si>
    <t>นาย อัชรัฟ ฝาสีน</t>
  </si>
  <si>
    <t>STHBKK012101001088</t>
  </si>
  <si>
    <t>STHBKK012101001089</t>
  </si>
  <si>
    <t>STHBKK012101001090</t>
  </si>
  <si>
    <t>STHBKK012101001091</t>
  </si>
  <si>
    <t>นาง สุริยา จันทร์ครบ</t>
  </si>
  <si>
    <t>STHBKK012101001092</t>
  </si>
  <si>
    <t>STHBKK012101001093</t>
  </si>
  <si>
    <t>STHBKK012101001094</t>
  </si>
  <si>
    <t>STHBKK012101001095</t>
  </si>
  <si>
    <t>นาย ยุทธนา เอี่ยมรัตน์</t>
  </si>
  <si>
    <t>STHBKK012101001096</t>
  </si>
  <si>
    <t>STHBKK012101001097</t>
  </si>
  <si>
    <t>นาย ภูวกร บวรฉัตรชาตรี</t>
  </si>
  <si>
    <t>STHBKK012101001099</t>
  </si>
  <si>
    <t>STHBKK012101001100</t>
  </si>
  <si>
    <t>STHBKK012101001101</t>
  </si>
  <si>
    <t>STHONLIN2101000210</t>
  </si>
  <si>
    <t>DAILY  SALE  16 Jan 2021</t>
  </si>
  <si>
    <t>STHBKK012101001102</t>
  </si>
  <si>
    <t>STHBKK012101001103</t>
  </si>
  <si>
    <t>STHBKK012101001104</t>
  </si>
  <si>
    <t>STHBKK012101001105</t>
  </si>
  <si>
    <t>STHBKK012101001106</t>
  </si>
  <si>
    <t>นาย พรหมมาตร พัฒนมหกุล</t>
  </si>
  <si>
    <t>STHBKK012101001107</t>
  </si>
  <si>
    <t>STHBKK012101001108</t>
  </si>
  <si>
    <t>STHBKK012101001109</t>
  </si>
  <si>
    <t>STHBKK012101001110</t>
  </si>
  <si>
    <t>STHBKK012101001111</t>
  </si>
  <si>
    <t>STHBKK012101001112</t>
  </si>
  <si>
    <t>STHBKK012101001113</t>
  </si>
  <si>
    <t>STHBKK012101001114</t>
  </si>
  <si>
    <t>STHBKK012101001117</t>
  </si>
  <si>
    <t>STHBKK012101001122</t>
  </si>
  <si>
    <t>นางสาว ศศิธร สีปาน</t>
  </si>
  <si>
    <t>STHBKK012101001125</t>
  </si>
  <si>
    <t>STHBKK012101001127</t>
  </si>
  <si>
    <t>STHBKK012101001129</t>
  </si>
  <si>
    <t>STHBKK012101001130</t>
  </si>
  <si>
    <t>นาย สันติราษฎร์ โพธิ์พุฒ</t>
  </si>
  <si>
    <t>STHBKK012101001131</t>
  </si>
  <si>
    <t>STHBKK012101001132</t>
  </si>
  <si>
    <t>นาง เกตุ คล้ายแก้ว</t>
  </si>
  <si>
    <t>STHBKK012101001133</t>
  </si>
  <si>
    <t>STHBKK012101001134</t>
  </si>
  <si>
    <t>นาย ฉัตรชัย ศีรบุบผา</t>
  </si>
  <si>
    <t>STHBKK012101001135</t>
  </si>
  <si>
    <t>STHBKK012101001136</t>
  </si>
  <si>
    <t>STHBKK012101001137</t>
  </si>
  <si>
    <t>นาย ศิวกรณ์ ปภาชนานันท์</t>
  </si>
  <si>
    <t>STHBKK012101001138</t>
  </si>
  <si>
    <t>STHBKK012101001139</t>
  </si>
  <si>
    <t>STHBKK012101001140</t>
  </si>
  <si>
    <t>STHBKK012101001141</t>
  </si>
  <si>
    <t>STHBKK012101001142</t>
  </si>
  <si>
    <t>STHBKK012101001143</t>
  </si>
  <si>
    <t>STHBKK012101001144</t>
  </si>
  <si>
    <t>STHBKK012101001145</t>
  </si>
  <si>
    <t>STHBKK012101001146</t>
  </si>
  <si>
    <t>ศรีรัตน์ แก้วลำดวน</t>
  </si>
  <si>
    <t>STHBKK012101001147</t>
  </si>
  <si>
    <t>STHBKK012101001148</t>
  </si>
  <si>
    <t>STHBKK012101001149</t>
  </si>
  <si>
    <t>STHBKK012101001151</t>
  </si>
  <si>
    <t>STHBKK012101001152</t>
  </si>
  <si>
    <t>STHBKK012101001153</t>
  </si>
  <si>
    <t>MR SUM SINNE</t>
  </si>
  <si>
    <t>STHBKK012101001154</t>
  </si>
  <si>
    <t>นาย ธนาธิป-ณัฐฐา ไชยธงรัตน์</t>
  </si>
  <si>
    <t>STHBKK012101001155</t>
  </si>
  <si>
    <t>STHBKK012101001156</t>
  </si>
  <si>
    <t>STHBKK012101001157</t>
  </si>
  <si>
    <t>STHBKK012101001158</t>
  </si>
  <si>
    <t>STHBKK012101001159</t>
  </si>
  <si>
    <t>STHBKK012101001160</t>
  </si>
  <si>
    <t>STHBKK012101001161</t>
  </si>
  <si>
    <t>STHBKK012101001162</t>
  </si>
  <si>
    <t>STHBKK012101001163</t>
  </si>
  <si>
    <t>STHBKK012101001164</t>
  </si>
  <si>
    <t>นาย ปิยะณัฐ พรมดี</t>
  </si>
  <si>
    <t>STHBKK012101001165</t>
  </si>
  <si>
    <t>นางสาว พรรณนิภา แก้วบริบัตร</t>
  </si>
  <si>
    <t>STHBKK012101001166</t>
  </si>
  <si>
    <t>นาง ศิริณี ประสานมิตร</t>
  </si>
  <si>
    <t>STHBKK012101001167</t>
  </si>
  <si>
    <t>STHBKK012101001168</t>
  </si>
  <si>
    <t>นาง ดลพร อุดมศรี</t>
  </si>
  <si>
    <t>STHBKK012101001169</t>
  </si>
  <si>
    <t>STHBKK012101001170</t>
  </si>
  <si>
    <t>นาย อาชาไนย บัวสระ</t>
  </si>
  <si>
    <t>STHBKK012101001171</t>
  </si>
  <si>
    <t>STHBKK012101001172</t>
  </si>
  <si>
    <t>STHBKK012101001173</t>
  </si>
  <si>
    <t>นางสาว นิธิสนี หงส์สิรีไกร</t>
  </si>
  <si>
    <t>STHBKK012101001174</t>
  </si>
  <si>
    <t>STHBKK012101001175</t>
  </si>
  <si>
    <t>STHBKK012101001176</t>
  </si>
  <si>
    <t>STHBKK012101001177</t>
  </si>
  <si>
    <t>นางสาว อนัญญา จันดาวรรณ์</t>
  </si>
  <si>
    <t>STHBKK012101001182</t>
  </si>
  <si>
    <t>STHBKK012101001183</t>
  </si>
  <si>
    <t>STHBKK012101001184</t>
  </si>
  <si>
    <t>นาง รำไพร แสนมีสุข</t>
  </si>
  <si>
    <t>STHBKK012101001185</t>
  </si>
  <si>
    <t>STHBKK012101001186</t>
  </si>
  <si>
    <t>ธนกร สียางนอก</t>
  </si>
  <si>
    <t>STHBKK012101001188</t>
  </si>
  <si>
    <t>นาย ณัฐพล ศรัมาก</t>
  </si>
  <si>
    <t>STHBKK012101001189</t>
  </si>
  <si>
    <t>STHBKK012101001190</t>
  </si>
  <si>
    <t>นาย ประทุม สาดทอง</t>
  </si>
  <si>
    <t>STHBKK012101001191</t>
  </si>
  <si>
    <t>นาย สมชาย โพธิ์คำ</t>
  </si>
  <si>
    <t>STHBKK012101001192</t>
  </si>
  <si>
    <t>นาย จักรกฤษ เสือลอย</t>
  </si>
  <si>
    <t>STHBKK012101001194</t>
  </si>
  <si>
    <t>STHBKK012101001195</t>
  </si>
  <si>
    <t>STHBKK012101001196</t>
  </si>
  <si>
    <t>STHBKK012101001197</t>
  </si>
  <si>
    <t>STHBKK012101001198</t>
  </si>
  <si>
    <t>นาย ปริญญา ถาวรโชติ</t>
  </si>
  <si>
    <t>STHBKK012101001199</t>
  </si>
  <si>
    <t>STHBKK012101001200</t>
  </si>
  <si>
    <t>STHBKK012101001201</t>
  </si>
  <si>
    <t>STHBKK012101001202</t>
  </si>
  <si>
    <t>STHBKK012101001203</t>
  </si>
  <si>
    <t>STHBKK012101001204</t>
  </si>
  <si>
    <t>STHBKK012101001205</t>
  </si>
  <si>
    <t>STHBKK012101001206</t>
  </si>
  <si>
    <t>STHBKK012101001207</t>
  </si>
  <si>
    <t>STHBKK012101001208</t>
  </si>
  <si>
    <t>STHONLIN2101000217</t>
  </si>
  <si>
    <t>STHONLIN2101000220</t>
  </si>
  <si>
    <t>STHONLIN2101000221</t>
  </si>
  <si>
    <t>STHONLIN2101000222</t>
  </si>
  <si>
    <t>นางสาว ณัฐพร ฤทธิ์บำรุง</t>
  </si>
  <si>
    <t>STHONLIN2101000223</t>
  </si>
  <si>
    <t>STHONLIN2101000228</t>
  </si>
  <si>
    <t>DAILY  SALE  17 Jan 2021</t>
  </si>
  <si>
    <t>STHBKK012101001211</t>
  </si>
  <si>
    <t>อภิฐาพร บัวจันทร์</t>
  </si>
  <si>
    <t>STHBKK012101001212</t>
  </si>
  <si>
    <t>STHBKK012101001213</t>
  </si>
  <si>
    <t>STHBKK012101001214</t>
  </si>
  <si>
    <t>STHBKK012101001215</t>
  </si>
  <si>
    <t>ดารดี ญาณกวี</t>
  </si>
  <si>
    <t>STHBKK012101001216</t>
  </si>
  <si>
    <t>STHBKK012101001217</t>
  </si>
  <si>
    <t>นางสาว พรไพลิน คงยวง</t>
  </si>
  <si>
    <t>STHBKK012101001218</t>
  </si>
  <si>
    <t>STHBKK012101001220</t>
  </si>
  <si>
    <t>STHBKK012101001221</t>
  </si>
  <si>
    <t>STHBKK012101001222</t>
  </si>
  <si>
    <t>STHBKK012101001223</t>
  </si>
  <si>
    <t>STHBKK012101001224</t>
  </si>
  <si>
    <t>STHBKK012101001226</t>
  </si>
  <si>
    <t>STHBKK012101001227</t>
  </si>
  <si>
    <t>นางสาว ลักขณา ฉุ้นทิ้ง</t>
  </si>
  <si>
    <t>STHBKK012101001228</t>
  </si>
  <si>
    <t>STHBKK012101001229</t>
  </si>
  <si>
    <t>STHBKK012101001230</t>
  </si>
  <si>
    <t>STHBKK012101001231</t>
  </si>
  <si>
    <t>STHBKK012101001232</t>
  </si>
  <si>
    <t>STHBKK012101001233</t>
  </si>
  <si>
    <t>STHBKK012101001236</t>
  </si>
  <si>
    <t>STHBKK012101001241</t>
  </si>
  <si>
    <t>นาง นฤมล สุขเงิน</t>
  </si>
  <si>
    <t>STHBKK012101001242</t>
  </si>
  <si>
    <t>STHBKK012101001243</t>
  </si>
  <si>
    <t>STHBKK012101001244</t>
  </si>
  <si>
    <t>STHBKK012101001245</t>
  </si>
  <si>
    <t>นาง ทวีรัตน์ มาลาศรี</t>
  </si>
  <si>
    <t>STHBKK012101001246</t>
  </si>
  <si>
    <t>STHBKK012101001247</t>
  </si>
  <si>
    <t>STHBKK012101001248</t>
  </si>
  <si>
    <t>STHBKK012101001249</t>
  </si>
  <si>
    <t>STHBKK012101001250</t>
  </si>
  <si>
    <t>STHBKK012101001251</t>
  </si>
  <si>
    <t>STHBKK012101001252</t>
  </si>
  <si>
    <t>นางสาว วณิชชา ช้างโฉม</t>
  </si>
  <si>
    <t>STHBKK012101001253</t>
  </si>
  <si>
    <t>STHBKK012101001254</t>
  </si>
  <si>
    <t>STHBKK012101001255</t>
  </si>
  <si>
    <t>STHBKK012101001256</t>
  </si>
  <si>
    <t>STHBKK012101001257</t>
  </si>
  <si>
    <t>นาย ภคณัฐ ญาณกวี</t>
  </si>
  <si>
    <t>STHBKK012101001259</t>
  </si>
  <si>
    <t>นางสาว เพ็ญรุ่ง ชินะวนิชกิจ</t>
  </si>
  <si>
    <t>STHBKK012101001260</t>
  </si>
  <si>
    <t>STHONLIN2101000241</t>
  </si>
  <si>
    <t>STHONLIN2101000242</t>
  </si>
  <si>
    <t>DAILY  SALE  18 Jan 2021</t>
  </si>
  <si>
    <t>STHBKK012101001261</t>
  </si>
  <si>
    <t>นาย บุญธรรม เพชร์พริก</t>
  </si>
  <si>
    <t>STHBKK012101001262</t>
  </si>
  <si>
    <t>STHBKK012101001263</t>
  </si>
  <si>
    <t>STHBKK012101001264</t>
  </si>
  <si>
    <t>STHBKK012101001265</t>
  </si>
  <si>
    <t>นาย บุญช่วย จันทร์เกตุ</t>
  </si>
  <si>
    <t>STHBKK012101001266</t>
  </si>
  <si>
    <t>นาง สังวร เที่ยงเต็ม</t>
  </si>
  <si>
    <t>STHBKK012101001267</t>
  </si>
  <si>
    <t>STHBKK012101001269</t>
  </si>
  <si>
    <t>STHBKK012101001270</t>
  </si>
  <si>
    <t>STHBKK012101001271</t>
  </si>
  <si>
    <t>STHBKK012101001272</t>
  </si>
  <si>
    <t>STHBKK012101001273</t>
  </si>
  <si>
    <t>STHBKK012101001274</t>
  </si>
  <si>
    <t>นางสาว อัจจิกา เหมทานนท์</t>
  </si>
  <si>
    <t>STHBKK012101001275</t>
  </si>
  <si>
    <t>STHBKK012101001276</t>
  </si>
  <si>
    <t>STHBKK012101001277</t>
  </si>
  <si>
    <t>STHBKK012101001278</t>
  </si>
  <si>
    <t>STHBKK012101001279</t>
  </si>
  <si>
    <t>STHBKK012101001280</t>
  </si>
  <si>
    <t>STHBKK012101001281</t>
  </si>
  <si>
    <t>STHBKK012101001282</t>
  </si>
  <si>
    <t>STHBKK012101001283</t>
  </si>
  <si>
    <t>STHBKK012101001284</t>
  </si>
  <si>
    <t>นาย ณพจน์ษยกร ลิ้มวิลัย</t>
  </si>
  <si>
    <t>STHBKK012101001285</t>
  </si>
  <si>
    <t>STHBKK012101001286</t>
  </si>
  <si>
    <t>STHBKK012101001288</t>
  </si>
  <si>
    <t>STHBKK012101001289</t>
  </si>
  <si>
    <t>STHBKK012101001290</t>
  </si>
  <si>
    <t>STHBKK012101001291</t>
  </si>
  <si>
    <t>นางสาว วิจิตรา คดีเวียง</t>
  </si>
  <si>
    <t>STHBKK012101001292</t>
  </si>
  <si>
    <t>STHBKK012101001295</t>
  </si>
  <si>
    <t>ยงยุทธ ครุธจร</t>
  </si>
  <si>
    <t>STHBKK012101001296</t>
  </si>
  <si>
    <t>นาง จันทมณี สอนฮวบ</t>
  </si>
  <si>
    <t>STHBKK012101001297</t>
  </si>
  <si>
    <t>STHBKK012101001298</t>
  </si>
  <si>
    <t>STHBKK012101001299</t>
  </si>
  <si>
    <t>STHBKK012101001300</t>
  </si>
  <si>
    <t>STHBKK012101001301</t>
  </si>
  <si>
    <t>นางสาว วาสนา โสมศรี</t>
  </si>
  <si>
    <t>STHBKK012101001302</t>
  </si>
  <si>
    <t>STHBKK012101001303</t>
  </si>
  <si>
    <t>STHBKK012101001304</t>
  </si>
  <si>
    <t>นาย อาทิตย์ รักษาราษฎร์</t>
  </si>
  <si>
    <t>STHBKK012101001305</t>
  </si>
  <si>
    <t>STHBKK012101001306</t>
  </si>
  <si>
    <t>STHBKK012101001307</t>
  </si>
  <si>
    <t>STHBKK012101001308</t>
  </si>
  <si>
    <t>STHBKK012101001310</t>
  </si>
  <si>
    <t>STHBKK012101001311</t>
  </si>
  <si>
    <t>STHBKK012101001313</t>
  </si>
  <si>
    <t>STHBKK012101001314</t>
  </si>
  <si>
    <t>นางสาว กฤษณา เพ็ชรคง</t>
  </si>
  <si>
    <t>STHBKK012101001315</t>
  </si>
  <si>
    <t>นาย ธีระชัย จันทร์นวล</t>
  </si>
  <si>
    <t>STHBKK012101001316</t>
  </si>
  <si>
    <t>STHBKK012101001317</t>
  </si>
  <si>
    <t>STHBKK012101001318</t>
  </si>
  <si>
    <t>นางสาว กัญญาภัค กำเหนิดผล</t>
  </si>
  <si>
    <t>STHBKK012101001319</t>
  </si>
  <si>
    <t>STHBKK012101001322</t>
  </si>
  <si>
    <t>STHBKK012101001323</t>
  </si>
  <si>
    <t>STHBKK012101001324</t>
  </si>
  <si>
    <t>STHBKK012101001325</t>
  </si>
  <si>
    <t>STHBKK012101001326</t>
  </si>
  <si>
    <t>STHBKK012101001327</t>
  </si>
  <si>
    <t>STHBKK012101001328</t>
  </si>
  <si>
    <t>STHBKK012101001329</t>
  </si>
  <si>
    <t>STHBKK012101001330</t>
  </si>
  <si>
    <t>STHBKK012101001331</t>
  </si>
  <si>
    <t>STHBKK012101001332</t>
  </si>
  <si>
    <t>STHBKK012101001333</t>
  </si>
  <si>
    <t>STHBKK012101001334</t>
  </si>
  <si>
    <t>STHBKK012101001336</t>
  </si>
  <si>
    <t>STHBKK012101001337</t>
  </si>
  <si>
    <t>STHBKK012101001338</t>
  </si>
  <si>
    <t>STHBKK012101001339</t>
  </si>
  <si>
    <t>ธนสิทธิ์ เจริญศิริ</t>
  </si>
  <si>
    <t>STHBKK012101001340</t>
  </si>
  <si>
    <t>STHBKK012101001342</t>
  </si>
  <si>
    <t>STHBKK012101001343</t>
  </si>
  <si>
    <t>STHBKK012101001344</t>
  </si>
  <si>
    <t>นางสาว ทักษพร พลภักดี</t>
  </si>
  <si>
    <t>STHBKK012101001345</t>
  </si>
  <si>
    <t>STHBKK012101001346</t>
  </si>
  <si>
    <t>STHBKK012101001347</t>
  </si>
  <si>
    <t>นาย ไพศาล เพชรดี</t>
  </si>
  <si>
    <t>STHBKK012101001348</t>
  </si>
  <si>
    <t>STHBKK012101001349</t>
  </si>
  <si>
    <t>STHBKK012101001350</t>
  </si>
  <si>
    <t>STHBKK012101001351</t>
  </si>
  <si>
    <t>นาย พิเชษฐ์พงศ์ สุรภักดี</t>
  </si>
  <si>
    <t>STHBKK012101001353</t>
  </si>
  <si>
    <t>STHBKK012101001354</t>
  </si>
  <si>
    <t>STHBKK012101001355</t>
  </si>
  <si>
    <t>STHBKK012101001356</t>
  </si>
  <si>
    <t>STHBKK012101001357</t>
  </si>
  <si>
    <t>STHBKK012101001358</t>
  </si>
  <si>
    <t>สมชาย โพธิ์คำ</t>
  </si>
  <si>
    <t>STHBKK012101001359</t>
  </si>
  <si>
    <t>นางสาว ศิริพักตร์ พูลวิชา</t>
  </si>
  <si>
    <t>STHBKK012101001360</t>
  </si>
  <si>
    <t>นาย ศุภชัย ทองกวาว</t>
  </si>
  <si>
    <t>STHBKK012101001361</t>
  </si>
  <si>
    <t>STHBKK012101001362</t>
  </si>
  <si>
    <t>STHBKK012101001363</t>
  </si>
  <si>
    <t>STHBKK012101001364</t>
  </si>
  <si>
    <t>STHBKK012101001366</t>
  </si>
  <si>
    <t>นาง นันทินี-เกตน์นิภา ไพจิตร</t>
  </si>
  <si>
    <t>STHBKK012101001368</t>
  </si>
  <si>
    <t>นางสาว พีรการย์ มะณีโชติ</t>
  </si>
  <si>
    <t>STHBKK012101001369</t>
  </si>
  <si>
    <t>STHBKK012101001370</t>
  </si>
  <si>
    <t>STHBKK012101001372</t>
  </si>
  <si>
    <t>นาย เมธีพงษ์ ขันหลวง</t>
  </si>
  <si>
    <t>STHONLIN2101000261</t>
  </si>
  <si>
    <t>STHONLIN2101000267</t>
  </si>
  <si>
    <t>STHONLIN2101000269</t>
  </si>
  <si>
    <t>STHONLIN2101000270</t>
  </si>
  <si>
    <t>นางสาว ณัฐญาวรรณ ยอดเดชา</t>
  </si>
  <si>
    <t>STHONLIN2101000272</t>
  </si>
  <si>
    <t>STHONLIN2101000274</t>
  </si>
  <si>
    <t>DAILY  SALE  19 Jan 2021</t>
  </si>
  <si>
    <t>STHBKK012101001373</t>
  </si>
  <si>
    <t>STHBKK012101001374</t>
  </si>
  <si>
    <t>นางสาว ธนภร ม่วงกล่ำ</t>
  </si>
  <si>
    <t>STHBKK012101001376</t>
  </si>
  <si>
    <t>STHBKK012101001377</t>
  </si>
  <si>
    <t>STHBKK012101001378</t>
  </si>
  <si>
    <t>STHBKK012101001379</t>
  </si>
  <si>
    <t>STHBKK012101001380</t>
  </si>
  <si>
    <t>STHBKK012101001381</t>
  </si>
  <si>
    <t>STHBKK012101001382</t>
  </si>
  <si>
    <t>นาย ยืนยง ชินมิตโต - สุพิน ฝอยกลาง</t>
  </si>
  <si>
    <t>STHBKK012101001383</t>
  </si>
  <si>
    <t>STHBKK012101001385</t>
  </si>
  <si>
    <t>STHBKK012101001386</t>
  </si>
  <si>
    <t>STHBKK012101001387</t>
  </si>
  <si>
    <t>STHBKK012101001388</t>
  </si>
  <si>
    <t>STHBKK012101001389</t>
  </si>
  <si>
    <t>STHBKK012101001390</t>
  </si>
  <si>
    <t>นาย ดิลก แผ่ทอง</t>
  </si>
  <si>
    <t>STHBKK012101001391</t>
  </si>
  <si>
    <t>STHBKK012101001392</t>
  </si>
  <si>
    <t>STHBKK012101001393</t>
  </si>
  <si>
    <t>STHBKK012101001394</t>
  </si>
  <si>
    <t>STHBKK012101001395</t>
  </si>
  <si>
    <t>STHBKK012101001396</t>
  </si>
  <si>
    <t>STHBKK012101001397</t>
  </si>
  <si>
    <t>STHBKK012101001398</t>
  </si>
  <si>
    <t>STHBKK012101001399</t>
  </si>
  <si>
    <t>STHBKK012101001401</t>
  </si>
  <si>
    <t>STHBKK012101001402</t>
  </si>
  <si>
    <t>STHBKK012101001403</t>
  </si>
  <si>
    <t>STHBKK012101001405</t>
  </si>
  <si>
    <t>STHBKK012101001406</t>
  </si>
  <si>
    <t>นาง ปรีชา เม่นชาวนา</t>
  </si>
  <si>
    <t>STHBKK012101001407</t>
  </si>
  <si>
    <t>STHBKK012101001408</t>
  </si>
  <si>
    <t>นางสาว ฉัตรสุดา สวนบ่อแร่</t>
  </si>
  <si>
    <t>STHBKK012101001409</t>
  </si>
  <si>
    <t>STHBKK012101001410</t>
  </si>
  <si>
    <t>STHBKK012101001411</t>
  </si>
  <si>
    <t>STHBKK012101001412</t>
  </si>
  <si>
    <t>นางสาว พรทิพย์ แสงมาศ</t>
  </si>
  <si>
    <t>STHBKK012101001413</t>
  </si>
  <si>
    <t>STHBKK012101001414</t>
  </si>
  <si>
    <t>STHBKK012101001415</t>
  </si>
  <si>
    <t>STHBKK012101001416</t>
  </si>
  <si>
    <t>นาง ธัญญ์วรัตน์ พร้อมไทยสงค์</t>
  </si>
  <si>
    <t>STHBKK012101001418</t>
  </si>
  <si>
    <t>STHBKK012101001419</t>
  </si>
  <si>
    <t>STHBKK012101001420</t>
  </si>
  <si>
    <t>นาย กมล อินอ่อน</t>
  </si>
  <si>
    <t>STHBKK012101001421</t>
  </si>
  <si>
    <t>นางสาว สุทธิดา ศัทธาพร</t>
  </si>
  <si>
    <t>STHBKK012101001423</t>
  </si>
  <si>
    <t>STHBKK012101001424</t>
  </si>
  <si>
    <t>STHBKK012101001426</t>
  </si>
  <si>
    <t>STHBKK012101001428</t>
  </si>
  <si>
    <t>STHBKK012101001429</t>
  </si>
  <si>
    <t>นางสาว ญาดา ศรีคัณทา</t>
  </si>
  <si>
    <t>STHBKK012101001432</t>
  </si>
  <si>
    <t>STHBKK012101001433</t>
  </si>
  <si>
    <t>MEACH CHAMREOUN</t>
  </si>
  <si>
    <t>STHBKK012101001434</t>
  </si>
  <si>
    <t>นางสาว วัชรวรรณ นิลสุ</t>
  </si>
  <si>
    <t>STHBKK012101001435</t>
  </si>
  <si>
    <t>นาย เทวัญ พรหมบุตร</t>
  </si>
  <si>
    <t>STHBKK012101001436</t>
  </si>
  <si>
    <t>STHBKK012101001437</t>
  </si>
  <si>
    <t>นาย กฤดาเทพ กาญจนวิจิตร</t>
  </si>
  <si>
    <t>STHBKK012101001438</t>
  </si>
  <si>
    <t>STHBKK012101001439</t>
  </si>
  <si>
    <t>STHBKK012101001440</t>
  </si>
  <si>
    <t>STHBKK012101001441</t>
  </si>
  <si>
    <t>STHBKK012101001442</t>
  </si>
  <si>
    <t>STHBKK012101001445</t>
  </si>
  <si>
    <t>นางสาว พัชชาภรณ์ มาลัมพุช</t>
  </si>
  <si>
    <t>STHBKK012101001446</t>
  </si>
  <si>
    <t>STHBKK012101001447</t>
  </si>
  <si>
    <t>นาย สุรศักดิ์ เหลีอรักษ์</t>
  </si>
  <si>
    <t>STHBKK012101001448</t>
  </si>
  <si>
    <t>STHBKK012101001449</t>
  </si>
  <si>
    <t xml:space="preserve"> </t>
  </si>
  <si>
    <t>STHBKK012101001450</t>
  </si>
  <si>
    <t>นาย คมน์ รักษาศรี</t>
  </si>
  <si>
    <t>STHBKK012101001451</t>
  </si>
  <si>
    <t>STHBKK012101001452</t>
  </si>
  <si>
    <t>KEO SAVIN</t>
  </si>
  <si>
    <t>STHBKK012101001453</t>
  </si>
  <si>
    <t>STHBKK012101001454</t>
  </si>
  <si>
    <t>นาง น้อย กลีบบัว</t>
  </si>
  <si>
    <t>STHBKK012101001455</t>
  </si>
  <si>
    <t>นางสาว วิมพ์วิภา ทองสมบูรณ์</t>
  </si>
  <si>
    <t>STHONLIN2101000292</t>
  </si>
  <si>
    <t>บริษัทจำกัด บริษัท ฟองใหญ่ จำกัด</t>
  </si>
  <si>
    <t>STHONLIN2101000296</t>
  </si>
  <si>
    <t>STHONLIN2101000297</t>
  </si>
  <si>
    <t>STHONLIN2101000303</t>
  </si>
  <si>
    <t>STHONLIN2101000306</t>
  </si>
  <si>
    <t>STHONLIN2101000307</t>
  </si>
  <si>
    <t>นางสาว นงนุช กมลรัตนาชัย</t>
  </si>
  <si>
    <t>DAILY  SALE  20 Jan 2021</t>
  </si>
  <si>
    <t>STHBKK012101001456</t>
  </si>
  <si>
    <t>STHBKK012101001457</t>
  </si>
  <si>
    <t>STHBKK012101001458</t>
  </si>
  <si>
    <t>STHBKK012101001459</t>
  </si>
  <si>
    <t>STHBKK012101001460</t>
  </si>
  <si>
    <t>STHBKK012101001461</t>
  </si>
  <si>
    <t>STHBKK012101001462</t>
  </si>
  <si>
    <t>STHBKK012101001463</t>
  </si>
  <si>
    <t>STHBKK012101001464</t>
  </si>
  <si>
    <t>STHBKK012101001465</t>
  </si>
  <si>
    <t>MR Sat thet</t>
  </si>
  <si>
    <t>STHBKK012101001466</t>
  </si>
  <si>
    <t>Mr UT thara</t>
  </si>
  <si>
    <t>STHBKK012101001467</t>
  </si>
  <si>
    <t>MR Huon Heang</t>
  </si>
  <si>
    <t>STHBKK012101001468</t>
  </si>
  <si>
    <t>STHBKK012101001469</t>
  </si>
  <si>
    <t>STHBKK012101001470</t>
  </si>
  <si>
    <t>STHBKK012101001471</t>
  </si>
  <si>
    <t>นางสาว ยุพิน กรลำ</t>
  </si>
  <si>
    <t>STHBKK012101001472</t>
  </si>
  <si>
    <t>STHBKK012101001474</t>
  </si>
  <si>
    <t>STHBKK012101001475</t>
  </si>
  <si>
    <t>STHBKK012101001476</t>
  </si>
  <si>
    <t>นาง อัมพร กุลศัตยาภิรมย์</t>
  </si>
  <si>
    <t>STHBKK012101001477</t>
  </si>
  <si>
    <t>STHBKK012101001478</t>
  </si>
  <si>
    <t>STHBKK012101001479</t>
  </si>
  <si>
    <t>STHBKK012101001480</t>
  </si>
  <si>
    <t>นางสาว มยุรีย์ เอี่ยมศรี</t>
  </si>
  <si>
    <t>STHBKK012101001481</t>
  </si>
  <si>
    <t>นางสาว ชญาภา จันหนู</t>
  </si>
  <si>
    <t>STHBKK012101001483</t>
  </si>
  <si>
    <t>STHBKK012101001484</t>
  </si>
  <si>
    <t>นาย วชิรวิณณ์ ชยุตม์เดชาวัชร์</t>
  </si>
  <si>
    <t>STHBKK012101001485</t>
  </si>
  <si>
    <t>STHBKK012101001486</t>
  </si>
  <si>
    <t>STHBKK012101001487</t>
  </si>
  <si>
    <t>STHBKK012101001488</t>
  </si>
  <si>
    <t>นาย พิสิฐพงษ์ ยอดจันทร์</t>
  </si>
  <si>
    <t>STHBKK012101001489</t>
  </si>
  <si>
    <t>STHBKK012101001490</t>
  </si>
  <si>
    <t>STHBKK012101001491</t>
  </si>
  <si>
    <t>นางสาว ลำใย ซาตชิต</t>
  </si>
  <si>
    <t>STHBKK012101001492</t>
  </si>
  <si>
    <t>STHBKK012101001493</t>
  </si>
  <si>
    <t>STHBKK012101001494</t>
  </si>
  <si>
    <t>STHBKK012101001495</t>
  </si>
  <si>
    <t>STHBKK012101001496</t>
  </si>
  <si>
    <t>นาง กิรณา เพ็งโต</t>
  </si>
  <si>
    <t>STHBKK012101001497</t>
  </si>
  <si>
    <t>STHBKK012101001498</t>
  </si>
  <si>
    <t>STHBKK012101001499</t>
  </si>
  <si>
    <t>นาย อริย์ชาติ เฉลิมโชควัฒนา</t>
  </si>
  <si>
    <t>STHBKK012101001500</t>
  </si>
  <si>
    <t>STHBKK012101001501</t>
  </si>
  <si>
    <t>STHBKK012101001502</t>
  </si>
  <si>
    <t>STHBKK012101001503</t>
  </si>
  <si>
    <t>STHBKK012101001504</t>
  </si>
  <si>
    <t>STHBKK012101001505</t>
  </si>
  <si>
    <t>นาย พงษ์ศักดิ์ แก้วรัตนชาคร</t>
  </si>
  <si>
    <t>STHBKK012101001506</t>
  </si>
  <si>
    <t>STHBKK012101001507</t>
  </si>
  <si>
    <t>STHBKK012101001508</t>
  </si>
  <si>
    <t>STHBKK012101001509</t>
  </si>
  <si>
    <t>STHBKK012101001510</t>
  </si>
  <si>
    <t>STHBKK012101001511</t>
  </si>
  <si>
    <t>STHBKK012101001512</t>
  </si>
  <si>
    <t>STHBKK012101001513</t>
  </si>
  <si>
    <t>นาย ไพฑูรย์ เนาวราช</t>
  </si>
  <si>
    <t>STHBKK012101001514</t>
  </si>
  <si>
    <t>STHBKK012101001515</t>
  </si>
  <si>
    <t>STHBKK012101001516</t>
  </si>
  <si>
    <t>STHBKK012101001517</t>
  </si>
  <si>
    <t>STHBKK012101001518</t>
  </si>
  <si>
    <t>STHBKK012101001519</t>
  </si>
  <si>
    <t>นาง สมหมาย กล่องพุดซา</t>
  </si>
  <si>
    <t>STHBKK012101001520</t>
  </si>
  <si>
    <t>นางสาว อารียา มิ่งขวัญ</t>
  </si>
  <si>
    <t>STHBKK012101001521</t>
  </si>
  <si>
    <t>นางสาว วราภรณ์ อุดมรักษ์</t>
  </si>
  <si>
    <t>STHBKK012101001522</t>
  </si>
  <si>
    <t>นาง ปรางทิพย์ สอนป้อม</t>
  </si>
  <si>
    <t>STHBKK012101001523</t>
  </si>
  <si>
    <t>นาย เอนก คมคาย</t>
  </si>
  <si>
    <t>STHBKK012101001524</t>
  </si>
  <si>
    <t>นาง ขวัญตา ศรีรักษ์</t>
  </si>
  <si>
    <t>STHBKK012101001526</t>
  </si>
  <si>
    <t>STHBKK012101001528</t>
  </si>
  <si>
    <t>นาย วิรุฬ ม่วงเกิด</t>
  </si>
  <si>
    <t>STHBKK012101001529</t>
  </si>
  <si>
    <t>STHBKK012101001531</t>
  </si>
  <si>
    <t>จันทร์เพ็ญ วิลัยกุล</t>
  </si>
  <si>
    <t>STHBKK012101001532</t>
  </si>
  <si>
    <t>STHBKK012101001533</t>
  </si>
  <si>
    <t>STHBKK012101001534</t>
  </si>
  <si>
    <t>STHBKK012101001535</t>
  </si>
  <si>
    <t>STHBKK012101001536</t>
  </si>
  <si>
    <t>STHBKK012101001538</t>
  </si>
  <si>
    <t>STHBKK012101001539</t>
  </si>
  <si>
    <t>STHBKK012101001541</t>
  </si>
  <si>
    <t>นาง ธนานันต์ ทองนำ</t>
  </si>
  <si>
    <t>STHBKK012101001544</t>
  </si>
  <si>
    <t>นางสาว อดิศรา ภุมมา</t>
  </si>
  <si>
    <t>STHBKK012101001545</t>
  </si>
  <si>
    <t>นางสาว พัชลี มาจิตร</t>
  </si>
  <si>
    <t>STHBKK012101001546</t>
  </si>
  <si>
    <t>นาย อาลักษณ์ สุขสมสุทธิ์</t>
  </si>
  <si>
    <t>STHBKK012101001547</t>
  </si>
  <si>
    <t>นาย ไพโรจน์ สุขสมสุทธิ์</t>
  </si>
  <si>
    <t>STHBKK012101001548</t>
  </si>
  <si>
    <t>นางสาว ธนิดา เกิดมนตรี</t>
  </si>
  <si>
    <t>STHBKK012101001549</t>
  </si>
  <si>
    <t>STHBKK012101001550</t>
  </si>
  <si>
    <t>STHBKK012101001551</t>
  </si>
  <si>
    <t>นาย สุพรรณ นิลเพชร์</t>
  </si>
  <si>
    <t>STHBKK012101001552</t>
  </si>
  <si>
    <t>STHBKK012101001553</t>
  </si>
  <si>
    <t>STHBKK012101001554</t>
  </si>
  <si>
    <t>นาง ลิ้นจี่ ศรีสุขเจริญพร</t>
  </si>
  <si>
    <t>STHBKK012101001555</t>
  </si>
  <si>
    <t>STHBKK012101001556</t>
  </si>
  <si>
    <t>STHONLIN2101000317</t>
  </si>
  <si>
    <t>STHONLIN2101000320</t>
  </si>
  <si>
    <t>STHONLIN2101000326</t>
  </si>
  <si>
    <t>นางสาว กุสุมาลญ์ มุนีรักษา</t>
  </si>
  <si>
    <t>DAILY  SALE  21 Jan 2021</t>
  </si>
  <si>
    <t>STHBKK012101001558</t>
  </si>
  <si>
    <t>นาย ต่อสกุล ระบายเพ็ชร</t>
  </si>
  <si>
    <t>STHBKK012101001559</t>
  </si>
  <si>
    <t>STHBKK012101001560</t>
  </si>
  <si>
    <t>นาย มงคล โพธิ์ศรี</t>
  </si>
  <si>
    <t>STHBKK012101001561</t>
  </si>
  <si>
    <t>STHBKK012101001562</t>
  </si>
  <si>
    <t>STHBKK012101001564</t>
  </si>
  <si>
    <t>STHBKK012101001565</t>
  </si>
  <si>
    <t>นางสาว ฉัฐณัฐ โรงอ่อน</t>
  </si>
  <si>
    <t>STHBKK012101001566</t>
  </si>
  <si>
    <t>STHBKK012101001567</t>
  </si>
  <si>
    <t>นาง จรัญ สรวงสิงห์</t>
  </si>
  <si>
    <t>STHBKK012101001568</t>
  </si>
  <si>
    <t>STHBKK012101001569</t>
  </si>
  <si>
    <t>STHBKK012101001570</t>
  </si>
  <si>
    <t>STHBKK012101001571</t>
  </si>
  <si>
    <t>STHBKK012101001572</t>
  </si>
  <si>
    <t>STHBKK012101001573</t>
  </si>
  <si>
    <t>STHBKK012101001574</t>
  </si>
  <si>
    <t>STHBKK012101001575</t>
  </si>
  <si>
    <t>STHBKK012101001576</t>
  </si>
  <si>
    <t>STHBKK012101001578</t>
  </si>
  <si>
    <t>นาง สุนทร เผือกผู้</t>
  </si>
  <si>
    <t>STHBKK012101001579</t>
  </si>
  <si>
    <t>STHBKK012101001580</t>
  </si>
  <si>
    <t>STHBKK012101001581</t>
  </si>
  <si>
    <t>STHBKK012101001584</t>
  </si>
  <si>
    <t>นาง อำพร จันทร์วิเศษ</t>
  </si>
  <si>
    <t>STHBKK012101001585</t>
  </si>
  <si>
    <t>STHBKK012101001586</t>
  </si>
  <si>
    <t>STHBKK012101001587</t>
  </si>
  <si>
    <t>STHBKK012101001588</t>
  </si>
  <si>
    <t>STHBKK012101001590</t>
  </si>
  <si>
    <t>STHBKK012101001591</t>
  </si>
  <si>
    <t>STHBKK012101001592</t>
  </si>
  <si>
    <t>STHBKK012101001593</t>
  </si>
  <si>
    <t>STHBKK012101001595</t>
  </si>
  <si>
    <t>STHBKK012101001596</t>
  </si>
  <si>
    <t>STHBKK012101001599</t>
  </si>
  <si>
    <t>STHBKK012101001601</t>
  </si>
  <si>
    <t>STHBKK012101001602</t>
  </si>
  <si>
    <t>STHBKK012101001603</t>
  </si>
  <si>
    <t>นางสาว ธวัลรัตน์ ณัฐภัทรศิริกุล</t>
  </si>
  <si>
    <t>STHBKK012101001606</t>
  </si>
  <si>
    <t>นาง นงลักษณ์ กงวิรัตน์</t>
  </si>
  <si>
    <t>STHBKK012101001607</t>
  </si>
  <si>
    <t>นาย ฮาฟิส มะสาแม</t>
  </si>
  <si>
    <t>STHBKK012101001608</t>
  </si>
  <si>
    <t>STHBKK012101001610</t>
  </si>
  <si>
    <t>STHBKK012101001611</t>
  </si>
  <si>
    <t>STHBKK012101001612</t>
  </si>
  <si>
    <t>นางสาว วาสนา อาจหาญ</t>
  </si>
  <si>
    <t>STHBKK012101001616</t>
  </si>
  <si>
    <t>นางสาว วิภาพร ทะยะสุทธิ์</t>
  </si>
  <si>
    <t>STHBKK012101001617</t>
  </si>
  <si>
    <t>นางสาว ปัดชา เกษกุ</t>
  </si>
  <si>
    <t>STHBKK012101001618</t>
  </si>
  <si>
    <t>นาง อรทัย นิพขันธ์</t>
  </si>
  <si>
    <t>STHBKK012101001619</t>
  </si>
  <si>
    <t>STHBKK012101001620</t>
  </si>
  <si>
    <t>STHBKK012101001621</t>
  </si>
  <si>
    <t>STHBKK012101001622</t>
  </si>
  <si>
    <t>นาย วัฒนา ทัศนพาณิชย์</t>
  </si>
  <si>
    <t>STHBKK012101001623</t>
  </si>
  <si>
    <t>นางสาว อนิสสรา ยวงลำใย</t>
  </si>
  <si>
    <t>STHBKK012101001624</t>
  </si>
  <si>
    <t>นาย แก้ว ปานพลอย</t>
  </si>
  <si>
    <t>STHBKK012101001626</t>
  </si>
  <si>
    <t>STHBKK012101001629</t>
  </si>
  <si>
    <t>นาย สมพัฒ เพ็ชรไม้</t>
  </si>
  <si>
    <t>STHBKK012101001630</t>
  </si>
  <si>
    <t>STHBKK012101001631</t>
  </si>
  <si>
    <t>นาย เอกธวัช คงประวัติ</t>
  </si>
  <si>
    <t>STHBKK012101001632</t>
  </si>
  <si>
    <t>นางสาว ดวงพร แม้นพยัคฆ์</t>
  </si>
  <si>
    <t>STHBKK012101001633</t>
  </si>
  <si>
    <t>นาย สมยศ น้ำเพชร</t>
  </si>
  <si>
    <t>STHBKK012101001634</t>
  </si>
  <si>
    <t>นาย ภาสกร ขุนเพ็ง</t>
  </si>
  <si>
    <t>STHONLIN2101000333</t>
  </si>
  <si>
    <t>STHONLIN2101000335</t>
  </si>
  <si>
    <t>DAILY  SALE  22 Jan 2021</t>
  </si>
  <si>
    <t>STHBKK012101001635</t>
  </si>
  <si>
    <t>STHBKK012101001636</t>
  </si>
  <si>
    <t>STHBKK012101001637</t>
  </si>
  <si>
    <t>STHBKK012101001638</t>
  </si>
  <si>
    <t>STHBKK012101001639</t>
  </si>
  <si>
    <t>STHBKK012101001640</t>
  </si>
  <si>
    <t>STHBKK012101001641</t>
  </si>
  <si>
    <t>STHBKK012101001642</t>
  </si>
  <si>
    <t>STHBKK012101001643</t>
  </si>
  <si>
    <t>STHBKK012101001644</t>
  </si>
  <si>
    <t>STHBKK012101001645</t>
  </si>
  <si>
    <t>STHBKK012101001646</t>
  </si>
  <si>
    <t>STHBKK012101001647</t>
  </si>
  <si>
    <t>STHBKK012101001648</t>
  </si>
  <si>
    <t>STHBKK012101001649</t>
  </si>
  <si>
    <t>STHBKK012101001650</t>
  </si>
  <si>
    <t>รจนี จันทายืน</t>
  </si>
  <si>
    <t>STHBKK012101001651</t>
  </si>
  <si>
    <t>STHBKK012101001652</t>
  </si>
  <si>
    <t>นาย เลิศวรรธน์ ศรีภิรมย์</t>
  </si>
  <si>
    <t>STHBKK012101001653</t>
  </si>
  <si>
    <t>STHBKK012101001654</t>
  </si>
  <si>
    <t>STHBKK012101001655</t>
  </si>
  <si>
    <t>STHBKK012101001656</t>
  </si>
  <si>
    <t>STHBKK012101001657</t>
  </si>
  <si>
    <t>นาย สามภพ คงเมือง</t>
  </si>
  <si>
    <t>STHBKK012101001658</t>
  </si>
  <si>
    <t>นาย วีรชัย เข็มสร</t>
  </si>
  <si>
    <t>STHBKK012101001659</t>
  </si>
  <si>
    <t>STHBKK012101001660</t>
  </si>
  <si>
    <t>STHBKK012101001661</t>
  </si>
  <si>
    <t>STHBKK012101001662</t>
  </si>
  <si>
    <t>STHBKK012101001663</t>
  </si>
  <si>
    <t>STHBKK012101001664</t>
  </si>
  <si>
    <t>STHBKK012101001665</t>
  </si>
  <si>
    <t>STHBKK012101001666</t>
  </si>
  <si>
    <t>STHBKK012101001667</t>
  </si>
  <si>
    <t>STHBKK012101001668</t>
  </si>
  <si>
    <t>นาย จำรัส เพียซ้าย</t>
  </si>
  <si>
    <t>STHBKK012101001669</t>
  </si>
  <si>
    <t>นาย พงษ์พิชญ์ แสงจันทร์</t>
  </si>
  <si>
    <t>STHBKK012101001670</t>
  </si>
  <si>
    <t>STHBKK012101001671</t>
  </si>
  <si>
    <t>นาย อุดม ศิลารัตน์</t>
  </si>
  <si>
    <t>STHBKK012101001672</t>
  </si>
  <si>
    <t>STHBKK012101001673</t>
  </si>
  <si>
    <t>STHBKK012101001674</t>
  </si>
  <si>
    <t>STHBKK012101001675</t>
  </si>
  <si>
    <t>STHBKK012101001676</t>
  </si>
  <si>
    <t>STHBKK012101001677</t>
  </si>
  <si>
    <t>STHBKK012101001678</t>
  </si>
  <si>
    <t>STHBKK012101001679</t>
  </si>
  <si>
    <t>STHBKK012101001680</t>
  </si>
  <si>
    <t>STHBKK012101001681</t>
  </si>
  <si>
    <t>STHBKK012101001682</t>
  </si>
  <si>
    <t>STHBKK012101001683</t>
  </si>
  <si>
    <t>STHBKK012101001684</t>
  </si>
  <si>
    <t>STHBKK012101001686</t>
  </si>
  <si>
    <t>STHBKK012101001687</t>
  </si>
  <si>
    <t>STHBKK012101001690</t>
  </si>
  <si>
    <t>STHBKK012101001691</t>
  </si>
  <si>
    <t>นางสาว รัตติมา ชื่นสุภัค</t>
  </si>
  <si>
    <t>STHBKK012101001692</t>
  </si>
  <si>
    <t>STHBKK012101001693</t>
  </si>
  <si>
    <t>STHBKK012101001694</t>
  </si>
  <si>
    <t>STHBKK012101001695</t>
  </si>
  <si>
    <t>STHONLIN2101000338</t>
  </si>
  <si>
    <t>STHONLIN2101000339</t>
  </si>
  <si>
    <t>STHONLIN2101000341</t>
  </si>
  <si>
    <t>STHONLIN2101000342</t>
  </si>
  <si>
    <t>STHONLIN2101000345</t>
  </si>
  <si>
    <t>DAILY  SALE  23 Jan 2021</t>
  </si>
  <si>
    <t>STHBKK012101001696</t>
  </si>
  <si>
    <t>STHBKK012101001697</t>
  </si>
  <si>
    <t>STHBKK012101001698</t>
  </si>
  <si>
    <t>นาย ภูวสิษฐ์ บวรธราเศรษฐ์</t>
  </si>
  <si>
    <t>STHBKK012101001699</t>
  </si>
  <si>
    <t>STHBKK012101001700</t>
  </si>
  <si>
    <t>STHBKK012101001701</t>
  </si>
  <si>
    <t>STHBKK012101001702</t>
  </si>
  <si>
    <t>STHBKK012101001703</t>
  </si>
  <si>
    <t>STHBKK012101001704</t>
  </si>
  <si>
    <t>STHBKK012101001705</t>
  </si>
  <si>
    <t>STHBKK012101001706</t>
  </si>
  <si>
    <t>STHBKK012101001707</t>
  </si>
  <si>
    <t>STHBKK012101001708</t>
  </si>
  <si>
    <t>STHBKK012101001709</t>
  </si>
  <si>
    <t>STHBKK012101001710</t>
  </si>
  <si>
    <t>STHBKK012101001711</t>
  </si>
  <si>
    <t>STHBKK012101001712</t>
  </si>
  <si>
    <t>STHBKK012101001713</t>
  </si>
  <si>
    <t>STHBKK012101001714</t>
  </si>
  <si>
    <t>STHBKK012101001715</t>
  </si>
  <si>
    <t>STHBKK012101001716</t>
  </si>
  <si>
    <t>STHBKK012101001717</t>
  </si>
  <si>
    <t>STHBKK012101001718</t>
  </si>
  <si>
    <t>เดโชชัย นิ่มนวล</t>
  </si>
  <si>
    <t>STHBKK012101001719</t>
  </si>
  <si>
    <t>STHBKK012101001720</t>
  </si>
  <si>
    <t>STHBKK012101001721</t>
  </si>
  <si>
    <t>STHBKK012101001722</t>
  </si>
  <si>
    <t>STHBKK012101001723</t>
  </si>
  <si>
    <t>STHBKK012101001724</t>
  </si>
  <si>
    <t>นาย นพธนกรฐ์ คล้ายมาลา</t>
  </si>
  <si>
    <t>STHBKK012101001726</t>
  </si>
  <si>
    <t>STHBKK012101001727</t>
  </si>
  <si>
    <t>STHBKK012101001728</t>
  </si>
  <si>
    <t>นางสาว อภิชญา ยอดจันทร์</t>
  </si>
  <si>
    <t>STHBKK012101001729</t>
  </si>
  <si>
    <t>STHBKK012101001730</t>
  </si>
  <si>
    <t>STHBKK012101001731</t>
  </si>
  <si>
    <t>STHBKK012101001732</t>
  </si>
  <si>
    <t>STHBKK012101001733</t>
  </si>
  <si>
    <t>STHBKK012101001734</t>
  </si>
  <si>
    <t>STHBKK012101001735</t>
  </si>
  <si>
    <t>STHBKK012101001736</t>
  </si>
  <si>
    <t>STHBKK012101001737</t>
  </si>
  <si>
    <t>STHBKK012101001738</t>
  </si>
  <si>
    <t>STHBKK012101001739</t>
  </si>
  <si>
    <t>STHBKK012101001740</t>
  </si>
  <si>
    <t>STHBKK012101001741</t>
  </si>
  <si>
    <t>STHBKK012101001742</t>
  </si>
  <si>
    <t>นาง ปุณยวีร์ ภูริพัฒน์นพคุณ</t>
  </si>
  <si>
    <t>STHBKK012101001743</t>
  </si>
  <si>
    <t>STHBKK012101001744</t>
  </si>
  <si>
    <t>นางสาว พิมพ์ลดา อิสริยาฐากรณ์</t>
  </si>
  <si>
    <t>STHBKK012101001745</t>
  </si>
  <si>
    <t>STHBKK012101001746</t>
  </si>
  <si>
    <t>STHBKK012101001747</t>
  </si>
  <si>
    <t>STHBKK012101001748</t>
  </si>
  <si>
    <t>STHBKK012101001749</t>
  </si>
  <si>
    <t>นาย Te Bunngy</t>
  </si>
  <si>
    <t>STHBKK012101001750</t>
  </si>
  <si>
    <t>STHBKK012101001751</t>
  </si>
  <si>
    <t>STHBKK012101001752</t>
  </si>
  <si>
    <t>STHBKK012101001753</t>
  </si>
  <si>
    <t>STHBKK012101001754</t>
  </si>
  <si>
    <t>STHBKK012101001755</t>
  </si>
  <si>
    <t>STHBKK012101001756</t>
  </si>
  <si>
    <t>STHBKK012101001757</t>
  </si>
  <si>
    <t>STHBKK012101001758</t>
  </si>
  <si>
    <t>STHBKK012101001759</t>
  </si>
  <si>
    <t>STHBKK012101001760</t>
  </si>
  <si>
    <t>STHBKK012101001762</t>
  </si>
  <si>
    <t>STHBKK012101001763</t>
  </si>
  <si>
    <t>นาย สายหยุด เกตุเปี่ยม</t>
  </si>
  <si>
    <t>STHBKK012101001764</t>
  </si>
  <si>
    <t>STHBKK012101001765</t>
  </si>
  <si>
    <t>STHBKK012101001768</t>
  </si>
  <si>
    <t>นาย ทนง&amp;#8203;ศักดิ์&amp;#8203; รัตนบุรี&amp;#8203;</t>
  </si>
  <si>
    <t>STHBKK012101001772</t>
  </si>
  <si>
    <t>STHBKK012101001775</t>
  </si>
  <si>
    <t>STHBKK012101001776</t>
  </si>
  <si>
    <t>STHBKK012101001777</t>
  </si>
  <si>
    <t>นาง จุฑารัตน์ รัตนบุรี</t>
  </si>
  <si>
    <t>STHBKK012101001778</t>
  </si>
  <si>
    <t>STHBKK012101001779</t>
  </si>
  <si>
    <t>STHBKK012101001780</t>
  </si>
  <si>
    <t>STHBKK012101001781</t>
  </si>
  <si>
    <t>นางสาว ภวดี ธนาบุญศิริ</t>
  </si>
  <si>
    <t>STHONLIN2101000350</t>
  </si>
  <si>
    <t>STHONLIN2101000354</t>
  </si>
  <si>
    <t>STHONLIN2101000355</t>
  </si>
  <si>
    <t>STHONLIN2101000361</t>
  </si>
  <si>
    <t>STHONLIN2101000368</t>
  </si>
  <si>
    <t>STHONLIN2101000370</t>
  </si>
  <si>
    <t>STHONLIN2101000371</t>
  </si>
  <si>
    <t>นาง สมหมาย จิรรัตน์พิทักษ์</t>
  </si>
  <si>
    <t>DAILY  SALE  24 Jan 2021</t>
  </si>
  <si>
    <t>STHBKK012101001782</t>
  </si>
  <si>
    <t>STHBKK012101001783</t>
  </si>
  <si>
    <t>STHBKK012101001784</t>
  </si>
  <si>
    <t>STHBKK012101001785</t>
  </si>
  <si>
    <t>STHBKK012101001786</t>
  </si>
  <si>
    <t>STHBKK012101001787</t>
  </si>
  <si>
    <t>STHBKK012101001788</t>
  </si>
  <si>
    <t>นาย ชยพัทธ์ ณ พัทลุง</t>
  </si>
  <si>
    <t>STHBKK012101001789</t>
  </si>
  <si>
    <t>STHBKK012101001790</t>
  </si>
  <si>
    <t>STHBKK012101001791</t>
  </si>
  <si>
    <t>STHBKK012101001792</t>
  </si>
  <si>
    <t>STHBKK012101001793</t>
  </si>
  <si>
    <t>STHBKK012101001794</t>
  </si>
  <si>
    <t>STHBKK012101001795</t>
  </si>
  <si>
    <t>STHBKK012101001796</t>
  </si>
  <si>
    <t>นาย จักรพงศ์ เพชรเหลี่ยม</t>
  </si>
  <si>
    <t>STHBKK012101001797</t>
  </si>
  <si>
    <t>STHBKK012101001800</t>
  </si>
  <si>
    <t>STHBKK012101001801</t>
  </si>
  <si>
    <t>STHBKK012101001802</t>
  </si>
  <si>
    <t>STHBKK012101001803</t>
  </si>
  <si>
    <t>STHBKK012101001804</t>
  </si>
  <si>
    <t>STHBKK012101001807</t>
  </si>
  <si>
    <t>STHBKK012101001808</t>
  </si>
  <si>
    <t>นางสาว แก้วมณี บุญขจร - สุริยา พรมทา</t>
  </si>
  <si>
    <t>STHBKK012101001809</t>
  </si>
  <si>
    <t>นางสาว นิภาพร ผลสุข</t>
  </si>
  <si>
    <t>STHBKK012101001810</t>
  </si>
  <si>
    <t>STHBKK012101001811</t>
  </si>
  <si>
    <t>STHBKK012101001812</t>
  </si>
  <si>
    <t>STHBKK012101001813</t>
  </si>
  <si>
    <t>นาย ภูวเดช จันทร์ศรี</t>
  </si>
  <si>
    <t>STHBKK012101001814</t>
  </si>
  <si>
    <t>STHBKK012101001815</t>
  </si>
  <si>
    <t>STHBKK012101001816</t>
  </si>
  <si>
    <t>STHBKK012101001817</t>
  </si>
  <si>
    <t>STHBKK012101001818</t>
  </si>
  <si>
    <t>นางสาว รัชตวรรณ เนาวสินธ์</t>
  </si>
  <si>
    <t>STHBKK012101001819</t>
  </si>
  <si>
    <t>นาง ศรีนวน เลขวัฒนะ</t>
  </si>
  <si>
    <t>STHBKK012101001820</t>
  </si>
  <si>
    <t>นาง บุญสม ทับเอี่ยม</t>
  </si>
  <si>
    <t>STHBKK012101001821</t>
  </si>
  <si>
    <t>STHBKK012101001822</t>
  </si>
  <si>
    <t>STHBKK012101001823</t>
  </si>
  <si>
    <t>STHBKK012101001824</t>
  </si>
  <si>
    <t>STHBKK012101001825</t>
  </si>
  <si>
    <t>นางสาว เพ็ญพร ม่วงมณี</t>
  </si>
  <si>
    <t>STHBKK012101001826</t>
  </si>
  <si>
    <t>นางสาว เจียมใจ วารายานนท์</t>
  </si>
  <si>
    <t>STHBKK012101001827</t>
  </si>
  <si>
    <t>STHBKK012101001828</t>
  </si>
  <si>
    <t>นางสาว จินห์ภณิดา วรรณนิคมจิตร์</t>
  </si>
  <si>
    <t>STHBKK012101001829</t>
  </si>
  <si>
    <t>นาย นิทัศน์ เหล่าอนันต์ชัย</t>
  </si>
  <si>
    <t>STHBKK012101001830</t>
  </si>
  <si>
    <t>นางสาว สุภาภรณ์ โทแก้ว</t>
  </si>
  <si>
    <t>STHBKK012101001831</t>
  </si>
  <si>
    <t>STHBKK012101001832</t>
  </si>
  <si>
    <t>STHONLIN2101000376</t>
  </si>
  <si>
    <t>STHONLIN2101000377</t>
  </si>
  <si>
    <t>DAILY  SALE  25 Jan 2021</t>
  </si>
  <si>
    <t>STHBKK012101001833</t>
  </si>
  <si>
    <t>STHBKK012101001834</t>
  </si>
  <si>
    <t>STHBKK012101001835</t>
  </si>
  <si>
    <t>นางสาว จันทิมา ไฝ่เมตตา</t>
  </si>
  <si>
    <t>STHBKK012101001836</t>
  </si>
  <si>
    <t>STHBKK012101001837</t>
  </si>
  <si>
    <t>STHBKK012101001838</t>
  </si>
  <si>
    <t>STHBKK012101001839</t>
  </si>
  <si>
    <t>STHBKK012101001840</t>
  </si>
  <si>
    <t>STHBKK012101001841</t>
  </si>
  <si>
    <t>STHBKK012101001842</t>
  </si>
  <si>
    <t>นาง วันเพ็ญ พึ่งเมือง</t>
  </si>
  <si>
    <t>STHBKK012101001844</t>
  </si>
  <si>
    <t>STHBKK012101001845</t>
  </si>
  <si>
    <t>STHBKK012101001846</t>
  </si>
  <si>
    <t>STHBKK012101001847</t>
  </si>
  <si>
    <t>STHBKK012101001848</t>
  </si>
  <si>
    <t>STHBKK012101001849</t>
  </si>
  <si>
    <t>STHBKK012101001850</t>
  </si>
  <si>
    <t>STHBKK012101001851</t>
  </si>
  <si>
    <t>STHBKK012101001852</t>
  </si>
  <si>
    <t>STHBKK012101001853</t>
  </si>
  <si>
    <t>STHBKK012101001854</t>
  </si>
  <si>
    <t>นาย ณัฐเกียรติ เสมาทอง</t>
  </si>
  <si>
    <t>STHBKK012101001855</t>
  </si>
  <si>
    <t>นาย ศิริพักตร์ แม้นประโคน</t>
  </si>
  <si>
    <t>STHBKK012101001856</t>
  </si>
  <si>
    <t>STHBKK012101001858</t>
  </si>
  <si>
    <t>STHBKK012101001859</t>
  </si>
  <si>
    <t>STHBKK012101001860</t>
  </si>
  <si>
    <t>STHBKK012101001861</t>
  </si>
  <si>
    <t>STHBKK012101001862</t>
  </si>
  <si>
    <t>STHBKK012101001863</t>
  </si>
  <si>
    <t>STHBKK012101001864</t>
  </si>
  <si>
    <t>STHBKK012101001865</t>
  </si>
  <si>
    <t>STHBKK012101001866</t>
  </si>
  <si>
    <t>STHBKK012101001867</t>
  </si>
  <si>
    <t>นาย โกศล&amp;#8203; ดำสอาด</t>
  </si>
  <si>
    <t>STHBKK012101001868</t>
  </si>
  <si>
    <t>STHBKK012101001869</t>
  </si>
  <si>
    <t>STHBKK012101001870</t>
  </si>
  <si>
    <t>สมชาย ปลื้มจิตร์</t>
  </si>
  <si>
    <t>STHBKK012101001872</t>
  </si>
  <si>
    <t>STHBKK012101001873</t>
  </si>
  <si>
    <t>STHBKK012101001874</t>
  </si>
  <si>
    <t>STHBKK012101001875</t>
  </si>
  <si>
    <t>บริษัทจำกัด บริษัท ซินเนอยี แอล เทรดดิ้ง</t>
  </si>
  <si>
    <t>STHBKK012101001876</t>
  </si>
  <si>
    <t>นางสาว ภิญญาพัชญ์ เอี่ยมกมล</t>
  </si>
  <si>
    <t>STHBKK012101001877</t>
  </si>
  <si>
    <t>STHBKK012101001878</t>
  </si>
  <si>
    <t>STHBKK012101001879</t>
  </si>
  <si>
    <t>STHBKK012101001880</t>
  </si>
  <si>
    <t>STHBKK012101001881</t>
  </si>
  <si>
    <t>STHBKK012101001882</t>
  </si>
  <si>
    <t>STHBKK012101001883</t>
  </si>
  <si>
    <t>STHBKK012101001884</t>
  </si>
  <si>
    <t>STHBKK012101001886</t>
  </si>
  <si>
    <t>STHBKK012101001887</t>
  </si>
  <si>
    <t>STHBKK012101001888</t>
  </si>
  <si>
    <t>นาย เอกสิทธิ์ ชำนาญผา</t>
  </si>
  <si>
    <t>STHBKK012101001889</t>
  </si>
  <si>
    <t>STHBKK012101001890</t>
  </si>
  <si>
    <t>นาย ชานุวัฒน์ เรือนคำ</t>
  </si>
  <si>
    <t>STHBKK012101001891</t>
  </si>
  <si>
    <t>STHBKK012101001892</t>
  </si>
  <si>
    <t>STHBKK012101001893</t>
  </si>
  <si>
    <t>STHBKK012101001894</t>
  </si>
  <si>
    <t>นางสาว หาบีบะ ดาตู</t>
  </si>
  <si>
    <t>STHBKK012101001895</t>
  </si>
  <si>
    <t>STHBKK012101001897</t>
  </si>
  <si>
    <t>STHBKK012101001898</t>
  </si>
  <si>
    <t>STHBKK012101001899</t>
  </si>
  <si>
    <t>STHBKK012101001900</t>
  </si>
  <si>
    <t>STHBKK012101001901</t>
  </si>
  <si>
    <t>นางสาว กนกภรณ์ จำปาเวียง</t>
  </si>
  <si>
    <t>STHONLIN2101000380</t>
  </si>
  <si>
    <t>STHONLIN2101000389</t>
  </si>
  <si>
    <t>STHONLIN2101000391</t>
  </si>
  <si>
    <t>STHONLIN2101000393</t>
  </si>
  <si>
    <t>STHONLIN2101000395</t>
  </si>
  <si>
    <t>STHONLIN2101000397</t>
  </si>
  <si>
    <t>STHONLIN2101000404</t>
  </si>
  <si>
    <t>นาย เอกชลิต ธวัชกฤตยา-ธณวรรณธ์ รัตนผดุงเกียร</t>
  </si>
  <si>
    <t>STHONLIN2101000405</t>
  </si>
  <si>
    <t>DAILY  SALE  04 Jan 2021</t>
  </si>
  <si>
    <t>STHBKK012101000026</t>
  </si>
  <si>
    <t>STHBKK012101000027</t>
  </si>
  <si>
    <t>STHBKK012101000028</t>
  </si>
  <si>
    <t>STHBKK012101000029</t>
  </si>
  <si>
    <t>STHBKK012101000030</t>
  </si>
  <si>
    <t>STHBKK012101000031</t>
  </si>
  <si>
    <t>STHBKK012101000032</t>
  </si>
  <si>
    <t>นางสาว เพยาว์ ก้อนจันทร์เทศ</t>
  </si>
  <si>
    <t>STHBKK012101000033</t>
  </si>
  <si>
    <t>STHBKK012101000034</t>
  </si>
  <si>
    <t>นาย นฐกร แสงจันทร์</t>
  </si>
  <si>
    <t>STHBKK012101000035</t>
  </si>
  <si>
    <t>STHBKK012101000036</t>
  </si>
  <si>
    <t>STHBKK012101000038</t>
  </si>
  <si>
    <t>STHBKK012101000039</t>
  </si>
  <si>
    <t>STHBKK012101000040</t>
  </si>
  <si>
    <t>STHBKK012101000042</t>
  </si>
  <si>
    <t>นาย บุญลาภ โพธิ์ศรี</t>
  </si>
  <si>
    <t>STHBKK012101000043</t>
  </si>
  <si>
    <t>นาย เหมวิทย์ โพธิ์ศรี</t>
  </si>
  <si>
    <t>STHBKK012101000044</t>
  </si>
  <si>
    <t>STHBKK012101000045</t>
  </si>
  <si>
    <t>STHBKK012101000046</t>
  </si>
  <si>
    <t>STHBKK012101000047</t>
  </si>
  <si>
    <t>นางสาว เสาวลักษณ์ บุญเลิศ</t>
  </si>
  <si>
    <t>STHBKK012101000048</t>
  </si>
  <si>
    <t>STHBKK012101000049</t>
  </si>
  <si>
    <t>STHBKK012101000050</t>
  </si>
  <si>
    <t>STHBKK012101000051</t>
  </si>
  <si>
    <t>STHBKK012101000052</t>
  </si>
  <si>
    <t>STHBKK012101000053</t>
  </si>
  <si>
    <t>STHBKK012101000054</t>
  </si>
  <si>
    <t>นางสาว เขมณัฎฐ์ บุญทับ</t>
  </si>
  <si>
    <t>STHBKK012101000055</t>
  </si>
  <si>
    <t>STHBKK012101000056</t>
  </si>
  <si>
    <t>STHBKK012101000057</t>
  </si>
  <si>
    <t>STHBKK012101000058</t>
  </si>
  <si>
    <t>STHBKK012101000059</t>
  </si>
  <si>
    <t>STHBKK012101000060</t>
  </si>
  <si>
    <t>STHBKK012101000062</t>
  </si>
  <si>
    <t>STHBKK012101000063</t>
  </si>
  <si>
    <t>STHBKK012101000064</t>
  </si>
  <si>
    <t>STHBKK012101000065</t>
  </si>
  <si>
    <t>STHBKK012101000066</t>
  </si>
  <si>
    <t>STHBKK012101000067</t>
  </si>
  <si>
    <t>STHBKK012101000068</t>
  </si>
  <si>
    <t>STHBKK012101000069</t>
  </si>
  <si>
    <t>STHBKK012101000070</t>
  </si>
  <si>
    <t>นาย นิธิศ ปฐมพรสิริกุล</t>
  </si>
  <si>
    <t>STHBKK012101000071</t>
  </si>
  <si>
    <t>นาย นพรุจ ม่วงนวน</t>
  </si>
  <si>
    <t>STHBKK012101000072</t>
  </si>
  <si>
    <t>STHBKK012101000073</t>
  </si>
  <si>
    <t>นาย พัฒน์สรณ์ ภรเตียวเจริญ</t>
  </si>
  <si>
    <t>STHBKK012101000074</t>
  </si>
  <si>
    <t>STHBKK012101000075</t>
  </si>
  <si>
    <t>STHBKK012101000076</t>
  </si>
  <si>
    <t>นาง มงคล นาคเกตุ</t>
  </si>
  <si>
    <t>STHBKK012101000077</t>
  </si>
  <si>
    <t>STHBKK012101000078</t>
  </si>
  <si>
    <t>STHBKK012101000080</t>
  </si>
  <si>
    <t>STHBKK012101000081</t>
  </si>
  <si>
    <t>STHBKK012101000083</t>
  </si>
  <si>
    <t>STHBKK012101000084</t>
  </si>
  <si>
    <t>STHBKK012101000085</t>
  </si>
  <si>
    <t>STHBKK012101000086</t>
  </si>
  <si>
    <t>STHBKK012101000089</t>
  </si>
  <si>
    <t>STHBKK012101000090</t>
  </si>
  <si>
    <t>STHBKK012101000091</t>
  </si>
  <si>
    <t>STHBKK012101000092</t>
  </si>
  <si>
    <t>STHBKK012101000093</t>
  </si>
  <si>
    <t>STHBKK012101000094</t>
  </si>
  <si>
    <t>STHBKK012101000096</t>
  </si>
  <si>
    <t>STHBKK012101000097</t>
  </si>
  <si>
    <t>STHBKK012101000098</t>
  </si>
  <si>
    <t>STHBKK012101000099</t>
  </si>
  <si>
    <t>STHBKK012101000100</t>
  </si>
  <si>
    <t>STHBKK012101000101</t>
  </si>
  <si>
    <t>STHBKK012101000102</t>
  </si>
  <si>
    <t>STHBKK012101000103</t>
  </si>
  <si>
    <t>STHBKK012101000104</t>
  </si>
  <si>
    <t>นาย วิสุทธิ์ จันทร์ประเสริฐ</t>
  </si>
  <si>
    <t>STHBKK012101000105</t>
  </si>
  <si>
    <t>STHBKK012101000106</t>
  </si>
  <si>
    <t>STHBKK012101000107</t>
  </si>
  <si>
    <t>STHBKK012101000108</t>
  </si>
  <si>
    <t>STHBKK012101000109</t>
  </si>
  <si>
    <t>STHBKK012101000110</t>
  </si>
  <si>
    <t>นางสาว อสิดาธรณ์ เอี่ยมศิริแสงทอง</t>
  </si>
  <si>
    <t>STHBKK012101000111</t>
  </si>
  <si>
    <t>STHBKK012101000112</t>
  </si>
  <si>
    <t>นางสาว ขวัญเรือน บุญปก</t>
  </si>
  <si>
    <t>STHBKK012101000113</t>
  </si>
  <si>
    <t>STHBKK012101000114</t>
  </si>
  <si>
    <t>นาย จตุรงค์ เผ่าพันธ์ดี</t>
  </si>
  <si>
    <t>STHBKK012101000115</t>
  </si>
  <si>
    <t>STHBKK012101000116</t>
  </si>
  <si>
    <t>นาย สมจิตต์ เทียนบูชา</t>
  </si>
  <si>
    <t>STHBKK012101000117</t>
  </si>
  <si>
    <t>STHBKK012101000118</t>
  </si>
  <si>
    <t>STHBKK012101000119</t>
  </si>
  <si>
    <t>STHBKK012101000120</t>
  </si>
  <si>
    <t>นางสาว น้ำผึ้ง รอดแสวง</t>
  </si>
  <si>
    <t>STHBKK012101000121</t>
  </si>
  <si>
    <t>นาง รจนา ประเทศ</t>
  </si>
  <si>
    <t>STHBKK012101000122</t>
  </si>
  <si>
    <t>STHBKK012101000123</t>
  </si>
  <si>
    <t>นาง สมหวัง ภู่เมือง</t>
  </si>
  <si>
    <t>STHBKK012101000125</t>
  </si>
  <si>
    <t>STHBKK012101000126</t>
  </si>
  <si>
    <t>LY HEN</t>
  </si>
  <si>
    <t>STHBKK012101000127</t>
  </si>
  <si>
    <t>LYNA DOK</t>
  </si>
  <si>
    <t>STHBKK012101000128</t>
  </si>
  <si>
    <t>STHBKK012101000129</t>
  </si>
  <si>
    <t>STHBKK012101000130</t>
  </si>
  <si>
    <t>STHBKK012101000131</t>
  </si>
  <si>
    <t>STHBKK012101000132</t>
  </si>
  <si>
    <t>STHBKK012101000133</t>
  </si>
  <si>
    <t>STHBKK012101000134</t>
  </si>
  <si>
    <t>นาง บุญมี สุขสำราญ</t>
  </si>
  <si>
    <t>STHBKK012101000135</t>
  </si>
  <si>
    <t>นาง วรรณารัตน์ กฤษณะบาล</t>
  </si>
  <si>
    <t>STHBKK012101000136</t>
  </si>
  <si>
    <t>นาย ธนิต พยัคภาพ</t>
  </si>
  <si>
    <t>STHBKK012101000137</t>
  </si>
  <si>
    <t>STHBKK012101000138</t>
  </si>
  <si>
    <t>STHBKK012101000139</t>
  </si>
  <si>
    <t>STHBKK012101000140</t>
  </si>
  <si>
    <t>STHONLIN2101000005</t>
  </si>
  <si>
    <t>STHONLIN2101000006</t>
  </si>
  <si>
    <t>STHONLIN2101000009</t>
  </si>
  <si>
    <t>STHONLIN2101000011</t>
  </si>
  <si>
    <t>DAILY  SALE  26 Jan 2021</t>
  </si>
  <si>
    <t>STHBKK012101001902</t>
  </si>
  <si>
    <t>STHBKK012101001904</t>
  </si>
  <si>
    <t>นาย ภิญโญ ตั๊นวิเศษ</t>
  </si>
  <si>
    <t>STHBKK012101001905</t>
  </si>
  <si>
    <t>STHBKK012101001906</t>
  </si>
  <si>
    <t>STHBKK012101001907</t>
  </si>
  <si>
    <t>STHBKK012101001908</t>
  </si>
  <si>
    <t>นาย ฐานุ ซุ้นสุวรรณ</t>
  </si>
  <si>
    <t>STHBKK012101001909</t>
  </si>
  <si>
    <t>STHBKK012101001910</t>
  </si>
  <si>
    <t>STHBKK012101001911</t>
  </si>
  <si>
    <t>นาง อรพินท์ มีเครือรอด</t>
  </si>
  <si>
    <t>STHBKK012101001912</t>
  </si>
  <si>
    <t>STHBKK012101001913</t>
  </si>
  <si>
    <t>STHBKK012101001914</t>
  </si>
  <si>
    <t>STHBKK012101001915</t>
  </si>
  <si>
    <t>นาง นภาพร รุ่งเจริญ</t>
  </si>
  <si>
    <t>STHBKK012101001916</t>
  </si>
  <si>
    <t>นางสาว เรไร ขวัญบุญจันทร์</t>
  </si>
  <si>
    <t>STHBKK012101001917</t>
  </si>
  <si>
    <t>STHBKK012101001918</t>
  </si>
  <si>
    <t>STHBKK012101001919</t>
  </si>
  <si>
    <t>STHBKK012101001920</t>
  </si>
  <si>
    <t>STHBKK012101001921</t>
  </si>
  <si>
    <t>STHBKK012101001922</t>
  </si>
  <si>
    <t>STHBKK012101001923</t>
  </si>
  <si>
    <t>STHBKK012101001924</t>
  </si>
  <si>
    <t>STHBKK012101001925</t>
  </si>
  <si>
    <t>STHBKK012101001927</t>
  </si>
  <si>
    <t>STHBKK012101001928</t>
  </si>
  <si>
    <t>STHBKK012101001930</t>
  </si>
  <si>
    <t>STHBKK012101001931</t>
  </si>
  <si>
    <t>STHBKK012101001933</t>
  </si>
  <si>
    <t>STHBKK012101001934</t>
  </si>
  <si>
    <t>STHBKK012101001935</t>
  </si>
  <si>
    <t>STHBKK012101001937</t>
  </si>
  <si>
    <t>STHBKK012101001938</t>
  </si>
  <si>
    <t>STHBKK012101001940</t>
  </si>
  <si>
    <t>STHBKK012101001942</t>
  </si>
  <si>
    <t>STHBKK012101001943</t>
  </si>
  <si>
    <t>STHBKK012101001944</t>
  </si>
  <si>
    <t>STHBKK012101001945</t>
  </si>
  <si>
    <t>นาย นายรัฐพล ดวงจันทร์</t>
  </si>
  <si>
    <t>STHBKK012101001946</t>
  </si>
  <si>
    <t>STHBKK012101001947</t>
  </si>
  <si>
    <t>STHBKK012101001948</t>
  </si>
  <si>
    <t>นาย พุฒิเกียรติ รัตนพิริยสกุล</t>
  </si>
  <si>
    <t>STHBKK012101001949</t>
  </si>
  <si>
    <t>นางสาว ชุติกาญจน์ โตศิริ</t>
  </si>
  <si>
    <t>STHBKK012101001950</t>
  </si>
  <si>
    <t>นาย สุรศักดิ์ สิทธิชัย</t>
  </si>
  <si>
    <t>STHBKK012101001951</t>
  </si>
  <si>
    <t>STHBKK012101001952</t>
  </si>
  <si>
    <t>STHBKK012101001953</t>
  </si>
  <si>
    <t>STHBKK012101001954</t>
  </si>
  <si>
    <t>STHBKK012101001955</t>
  </si>
  <si>
    <t>STHBKK012101001956</t>
  </si>
  <si>
    <t>STHBKK012101001958</t>
  </si>
  <si>
    <t>STHBKK012101001959</t>
  </si>
  <si>
    <t>STHBKK012101001960</t>
  </si>
  <si>
    <t>STHBKK012101001962</t>
  </si>
  <si>
    <t>นาง สันทนา กันหาเวียง</t>
  </si>
  <si>
    <t>STHBKK012101001963</t>
  </si>
  <si>
    <t>STHBKK012101001965</t>
  </si>
  <si>
    <t>นางสาว ปาลิดา ช่องกระโทก</t>
  </si>
  <si>
    <t>STHBKK012101001966</t>
  </si>
  <si>
    <t>STHBKK012101001967</t>
  </si>
  <si>
    <t>นาย ยงยุทธ อรธรรมรัตน์</t>
  </si>
  <si>
    <t>STHBKK012101001968</t>
  </si>
  <si>
    <t>STHBKK012101001969</t>
  </si>
  <si>
    <t>นางสาว ภานภัส พันธ์จันทร์</t>
  </si>
  <si>
    <t>STHBKK012101001971</t>
  </si>
  <si>
    <t>STHBKK012101001972</t>
  </si>
  <si>
    <t>STHBKK012101001973</t>
  </si>
  <si>
    <t>นาง เจริญภรณ์ คุ้มเปรม</t>
  </si>
  <si>
    <t>STHBKK012101001974</t>
  </si>
  <si>
    <t>นาย วิเนตร พุ่มน้อย</t>
  </si>
  <si>
    <t>STHBKK012101001976</t>
  </si>
  <si>
    <t>STHBKK012101001977</t>
  </si>
  <si>
    <t>นาย ศุภโชค นุขันธ์</t>
  </si>
  <si>
    <t>STHBKK012101001978</t>
  </si>
  <si>
    <t>STHBKK012101001979</t>
  </si>
  <si>
    <t>STHBKK012101001980</t>
  </si>
  <si>
    <t>STHBKK012101001981</t>
  </si>
  <si>
    <t>นาย อาทิตย์ ศรีจันทร์</t>
  </si>
  <si>
    <t>STHBKK012101001982</t>
  </si>
  <si>
    <t>STHBKK012101001983</t>
  </si>
  <si>
    <t>STHBKK012101001984</t>
  </si>
  <si>
    <t>STHBKK012101001985</t>
  </si>
  <si>
    <t>STHBKK012101001986</t>
  </si>
  <si>
    <t>นางสาว อัชฌา เทียนสกุล</t>
  </si>
  <si>
    <t>STHBKK012101001987</t>
  </si>
  <si>
    <t>STHBKK012101001988</t>
  </si>
  <si>
    <t>STHBKK012101001989</t>
  </si>
  <si>
    <t>STHBKK012101001990</t>
  </si>
  <si>
    <t>นางสาว ภิรชา แป้นประหยัด</t>
  </si>
  <si>
    <t>STHBKK012101001991</t>
  </si>
  <si>
    <t>STHBKK012101001992</t>
  </si>
  <si>
    <t>STHBKK012101001993</t>
  </si>
  <si>
    <t>STHBKK012101001994</t>
  </si>
  <si>
    <t>STHBKK012101001996</t>
  </si>
  <si>
    <t>STHBKK012101001997</t>
  </si>
  <si>
    <t>STHBKK012101001998</t>
  </si>
  <si>
    <t>STHBKK012101001999</t>
  </si>
  <si>
    <t>STHBKK012101002000</t>
  </si>
  <si>
    <t>STHONLIN2101000415</t>
  </si>
  <si>
    <t>STHONLIN2101000420</t>
  </si>
  <si>
    <t>STHONLIN2101000421</t>
  </si>
  <si>
    <t>STHONLIN2101000423</t>
  </si>
  <si>
    <t>STHONLIN2101000426</t>
  </si>
  <si>
    <t>STHONLIN2101000431</t>
  </si>
  <si>
    <t>STHONLIN2101000433</t>
  </si>
  <si>
    <t>DAILY  SALE  27 Jan 2021</t>
  </si>
  <si>
    <t>STHBKK012101002001</t>
  </si>
  <si>
    <t>STHBKK012101002002</t>
  </si>
  <si>
    <t>STHBKK012101002003</t>
  </si>
  <si>
    <t>STHBKK012101002004</t>
  </si>
  <si>
    <t>STHBKK012101002005</t>
  </si>
  <si>
    <t>STHBKK012101002006</t>
  </si>
  <si>
    <t>STHBKK012101002007</t>
  </si>
  <si>
    <t>STHBKK012101002008</t>
  </si>
  <si>
    <t>นาง มาลี สีดามา</t>
  </si>
  <si>
    <t>STHBKK012101002009</t>
  </si>
  <si>
    <t>นางสาว อรอุมา แก่นมั่น</t>
  </si>
  <si>
    <t>STHBKK012101002010</t>
  </si>
  <si>
    <t>STHBKK012101002011</t>
  </si>
  <si>
    <t>STHBKK012101002012</t>
  </si>
  <si>
    <t>STHBKK012101002013</t>
  </si>
  <si>
    <t>นางสาว สุธาสินี ชุณฬหวานิช</t>
  </si>
  <si>
    <t>STHBKK012101002014</t>
  </si>
  <si>
    <t>STHBKK012101002015</t>
  </si>
  <si>
    <t>สมปอง ดิษปัญญา</t>
  </si>
  <si>
    <t>STHBKK012101002016</t>
  </si>
  <si>
    <t>STHBKK012101002017</t>
  </si>
  <si>
    <t>STHBKK012101002018</t>
  </si>
  <si>
    <t>นาย มงคล บุญจันทร์</t>
  </si>
  <si>
    <t>STHBKK012101002019</t>
  </si>
  <si>
    <t>STHBKK012101002020</t>
  </si>
  <si>
    <t>STHBKK012101002021</t>
  </si>
  <si>
    <t>STHBKK012101002022</t>
  </si>
  <si>
    <t>STHBKK012101002023</t>
  </si>
  <si>
    <t>STHBKK012101002024</t>
  </si>
  <si>
    <t>STHBKK012101002027</t>
  </si>
  <si>
    <t>STHBKK012101002028</t>
  </si>
  <si>
    <t>นาง อุไร&amp;#8203; หนูปัทยา</t>
  </si>
  <si>
    <t>STHBKK012101002030</t>
  </si>
  <si>
    <t>CHAO BCHANSEYHA</t>
  </si>
  <si>
    <t>STHBKK012101002031</t>
  </si>
  <si>
    <t>STHBKK012101002032</t>
  </si>
  <si>
    <t>STHBKK012101002033</t>
  </si>
  <si>
    <t>STHBKK012101002035</t>
  </si>
  <si>
    <t>STHBKK012101002036</t>
  </si>
  <si>
    <t>STHBKK012101002037</t>
  </si>
  <si>
    <t>STHBKK012101002038</t>
  </si>
  <si>
    <t>STHBKK012101002039</t>
  </si>
  <si>
    <t>STHBKK012101002040</t>
  </si>
  <si>
    <t>STHBKK012101002041</t>
  </si>
  <si>
    <t>นางสาว ดารัตน์ หมื่นชำนาญพจน์</t>
  </si>
  <si>
    <t>STHBKK012101002042</t>
  </si>
  <si>
    <t>นางสาว ธมลวรรณ อุทุม</t>
  </si>
  <si>
    <t>STHBKK012101002043</t>
  </si>
  <si>
    <t>STHBKK012101002044</t>
  </si>
  <si>
    <t>STHBKK012101002045</t>
  </si>
  <si>
    <t>STHBKK012101002046</t>
  </si>
  <si>
    <t>STHBKK012101002047</t>
  </si>
  <si>
    <t>STHBKK012101002048</t>
  </si>
  <si>
    <t>STHBKK012101002049</t>
  </si>
  <si>
    <t>STHBKK012101002050</t>
  </si>
  <si>
    <t>นางสาว ดลฤดี ปิยะศิริกุล</t>
  </si>
  <si>
    <t>STHBKK012101002051</t>
  </si>
  <si>
    <t>STHBKK012101002052</t>
  </si>
  <si>
    <t>นาง รัชนี ขันทอง</t>
  </si>
  <si>
    <t>STHBKK012101002053</t>
  </si>
  <si>
    <t>นาง เรณู เนินทอง</t>
  </si>
  <si>
    <t>STHBKK012101002055</t>
  </si>
  <si>
    <t>นางสาว อารมณ์ ใจซื่อ</t>
  </si>
  <si>
    <t>STHBKK012101002057</t>
  </si>
  <si>
    <t>STHBKK012101002058</t>
  </si>
  <si>
    <t>STHBKK012101002059</t>
  </si>
  <si>
    <t>STHBKK012101002060</t>
  </si>
  <si>
    <t>STHBKK012101002061</t>
  </si>
  <si>
    <t>STHBKK012101002062</t>
  </si>
  <si>
    <t>STHBKK012101002064</t>
  </si>
  <si>
    <t>STHBKK012101002065</t>
  </si>
  <si>
    <t>STHBKK012101002066</t>
  </si>
  <si>
    <t>STHBKK012101002067</t>
  </si>
  <si>
    <t>STHBKK012101002068</t>
  </si>
  <si>
    <t>นาย จงชนะ ชำนาญเขตรกรณ์</t>
  </si>
  <si>
    <t>STHBKK012101002069</t>
  </si>
  <si>
    <t>STHBKK012101002070</t>
  </si>
  <si>
    <t>STHBKK012101002071</t>
  </si>
  <si>
    <t>STHBKK012101002072</t>
  </si>
  <si>
    <t>นาย พิบูลย์ คล่องสั่งสอน</t>
  </si>
  <si>
    <t>STHBKK012101002073</t>
  </si>
  <si>
    <t>STHBKK012101002074</t>
  </si>
  <si>
    <t>STHBKK012101002075</t>
  </si>
  <si>
    <t>STHBKK012101002076</t>
  </si>
  <si>
    <t>STHBKK012101002077</t>
  </si>
  <si>
    <t>นาย ศุภณัฐ อินแสง</t>
  </si>
  <si>
    <t>STHBKK012101002078</t>
  </si>
  <si>
    <t>นาย วิจิตร เอกบุตร</t>
  </si>
  <si>
    <t>STHBKK012101002079</t>
  </si>
  <si>
    <t>STHBKK012101002081</t>
  </si>
  <si>
    <t>นาย วิสูตร ไกรศรี</t>
  </si>
  <si>
    <t>STHBKK012101002082</t>
  </si>
  <si>
    <t>STHBKK012101002083</t>
  </si>
  <si>
    <t>STHBKK012101002084</t>
  </si>
  <si>
    <t>STHBKK012101002085</t>
  </si>
  <si>
    <t>นาง ศิริวรรณ์ ภาคอินทรีย์</t>
  </si>
  <si>
    <t>STHBKK012101002086</t>
  </si>
  <si>
    <t>STHBKK012101002087</t>
  </si>
  <si>
    <t>นาง สมพิศ สุดวิลัย</t>
  </si>
  <si>
    <t>STHBKK012101002088</t>
  </si>
  <si>
    <t>STHBKK012101002089</t>
  </si>
  <si>
    <t>นางสาว ธันยาพร สีแก้ว</t>
  </si>
  <si>
    <t>STHBKK012101002090</t>
  </si>
  <si>
    <t>นาง ประทุม หวังแก้ว</t>
  </si>
  <si>
    <t>STHBKK012101002091</t>
  </si>
  <si>
    <t>STHONLIN2101000437</t>
  </si>
  <si>
    <t>STHONLIN2101000438</t>
  </si>
  <si>
    <t>STHONLIN2101000439</t>
  </si>
  <si>
    <t>STHONLIN2101000442</t>
  </si>
  <si>
    <t>STHONLIN2101000446</t>
  </si>
  <si>
    <t>STHONLIN2101000450</t>
  </si>
  <si>
    <t>DAILY  SALE  28 Jan 2021</t>
  </si>
  <si>
    <t>STHBKK012101002092</t>
  </si>
  <si>
    <t>MR SAO SOPHEA</t>
  </si>
  <si>
    <t>STHBKK012101002093</t>
  </si>
  <si>
    <t>MR CHUNG PHANET</t>
  </si>
  <si>
    <t>STHBKK012101002094</t>
  </si>
  <si>
    <t>MS CHHIVHUN TAN</t>
  </si>
  <si>
    <t>STHBKK012101002095</t>
  </si>
  <si>
    <t>นาย ดนัย คล้ายดรุณ</t>
  </si>
  <si>
    <t>STHBKK012101002096</t>
  </si>
  <si>
    <t>นาง ปัทมา กลิ่นเย็น</t>
  </si>
  <si>
    <t>STHBKK012101002097</t>
  </si>
  <si>
    <t>STHBKK012101002098</t>
  </si>
  <si>
    <t>STHBKK012101002099</t>
  </si>
  <si>
    <t>STHBKK012101002100</t>
  </si>
  <si>
    <t>STHBKK012101002101</t>
  </si>
  <si>
    <t>STHBKK012101002102</t>
  </si>
  <si>
    <t>STHBKK012101002103</t>
  </si>
  <si>
    <t>STHBKK012101002105</t>
  </si>
  <si>
    <t>STHBKK012101002106</t>
  </si>
  <si>
    <t>STHBKK012101002107</t>
  </si>
  <si>
    <t>นาย อาทิตย์ ยามี</t>
  </si>
  <si>
    <t>STHBKK012101002108</t>
  </si>
  <si>
    <t>STHBKK012101002109</t>
  </si>
  <si>
    <t>นาง จรรยา แตงโต</t>
  </si>
  <si>
    <t>STHBKK012101002110</t>
  </si>
  <si>
    <t>STHBKK012101002111</t>
  </si>
  <si>
    <t>STHBKK012101002112</t>
  </si>
  <si>
    <t>นางสาว พรเพ็ญ วะราหะ</t>
  </si>
  <si>
    <t>STHBKK012101002113</t>
  </si>
  <si>
    <t>STHBKK012101002114</t>
  </si>
  <si>
    <t>STHBKK012101002115</t>
  </si>
  <si>
    <t>STHBKK012101002116</t>
  </si>
  <si>
    <t>STHBKK012101002117</t>
  </si>
  <si>
    <t>STHBKK012101002118</t>
  </si>
  <si>
    <t>STHBKK012101002119</t>
  </si>
  <si>
    <t>STHBKK012101002122</t>
  </si>
  <si>
    <t>STHBKK012101002123</t>
  </si>
  <si>
    <t>STHBKK012101002124</t>
  </si>
  <si>
    <t>STHBKK012101002125</t>
  </si>
  <si>
    <t>STHBKK012101002126</t>
  </si>
  <si>
    <t>STHBKK012101002127</t>
  </si>
  <si>
    <t>STHBKK012101002128</t>
  </si>
  <si>
    <t>นาง พเยาว์ เซ็งมา</t>
  </si>
  <si>
    <t>STHBKK012101002129</t>
  </si>
  <si>
    <t>นาย อภิชาติ ศรีแก้ว</t>
  </si>
  <si>
    <t>STHBKK012101002130</t>
  </si>
  <si>
    <t>นาย กิตติศักดิ์ เอี่ยมสุวรรณ์</t>
  </si>
  <si>
    <t>STHBKK012101002131</t>
  </si>
  <si>
    <t>STHBKK012101002132</t>
  </si>
  <si>
    <t>STHBKK012101002133</t>
  </si>
  <si>
    <t>นาง กิ ประคองดี</t>
  </si>
  <si>
    <t>STHBKK012101002134</t>
  </si>
  <si>
    <t>STHBKK012101002136</t>
  </si>
  <si>
    <t>นางสาว อินทิรา ด้วงบ้านยาง</t>
  </si>
  <si>
    <t>STHBKK012101002137</t>
  </si>
  <si>
    <t>นางสาว นันทภัค ม่วงนวน</t>
  </si>
  <si>
    <t>STHBKK012101002138</t>
  </si>
  <si>
    <t>STHBKK012101002139</t>
  </si>
  <si>
    <t>นางสาว จิราภรณ์ ฤทธิ์บำรุง</t>
  </si>
  <si>
    <t>STHBKK012101002140</t>
  </si>
  <si>
    <t>STHBKK012101002142</t>
  </si>
  <si>
    <t>ธนาภัทรสรณ์ สุขเกิดผลเขษม</t>
  </si>
  <si>
    <t>STHBKK012101002143</t>
  </si>
  <si>
    <t>STHBKK012101002144</t>
  </si>
  <si>
    <t>STHBKK012101002145</t>
  </si>
  <si>
    <t>STHBKK012101002146</t>
  </si>
  <si>
    <t>STHBKK012101002147</t>
  </si>
  <si>
    <t>STHBKK012101002148</t>
  </si>
  <si>
    <t>STHBKK012101002149</t>
  </si>
  <si>
    <t>STHBKK012101002150</t>
  </si>
  <si>
    <t>STHBKK012101002151</t>
  </si>
  <si>
    <t>STHBKK012101002154</t>
  </si>
  <si>
    <t>STHBKK012101002155</t>
  </si>
  <si>
    <t>STHBKK012101002156</t>
  </si>
  <si>
    <t>STHBKK012101002158</t>
  </si>
  <si>
    <t>นาย หวั่น ติมสันเทียะ</t>
  </si>
  <si>
    <t>STHBKK012101002159</t>
  </si>
  <si>
    <t>STHBKK012101002160</t>
  </si>
  <si>
    <t>STHBKK012101002161</t>
  </si>
  <si>
    <t>STHBKK012101002162</t>
  </si>
  <si>
    <t>นาง สำเนียง ยศวิชัย</t>
  </si>
  <si>
    <t>STHBKK012101002164</t>
  </si>
  <si>
    <t>นางสาว วิลาวัณย์ กันหาเวียง</t>
  </si>
  <si>
    <t>STHBKK012101002165</t>
  </si>
  <si>
    <t>STHBKK012101002166</t>
  </si>
  <si>
    <t>STHBKK012101002167</t>
  </si>
  <si>
    <t>นาย ธัญญพงษ์ ตรีธัญญา</t>
  </si>
  <si>
    <t>STHBKK012101002168</t>
  </si>
  <si>
    <t>STHBKK012101002169</t>
  </si>
  <si>
    <t>นางสาว พวงเพ็ญ สุวรรณโณ</t>
  </si>
  <si>
    <t>STHBKK012101002170</t>
  </si>
  <si>
    <t>นาง สุภาพ นวลพลับ</t>
  </si>
  <si>
    <t>STHBKK012101002171</t>
  </si>
  <si>
    <t>STHBKK012101002172</t>
  </si>
  <si>
    <t>นางสาว นีนุช ดุลยสิทธิ์</t>
  </si>
  <si>
    <t>STHONLIN2101000465</t>
  </si>
  <si>
    <t>STHONLIN2101000466</t>
  </si>
  <si>
    <t>STHONLIN2101000468</t>
  </si>
  <si>
    <t>STHONLIN2101000469</t>
  </si>
  <si>
    <t>STHONLIN2101000470</t>
  </si>
  <si>
    <t>DAILY  SALE  29 Jan 2021</t>
  </si>
  <si>
    <t>6401BKK010000003</t>
  </si>
  <si>
    <t>STHBKK012101002173</t>
  </si>
  <si>
    <t>STHBKK012101002175</t>
  </si>
  <si>
    <t>STHBKK012101002176</t>
  </si>
  <si>
    <t>STHBKK012101002177</t>
  </si>
  <si>
    <t>นาย ธนพล - ศิริเพ็ญ ประจักษ์จิตร</t>
  </si>
  <si>
    <t>STHBKK012101002178</t>
  </si>
  <si>
    <t>นาย บรรจบ ทวีพุดซา</t>
  </si>
  <si>
    <t>STHBKK012101002179</t>
  </si>
  <si>
    <t>STHBKK012101002180</t>
  </si>
  <si>
    <t>STHBKK012101002181</t>
  </si>
  <si>
    <t>STHBKK012101002182</t>
  </si>
  <si>
    <t>STHBKK012101002183</t>
  </si>
  <si>
    <t>STHBKK012101002184</t>
  </si>
  <si>
    <t>STHBKK012101002185</t>
  </si>
  <si>
    <t>นาง เพลิน รายสันเทียะ</t>
  </si>
  <si>
    <t>STHBKK012101002186</t>
  </si>
  <si>
    <t>นาย จิรายุ อินยัง</t>
  </si>
  <si>
    <t>STHBKK012101002187</t>
  </si>
  <si>
    <t>นาง พัชรี ธรรมรักษ์กุล</t>
  </si>
  <si>
    <t>STHBKK012101002188</t>
  </si>
  <si>
    <t>STHBKK012101002189</t>
  </si>
  <si>
    <t>STHBKK012101002190</t>
  </si>
  <si>
    <t>นาย เจษฎา ทับทิม</t>
  </si>
  <si>
    <t>STHBKK012101002191</t>
  </si>
  <si>
    <t>นาง ธนกร เกษมสินธุ์</t>
  </si>
  <si>
    <t>STHBKK012101002192</t>
  </si>
  <si>
    <t>STHBKK012101002193</t>
  </si>
  <si>
    <t>STHBKK012101002194</t>
  </si>
  <si>
    <t>STHBKK012101002195</t>
  </si>
  <si>
    <t>STHBKK012101002196</t>
  </si>
  <si>
    <t>STHBKK012101002197</t>
  </si>
  <si>
    <t>STHBKK012101002198</t>
  </si>
  <si>
    <t>STHBKK012101002199</t>
  </si>
  <si>
    <t>STHBKK012101002200</t>
  </si>
  <si>
    <t>STHBKK012101002201</t>
  </si>
  <si>
    <t>STHBKK012101002202</t>
  </si>
  <si>
    <t>STHBKK012101002203</t>
  </si>
  <si>
    <t>นาง ธัญพร คหัฎฐา</t>
  </si>
  <si>
    <t>STHBKK012101002204</t>
  </si>
  <si>
    <t>นาย ไพฑูรย์ กะปุระ</t>
  </si>
  <si>
    <t>STHBKK012101002205</t>
  </si>
  <si>
    <t>STHBKK012101002206</t>
  </si>
  <si>
    <t>STHBKK012101002207</t>
  </si>
  <si>
    <t>STHBKK012101002208</t>
  </si>
  <si>
    <t>STHBKK012101002209</t>
  </si>
  <si>
    <t>STHBKK012101002210</t>
  </si>
  <si>
    <t>STHBKK012101002211</t>
  </si>
  <si>
    <t>STHBKK012101002212</t>
  </si>
  <si>
    <t>STHBKK012101002213</t>
  </si>
  <si>
    <t>STHBKK012101002214</t>
  </si>
  <si>
    <t>STHBKK012101002215</t>
  </si>
  <si>
    <t>นาย สายชล สุขเยาว์</t>
  </si>
  <si>
    <t>STHBKK012101002216</t>
  </si>
  <si>
    <t>นาย กิตติคม อยู่ภู่</t>
  </si>
  <si>
    <t>STHBKK012101002217</t>
  </si>
  <si>
    <t>นาง ลักขณา ลาฤทธิ์</t>
  </si>
  <si>
    <t>STHBKK012101002218</t>
  </si>
  <si>
    <t>STHBKK012101002220</t>
  </si>
  <si>
    <t>นาง พรหทัย หมั่นสระเกษ</t>
  </si>
  <si>
    <t>STHBKK012101002221</t>
  </si>
  <si>
    <t>นาย มานะ ศรีอุดม</t>
  </si>
  <si>
    <t>STHBKK012101002222</t>
  </si>
  <si>
    <t>นาย ปุณณภพ เชิดชูศิลป์</t>
  </si>
  <si>
    <t>STHBKK012101002223</t>
  </si>
  <si>
    <t>STHBKK012101002224</t>
  </si>
  <si>
    <t>STHBKK012101002225</t>
  </si>
  <si>
    <t>STHBKK012101002226</t>
  </si>
  <si>
    <t>STHBKK012101002227</t>
  </si>
  <si>
    <t>นางสาว สมใจ มะณี</t>
  </si>
  <si>
    <t>STHBKK012101002228</t>
  </si>
  <si>
    <t>STHBKK012101002229</t>
  </si>
  <si>
    <t>นางสาว เสาวลักษณ์ ฝอยทอง</t>
  </si>
  <si>
    <t>STHBKK012101002231</t>
  </si>
  <si>
    <t>STHBKK012101002232</t>
  </si>
  <si>
    <t>STHBKK012101002235</t>
  </si>
  <si>
    <t>STHBKK012101002237</t>
  </si>
  <si>
    <t>STHBKK012101002239</t>
  </si>
  <si>
    <t>STHBKK012101002241</t>
  </si>
  <si>
    <t>นาย ปริญญา เมนกุล</t>
  </si>
  <si>
    <t>STHBKK012101002242</t>
  </si>
  <si>
    <t>STHBKK012101002244</t>
  </si>
  <si>
    <t>STHBKK012101002245</t>
  </si>
  <si>
    <t>STHBKK012101002246</t>
  </si>
  <si>
    <t>นาย กฤษดา บรรเทิงจิตต์</t>
  </si>
  <si>
    <t>STHBKK012101002247</t>
  </si>
  <si>
    <t>นาง สาริศา จิตรเจริญ</t>
  </si>
  <si>
    <t>STHBKK012101002249</t>
  </si>
  <si>
    <t>นาง รัชชดา รุจิปัญญาพร</t>
  </si>
  <si>
    <t>STHBKK012101002251</t>
  </si>
  <si>
    <t>นาย วินัย ธงชัย</t>
  </si>
  <si>
    <t>STHBKK012101002252</t>
  </si>
  <si>
    <t>STHBKK012101002253</t>
  </si>
  <si>
    <t>STHBKK012101002254</t>
  </si>
  <si>
    <t>ณรงค์ชัย-วันเพ็ญ บุญจันทร์</t>
  </si>
  <si>
    <t>STHBKK012101002256</t>
  </si>
  <si>
    <t>อรุณรุ่ง บุญบุษกร</t>
  </si>
  <si>
    <t>STHBKK012101002257</t>
  </si>
  <si>
    <t>STHBKK012101002258</t>
  </si>
  <si>
    <t>นางสาว ชมภูนุช แจ้งภูเขียว</t>
  </si>
  <si>
    <t>STHBKK012101002259</t>
  </si>
  <si>
    <t>นางสาว ธนัญญา หวังเทวีวรกุล</t>
  </si>
  <si>
    <t>STHONLIN2101000473</t>
  </si>
  <si>
    <t>STHONLIN2101000477</t>
  </si>
  <si>
    <t>STHONLIN2101000478</t>
  </si>
  <si>
    <t>STHONLIN2101000480</t>
  </si>
  <si>
    <t>STHONLIN2101000482</t>
  </si>
  <si>
    <t>DAILY  SALE  30 Jan 2021</t>
  </si>
  <si>
    <t>STHBKK012101002260</t>
  </si>
  <si>
    <t>STHBKK012101002261</t>
  </si>
  <si>
    <t>STHBKK012101002262</t>
  </si>
  <si>
    <t>STHBKK012101002263</t>
  </si>
  <si>
    <t>นางสาว Sun Chinglinh</t>
  </si>
  <si>
    <t>STHBKK012101002264</t>
  </si>
  <si>
    <t>STHBKK012101002265</t>
  </si>
  <si>
    <t>STHBKK012101002266</t>
  </si>
  <si>
    <t>STHBKK012101002267</t>
  </si>
  <si>
    <t>STHBKK012101002268</t>
  </si>
  <si>
    <t>นาง ผ่องสี จำปาเงิน</t>
  </si>
  <si>
    <t>STHBKK012101002269</t>
  </si>
  <si>
    <t>STHBKK012101002270</t>
  </si>
  <si>
    <t>STHBKK012101002271</t>
  </si>
  <si>
    <t>นาย ศรันย์ หิรัญยบัตร</t>
  </si>
  <si>
    <t>STHBKK012101002272</t>
  </si>
  <si>
    <t>STHBKK012101002273</t>
  </si>
  <si>
    <t>STHBKK012101002274</t>
  </si>
  <si>
    <t>นาย เอกบัญชา ถาวร</t>
  </si>
  <si>
    <t>STHBKK012101002275</t>
  </si>
  <si>
    <t>STHBKK012101002276</t>
  </si>
  <si>
    <t>STHBKK012101002277</t>
  </si>
  <si>
    <t>STHBKK012101002278</t>
  </si>
  <si>
    <t>STHBKK012101002279</t>
  </si>
  <si>
    <t>นาง สำเนียง ทองสุข</t>
  </si>
  <si>
    <t>STHBKK012101002280</t>
  </si>
  <si>
    <t>STHBKK012101002281</t>
  </si>
  <si>
    <t>นาย ไชยพงศ์ รุ่งอำพินธ์</t>
  </si>
  <si>
    <t>STHBKK012101002282</t>
  </si>
  <si>
    <t>นาย มนตรี มั่นระวัง</t>
  </si>
  <si>
    <t>STHBKK012101002283</t>
  </si>
  <si>
    <t>STHBKK012101002284</t>
  </si>
  <si>
    <t>STHBKK012101002285</t>
  </si>
  <si>
    <t>STHBKK012101002286</t>
  </si>
  <si>
    <t>STHBKK012101002287</t>
  </si>
  <si>
    <t>STHBKK012101002288</t>
  </si>
  <si>
    <t>STHBKK012101002289</t>
  </si>
  <si>
    <t>นาง ศรีจันทร์ นุชดา</t>
  </si>
  <si>
    <t>STHBKK012101002293</t>
  </si>
  <si>
    <t>STHBKK012101002294</t>
  </si>
  <si>
    <t>STHBKK012101002296</t>
  </si>
  <si>
    <t>พัชนีย์ ไชยธรรมมา</t>
  </si>
  <si>
    <t>STHBKK012101002297</t>
  </si>
  <si>
    <t>STHBKK012101002298</t>
  </si>
  <si>
    <t>STHBKK012101002299</t>
  </si>
  <si>
    <t>STHBKK012101002300</t>
  </si>
  <si>
    <t>STHBKK012101002301</t>
  </si>
  <si>
    <t>นางสาว กนกวรรณ โต๊ะดี</t>
  </si>
  <si>
    <t>STHBKK012101002302</t>
  </si>
  <si>
    <t>STHBKK012101002303</t>
  </si>
  <si>
    <t>STHBKK012101002306</t>
  </si>
  <si>
    <t>STHBKK012101002307</t>
  </si>
  <si>
    <t>นางสาว ประกายดาว เรืองศรี</t>
  </si>
  <si>
    <t>STHBKK012101002308</t>
  </si>
  <si>
    <t>STHBKK012101002310</t>
  </si>
  <si>
    <t>STHBKK012101002311</t>
  </si>
  <si>
    <t>STHBKK012101002312</t>
  </si>
  <si>
    <t>STHBKK012101002313</t>
  </si>
  <si>
    <t>STHBKK012101002314</t>
  </si>
  <si>
    <t>STHBKK012101002315</t>
  </si>
  <si>
    <t>นางสาว ธิดารัตน์ กระธงกลาง</t>
  </si>
  <si>
    <t>STHBKK012101002317</t>
  </si>
  <si>
    <t>STHBKK012101002318</t>
  </si>
  <si>
    <t>นางสาว อารีย์ ฉิมสวัสดิ์พันธุ์</t>
  </si>
  <si>
    <t>STHBKK012101002319</t>
  </si>
  <si>
    <t>STHBKK012101002320</t>
  </si>
  <si>
    <t>STHBKK012101002321</t>
  </si>
  <si>
    <t>STHBKK012101002322</t>
  </si>
  <si>
    <t>STHBKK012101002324</t>
  </si>
  <si>
    <t>นางสาว สายรุ้ง พรหมมา</t>
  </si>
  <si>
    <t>STHBKK012101002325</t>
  </si>
  <si>
    <t>STHONLIN2101000493</t>
  </si>
  <si>
    <t>นางสาว นรินญา ชื่นสร้อย</t>
  </si>
  <si>
    <t>STHONLIN2101000497</t>
  </si>
  <si>
    <t>นาย เก่งภพ ศุภาภพปภาส</t>
  </si>
  <si>
    <t>STHONLIN2101000500</t>
  </si>
  <si>
    <t>นางสาว ธัญญาภรณ์ นึกแจ้ง</t>
  </si>
  <si>
    <t>STHONLIN2101000501</t>
  </si>
  <si>
    <t>STHONLIN2101000502</t>
  </si>
  <si>
    <t>STHONLIN2101000504</t>
  </si>
  <si>
    <t>STHONLIN2101000505</t>
  </si>
  <si>
    <t>STHONLIN2101000507</t>
  </si>
  <si>
    <t>STHONLIN2101000508</t>
  </si>
  <si>
    <t>STHONLIN2101000512</t>
  </si>
  <si>
    <t>DAILY  SALE  31 Jan 2021</t>
  </si>
  <si>
    <t>STHBKK012101002326</t>
  </si>
  <si>
    <t>นางสาว ฤดี เลาะหะวนิช</t>
  </si>
  <si>
    <t>STHBKK012101002328</t>
  </si>
  <si>
    <t>STHBKK012101002329</t>
  </si>
  <si>
    <t>STHBKK012101002330</t>
  </si>
  <si>
    <t>STHBKK012101002332</t>
  </si>
  <si>
    <t>STHBKK012101002333</t>
  </si>
  <si>
    <t>STHBKK012101002334</t>
  </si>
  <si>
    <t>นาง ชลนิกาญจน์ สุวรรณประเสิรฐ</t>
  </si>
  <si>
    <t>STHBKK012101002335</t>
  </si>
  <si>
    <t>นาย จักรพงศ์ ขันอินทร์</t>
  </si>
  <si>
    <t>STHBKK012101002336</t>
  </si>
  <si>
    <t>นาง กาญจนา ภูครองหิน</t>
  </si>
  <si>
    <t>STHBKK012101002337</t>
  </si>
  <si>
    <t>STHBKK012101002338</t>
  </si>
  <si>
    <t>STHBKK012101002339</t>
  </si>
  <si>
    <t>STHBKK012101002340</t>
  </si>
  <si>
    <t>STHBKK012101002341</t>
  </si>
  <si>
    <t>STHBKK012101002342</t>
  </si>
  <si>
    <t>STHBKK012101002343</t>
  </si>
  <si>
    <t>นางสาว สุพิชชา เจริญศรี</t>
  </si>
  <si>
    <t>STHBKK012101002344</t>
  </si>
  <si>
    <t>STHBKK012101002345</t>
  </si>
  <si>
    <t>STHBKK012101002346</t>
  </si>
  <si>
    <t>STHBKK012101002347</t>
  </si>
  <si>
    <t>STHBKK012101002348</t>
  </si>
  <si>
    <t>STHBKK012101002349</t>
  </si>
  <si>
    <t>STHBKK012101002350</t>
  </si>
  <si>
    <t>นาย ไหม บองเพ็ชร</t>
  </si>
  <si>
    <t>STHBKK012101002351</t>
  </si>
  <si>
    <t>นางสาว ปาณิศา บองเพ็ชร</t>
  </si>
  <si>
    <t>STHBKK012101002352</t>
  </si>
  <si>
    <t>STHBKK012101002354</t>
  </si>
  <si>
    <t>STHBKK012101002355</t>
  </si>
  <si>
    <t>STHBKK012101002358</t>
  </si>
  <si>
    <t>นาย ธิเบศร์ แสงระวี</t>
  </si>
  <si>
    <t>STHBKK012101002360</t>
  </si>
  <si>
    <t>STHBKK012101002361</t>
  </si>
  <si>
    <t>STHBKK012101002362</t>
  </si>
  <si>
    <t>STHBKK012101002363</t>
  </si>
  <si>
    <t>STHBKK012101002365</t>
  </si>
  <si>
    <t>STHBKK012101002366</t>
  </si>
  <si>
    <t>STHBKK012101002367</t>
  </si>
  <si>
    <t>STHBKK012101002368</t>
  </si>
  <si>
    <t>นาง สินีนาถ เกษแก้ว</t>
  </si>
  <si>
    <t>STHBKK012101002369</t>
  </si>
  <si>
    <t>STHBKK012101002370</t>
  </si>
  <si>
    <t>นางสาว พลอยชล อติพรวณิชย์</t>
  </si>
  <si>
    <t>STHBKK012101002371</t>
  </si>
  <si>
    <t>STHBKK012101002373</t>
  </si>
  <si>
    <t>STHBKK012101002374</t>
  </si>
  <si>
    <t>STHBKK012101002375</t>
  </si>
  <si>
    <t>STHBKK012101002376</t>
  </si>
  <si>
    <t>นาง ธัญภรณ์ บิณฑวิหค</t>
  </si>
  <si>
    <t>STHBKK012101002377</t>
  </si>
  <si>
    <t>นาย จารุวัฒน์ คล้ายเคลื่อน</t>
  </si>
  <si>
    <t>STHBKK012101002378</t>
  </si>
  <si>
    <t>นาย เรวัฒน์ จุ้ยสมบูรณ์</t>
  </si>
  <si>
    <t>STHBKK012101002379</t>
  </si>
  <si>
    <t>นางสาว ธนกร บณชัยเจริญ</t>
  </si>
  <si>
    <t>STHBKK012101002380</t>
  </si>
  <si>
    <t>STHBKK012101002381</t>
  </si>
  <si>
    <t>STHBKK012101002385</t>
  </si>
  <si>
    <t>STHBKK012101002387</t>
  </si>
  <si>
    <t>STHBKK012101002388</t>
  </si>
  <si>
    <t>STHBKK012101002391</t>
  </si>
  <si>
    <t>STHBKK012101002392</t>
  </si>
  <si>
    <t>STHBKK012101002396</t>
  </si>
  <si>
    <t>นางสาว ชนัญธิดา ทองวัง</t>
  </si>
  <si>
    <t>STHBKK012101002397</t>
  </si>
  <si>
    <t>นาง ดาลียา อมะรึก</t>
  </si>
  <si>
    <t>STHBKK012101002398</t>
  </si>
  <si>
    <t>นาย เจษฎา นากกระแสร์</t>
  </si>
  <si>
    <t>STHBKK012101002399</t>
  </si>
  <si>
    <t>STHBKK012101002401</t>
  </si>
  <si>
    <t>STHBKK012101002404</t>
  </si>
  <si>
    <t>นาย สุริยัน พิมพ์ประเสริฐ</t>
  </si>
  <si>
    <t>STHBKK012101002405</t>
  </si>
  <si>
    <t>นางสาว ลำพรรณี มุลราช</t>
  </si>
  <si>
    <t>STHBKK012101002407</t>
  </si>
  <si>
    <t>PHIROM SAN</t>
  </si>
  <si>
    <t>STHBKK012101002413</t>
  </si>
  <si>
    <t>นาง ธนิดา เอื้อเฟื้อ</t>
  </si>
  <si>
    <t>STHBKK012101002414</t>
  </si>
  <si>
    <t>STHBKK012101002416</t>
  </si>
  <si>
    <t>STHBKK012101002422</t>
  </si>
  <si>
    <t>นาง ปราณอม เพ็งยิ้ม</t>
  </si>
  <si>
    <t>STHBKK012101002423</t>
  </si>
  <si>
    <t>นาย ราตรี สามารถ</t>
  </si>
  <si>
    <t>STHBKK012101002424</t>
  </si>
  <si>
    <t>STHBKK012101002425</t>
  </si>
  <si>
    <t>STHBKK012101002428</t>
  </si>
  <si>
    <t>นาง สิริรัตน์-อำนวย อินทร์ศักดิ์</t>
  </si>
  <si>
    <t>STHBKK012101002430</t>
  </si>
  <si>
    <t>STHBKK012101002431</t>
  </si>
  <si>
    <t>STHBKK012101002432</t>
  </si>
  <si>
    <t>STHBKK012101002433</t>
  </si>
  <si>
    <t>STHBKK012101002434</t>
  </si>
  <si>
    <t>STHBKK012101002436</t>
  </si>
  <si>
    <t>STHBKK012101002437</t>
  </si>
  <si>
    <t>STHBKK012101002439</t>
  </si>
  <si>
    <t>STHBKK012101002440</t>
  </si>
  <si>
    <t>STHBKK012101002441</t>
  </si>
  <si>
    <t>STHBKK012101002442</t>
  </si>
  <si>
    <t>STHBKK012101002443</t>
  </si>
  <si>
    <t>STHBKK012101002444</t>
  </si>
  <si>
    <t>STHBKK012101002445</t>
  </si>
  <si>
    <t>STHONLIN2101000516</t>
  </si>
  <si>
    <t>STHONLIN2101000523</t>
  </si>
  <si>
    <t>STHONLIN2101000525</t>
  </si>
  <si>
    <t>STHONLIN2101000527</t>
  </si>
  <si>
    <t>STHONLIN2101000531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</si>
</sst>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#_);\(#,###\)"/>
  </numFmts>
  <fonts count="28">
    <font>
      <sz val="10.0"/>
      <color rgb="FF000000"/>
      <name val="Arial"/>
      <scheme val="minor"/>
    </font>
    <font>
      <b/>
      <sz val="21.0"/>
      <color rgb="FF000000"/>
      <name val="Calibri"/>
    </font>
    <font>
      <b/>
      <sz val="14.0"/>
      <color theme="1"/>
      <name val="Calibri"/>
    </font>
    <font>
      <b/>
      <sz val="14.0"/>
      <color rgb="FF000000"/>
      <name val="Calibri"/>
    </font>
    <font/>
    <font>
      <sz val="14.0"/>
      <color rgb="FF000000"/>
      <name val="Calibri"/>
    </font>
    <font>
      <color theme="1"/>
      <name val="Arial"/>
    </font>
    <font>
      <sz val="12.0"/>
      <color rgb="FF000000"/>
      <name val="Arial"/>
    </font>
    <font>
      <sz val="13.0"/>
      <color rgb="FF000000"/>
      <name val="Calibri"/>
    </font>
    <font>
      <sz val="14.0"/>
      <color rgb="FFFF0000"/>
      <name val="Calibri"/>
    </font>
    <font>
      <b/>
      <sz val="14.0"/>
      <color rgb="FFFF0066"/>
      <name val="Calibri"/>
    </font>
    <font>
      <sz val="13.0"/>
      <color rgb="FFFF0000"/>
      <name val="Arial"/>
    </font>
    <font>
      <sz val="13.0"/>
      <color rgb="FFFF9900"/>
      <name val="Arial"/>
    </font>
    <font>
      <sz val="13.0"/>
      <color rgb="FF6AA84F"/>
      <name val="Arial"/>
    </font>
    <font>
      <sz val="13.0"/>
      <color rgb="FF000000"/>
      <name val="Arial"/>
    </font>
    <font>
      <sz val="13.0"/>
      <color rgb="FF0000FF"/>
      <name val="Arial"/>
    </font>
    <font>
      <sz val="13.0"/>
      <color rgb="FFCC0000"/>
      <name val="Arial"/>
    </font>
    <font>
      <sz val="13.0"/>
      <color rgb="FFEA9999"/>
      <name val="Arial"/>
    </font>
    <font>
      <color theme="1"/>
      <name val="Arial"/>
      <scheme val="minor"/>
    </font>
    <font>
      <sz val="13.0"/>
      <color rgb="FF000000"/>
      <name val="Tahoma"/>
    </font>
    <font>
      <sz val="13.0"/>
      <color theme="1"/>
      <name val="Arial"/>
    </font>
    <font>
      <sz val="14.0"/>
      <color rgb="FF000000"/>
      <name val="Tahoma"/>
    </font>
    <font>
      <sz val="12.0"/>
      <color rgb="FFFF0000"/>
      <name val="Arial"/>
    </font>
    <font>
      <sz val="12.0"/>
      <color rgb="FFFF9900"/>
      <name val="Arial"/>
    </font>
    <font>
      <sz val="12.0"/>
      <color rgb="FF6AA84F"/>
      <name val="Arial"/>
    </font>
    <font>
      <sz val="12.0"/>
      <color rgb="FF0000FF"/>
      <name val="Arial"/>
    </font>
    <font>
      <sz val="12.0"/>
      <color rgb="FFCC0000"/>
      <name val="Arial"/>
    </font>
    <font>
      <sz val="12.0"/>
      <color rgb="FFEA9999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1" fillId="3" fontId="2" numFmtId="0" xfId="0" applyAlignment="1" applyBorder="1" applyFill="1" applyFont="1">
      <alignment horizontal="center" vertical="bottom"/>
    </xf>
    <xf borderId="1" fillId="3" fontId="3" numFmtId="0" xfId="0" applyAlignment="1" applyBorder="1" applyFont="1">
      <alignment vertical="bottom"/>
    </xf>
    <xf borderId="1" fillId="3" fontId="3" numFmtId="0" xfId="0" applyAlignment="1" applyBorder="1" applyFont="1">
      <alignment horizontal="center" vertical="bottom"/>
    </xf>
    <xf borderId="2" fillId="3" fontId="2" numFmtId="0" xfId="0" applyAlignment="1" applyBorder="1" applyFont="1">
      <alignment horizontal="center" vertical="bottom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7" fillId="3" fontId="3" numFmtId="0" xfId="0" applyAlignment="1" applyBorder="1" applyFont="1">
      <alignment horizontal="center" vertical="bottom"/>
    </xf>
    <xf borderId="7" fillId="3" fontId="2" numFmtId="0" xfId="0" applyAlignment="1" applyBorder="1" applyFont="1">
      <alignment horizontal="center" vertical="bottom"/>
    </xf>
    <xf borderId="7" fillId="0" fontId="5" numFmtId="0" xfId="0" applyAlignment="1" applyBorder="1" applyFont="1">
      <alignment horizontal="center" vertical="bottom"/>
    </xf>
    <xf borderId="7" fillId="0" fontId="5" numFmtId="0" xfId="0" applyAlignment="1" applyBorder="1" applyFont="1">
      <alignment horizontal="left" readingOrder="0" shrinkToFit="0" vertical="bottom" wrapText="0"/>
    </xf>
    <xf borderId="7" fillId="0" fontId="6" numFmtId="38" xfId="0" applyAlignment="1" applyBorder="1" applyFont="1" applyNumberFormat="1">
      <alignment vertical="bottom"/>
    </xf>
    <xf borderId="7" fillId="0" fontId="7" numFmtId="38" xfId="0" applyAlignment="1" applyBorder="1" applyFont="1" applyNumberFormat="1">
      <alignment horizontal="center" vertical="bottom"/>
    </xf>
    <xf borderId="7" fillId="0" fontId="6" numFmtId="38" xfId="0" applyAlignment="1" applyBorder="1" applyFont="1" applyNumberFormat="1">
      <alignment readingOrder="0" vertical="bottom"/>
    </xf>
    <xf borderId="7" fillId="0" fontId="8" numFmtId="38" xfId="0" applyAlignment="1" applyBorder="1" applyFont="1" applyNumberFormat="1">
      <alignment horizontal="right" readingOrder="0" shrinkToFit="0" vertical="bottom" wrapText="0"/>
    </xf>
    <xf borderId="7" fillId="4" fontId="9" numFmtId="38" xfId="0" applyAlignment="1" applyBorder="1" applyFill="1" applyFont="1" applyNumberFormat="1">
      <alignment horizontal="center" vertical="bottom"/>
    </xf>
    <xf borderId="7" fillId="0" fontId="7" numFmtId="38" xfId="0" applyAlignment="1" applyBorder="1" applyFont="1" applyNumberFormat="1">
      <alignment horizontal="center" readingOrder="0" vertical="bottom"/>
    </xf>
    <xf borderId="7" fillId="0" fontId="6" numFmtId="0" xfId="0" applyAlignment="1" applyBorder="1" applyFont="1">
      <alignment vertical="bottom"/>
    </xf>
    <xf borderId="7" fillId="0" fontId="5" numFmtId="0" xfId="0" applyAlignment="1" applyBorder="1" applyFont="1">
      <alignment vertical="bottom"/>
    </xf>
    <xf borderId="7" fillId="0" fontId="10" numFmtId="164" xfId="0" applyAlignment="1" applyBorder="1" applyFont="1" applyNumberFormat="1">
      <alignment horizontal="center" vertical="bottom"/>
    </xf>
    <xf borderId="0" fillId="0" fontId="6" numFmtId="0" xfId="0" applyAlignment="1" applyFont="1">
      <alignment vertical="bottom"/>
    </xf>
    <xf borderId="2" fillId="0" fontId="3" numFmtId="164" xfId="0" applyAlignment="1" applyBorder="1" applyFont="1" applyNumberFormat="1">
      <alignment horizontal="center" readingOrder="0" vertical="bottom"/>
    </xf>
    <xf borderId="0" fillId="0" fontId="6" numFmtId="4" xfId="0" applyAlignment="1" applyFont="1" applyNumberFormat="1">
      <alignment vertical="bottom"/>
    </xf>
    <xf borderId="7" fillId="0" fontId="8" numFmtId="0" xfId="0" applyAlignment="1" applyBorder="1" applyFont="1">
      <alignment horizontal="left" readingOrder="0" shrinkToFit="0" vertical="bottom" wrapText="0"/>
    </xf>
    <xf borderId="7" fillId="0" fontId="11" numFmtId="38" xfId="0" applyAlignment="1" applyBorder="1" applyFont="1" applyNumberFormat="1">
      <alignment vertical="bottom"/>
    </xf>
    <xf borderId="7" fillId="0" fontId="12" numFmtId="38" xfId="0" applyAlignment="1" applyBorder="1" applyFont="1" applyNumberFormat="1">
      <alignment vertical="bottom"/>
    </xf>
    <xf borderId="7" fillId="0" fontId="13" numFmtId="38" xfId="0" applyAlignment="1" applyBorder="1" applyFont="1" applyNumberFormat="1">
      <alignment vertical="bottom"/>
    </xf>
    <xf borderId="7" fillId="0" fontId="14" numFmtId="38" xfId="0" applyAlignment="1" applyBorder="1" applyFont="1" applyNumberFormat="1">
      <alignment horizontal="center" readingOrder="0" vertical="bottom"/>
    </xf>
    <xf borderId="7" fillId="0" fontId="15" numFmtId="38" xfId="0" applyAlignment="1" applyBorder="1" applyFont="1" applyNumberFormat="1">
      <alignment readingOrder="0" vertical="bottom"/>
    </xf>
    <xf borderId="7" fillId="0" fontId="16" numFmtId="38" xfId="0" applyAlignment="1" applyBorder="1" applyFont="1" applyNumberFormat="1">
      <alignment vertical="bottom"/>
    </xf>
    <xf borderId="7" fillId="0" fontId="17" numFmtId="38" xfId="0" applyAlignment="1" applyBorder="1" applyFont="1" applyNumberFormat="1">
      <alignment vertical="bottom"/>
    </xf>
    <xf borderId="7" fillId="0" fontId="14" numFmtId="38" xfId="0" applyAlignment="1" applyBorder="1" applyFont="1" applyNumberFormat="1">
      <alignment horizontal="center" vertical="bottom"/>
    </xf>
    <xf borderId="7" fillId="0" fontId="16" numFmtId="38" xfId="0" applyAlignment="1" applyBorder="1" applyFont="1" applyNumberFormat="1">
      <alignment readingOrder="0" vertical="bottom"/>
    </xf>
    <xf borderId="7" fillId="0" fontId="15" numFmtId="38" xfId="0" applyAlignment="1" applyBorder="1" applyFont="1" applyNumberFormat="1">
      <alignment vertical="bottom"/>
    </xf>
    <xf borderId="7" fillId="0" fontId="12" numFmtId="38" xfId="0" applyAlignment="1" applyBorder="1" applyFont="1" applyNumberFormat="1">
      <alignment readingOrder="0" vertical="bottom"/>
    </xf>
    <xf borderId="7" fillId="0" fontId="11" numFmtId="38" xfId="0" applyAlignment="1" applyBorder="1" applyFont="1" applyNumberFormat="1">
      <alignment readingOrder="0" vertical="bottom"/>
    </xf>
    <xf borderId="7" fillId="0" fontId="13" numFmtId="38" xfId="0" applyAlignment="1" applyBorder="1" applyFont="1" applyNumberFormat="1">
      <alignment readingOrder="0" vertical="bottom"/>
    </xf>
    <xf borderId="0" fillId="0" fontId="18" numFmtId="0" xfId="0" applyAlignment="1" applyFont="1">
      <alignment readingOrder="0"/>
    </xf>
    <xf borderId="7" fillId="0" fontId="8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left" readingOrder="0" shrinkToFit="0" vertical="bottom" wrapText="0"/>
    </xf>
    <xf borderId="7" fillId="0" fontId="19" numFmtId="38" xfId="0" applyAlignment="1" applyBorder="1" applyFont="1" applyNumberFormat="1">
      <alignment horizontal="right" readingOrder="0" shrinkToFit="0" vertical="bottom" wrapText="0"/>
    </xf>
    <xf borderId="7" fillId="0" fontId="20" numFmtId="0" xfId="0" applyAlignment="1" applyBorder="1" applyFont="1">
      <alignment vertical="bottom"/>
    </xf>
    <xf borderId="7" fillId="0" fontId="8" numFmtId="0" xfId="0" applyAlignment="1" applyBorder="1" applyFont="1">
      <alignment vertical="bottom"/>
    </xf>
    <xf borderId="7" fillId="0" fontId="5" numFmtId="0" xfId="0" applyAlignment="1" applyBorder="1" applyFont="1">
      <alignment horizontal="left" readingOrder="0" shrinkToFit="0" vertical="bottom" wrapText="0"/>
    </xf>
    <xf borderId="7" fillId="0" fontId="5" numFmtId="38" xfId="0" applyAlignment="1" applyBorder="1" applyFont="1" applyNumberFormat="1">
      <alignment horizontal="right" readingOrder="0" shrinkToFit="0" vertical="bottom" wrapText="0"/>
    </xf>
    <xf borderId="7" fillId="0" fontId="12" numFmtId="38" xfId="0" applyAlignment="1" applyBorder="1" applyFont="1" applyNumberFormat="1">
      <alignment horizontal="right" vertical="bottom"/>
    </xf>
    <xf borderId="6" fillId="0" fontId="12" numFmtId="38" xfId="0" applyAlignment="1" applyBorder="1" applyFont="1" applyNumberFormat="1">
      <alignment horizontal="right" vertical="bottom"/>
    </xf>
    <xf borderId="7" fillId="0" fontId="17" numFmtId="38" xfId="0" applyAlignment="1" applyBorder="1" applyFont="1" applyNumberFormat="1">
      <alignment readingOrder="0" vertical="bottom"/>
    </xf>
    <xf borderId="7" fillId="4" fontId="9" numFmtId="38" xfId="0" applyAlignment="1" applyBorder="1" applyFont="1" applyNumberFormat="1">
      <alignment horizontal="center" readingOrder="0" vertical="bottom"/>
    </xf>
    <xf borderId="7" fillId="0" fontId="21" numFmtId="38" xfId="0" applyAlignment="1" applyBorder="1" applyFont="1" applyNumberFormat="1">
      <alignment horizontal="right" readingOrder="0" shrinkToFit="0" vertical="bottom" wrapText="0"/>
    </xf>
    <xf borderId="7" fillId="0" fontId="8" numFmtId="0" xfId="0" applyAlignment="1" applyBorder="1" applyFont="1">
      <alignment readingOrder="0" shrinkToFit="0" vertical="bottom" wrapText="0"/>
    </xf>
    <xf borderId="7" fillId="0" fontId="8" numFmtId="0" xfId="0" applyAlignment="1" applyBorder="1" applyFont="1">
      <alignment horizontal="center" readingOrder="0" vertical="bottom"/>
    </xf>
    <xf borderId="7" fillId="0" fontId="22" numFmtId="38" xfId="0" applyAlignment="1" applyBorder="1" applyFont="1" applyNumberFormat="1">
      <alignment vertical="bottom"/>
    </xf>
    <xf borderId="7" fillId="0" fontId="23" numFmtId="38" xfId="0" applyAlignment="1" applyBorder="1" applyFont="1" applyNumberFormat="1">
      <alignment vertical="bottom"/>
    </xf>
    <xf borderId="7" fillId="0" fontId="24" numFmtId="38" xfId="0" applyAlignment="1" applyBorder="1" applyFont="1" applyNumberFormat="1">
      <alignment vertical="bottom"/>
    </xf>
    <xf borderId="7" fillId="0" fontId="25" numFmtId="38" xfId="0" applyAlignment="1" applyBorder="1" applyFont="1" applyNumberFormat="1">
      <alignment vertical="bottom"/>
    </xf>
    <xf borderId="7" fillId="0" fontId="26" numFmtId="38" xfId="0" applyAlignment="1" applyBorder="1" applyFont="1" applyNumberFormat="1">
      <alignment vertical="bottom"/>
    </xf>
    <xf borderId="7" fillId="0" fontId="27" numFmtId="38" xfId="0" applyAlignment="1" applyBorder="1" applyFont="1" applyNumberFormat="1">
      <alignment vertical="bottom"/>
    </xf>
    <xf borderId="7" fillId="0" fontId="25" numFmtId="38" xfId="0" applyAlignment="1" applyBorder="1" applyFont="1" applyNumberFormat="1">
      <alignment readingOrder="0" vertical="bottom"/>
    </xf>
    <xf borderId="7" fillId="0" fontId="23" numFmtId="38" xfId="0" applyAlignment="1" applyBorder="1" applyFont="1" applyNumberFormat="1">
      <alignment readingOrder="0" vertical="bottom"/>
    </xf>
    <xf borderId="7" fillId="0" fontId="22" numFmtId="38" xfId="0" applyAlignment="1" applyBorder="1" applyFont="1" applyNumberFormat="1">
      <alignment readingOrder="0" vertical="bottom"/>
    </xf>
    <xf borderId="7" fillId="0" fontId="24" numFmtId="38" xfId="0" applyAlignment="1" applyBorder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22.63"/>
    <col customWidth="1" min="4" max="4" width="40.88"/>
    <col customWidth="1" min="5" max="5" width="9.5"/>
  </cols>
  <sheetData>
    <row r="1">
      <c r="A1" s="1" t="s">
        <v>0</v>
      </c>
    </row>
    <row r="2">
      <c r="A2" s="2" t="s">
        <v>1</v>
      </c>
      <c r="B2" s="3" t="s">
        <v>2</v>
      </c>
      <c r="C2" s="2" t="s">
        <v>3</v>
      </c>
      <c r="D2" s="4" t="s">
        <v>4</v>
      </c>
      <c r="E2" s="5" t="s">
        <v>5</v>
      </c>
      <c r="F2" s="6"/>
      <c r="G2" s="6"/>
      <c r="H2" s="6"/>
      <c r="I2" s="6"/>
      <c r="J2" s="6"/>
      <c r="K2" s="6"/>
      <c r="L2" s="6"/>
      <c r="M2" s="7"/>
    </row>
    <row r="3">
      <c r="A3" s="8"/>
      <c r="B3" s="8"/>
      <c r="C3" s="8"/>
      <c r="D3" s="8"/>
      <c r="E3" s="2" t="s">
        <v>6</v>
      </c>
      <c r="F3" s="5" t="s">
        <v>7</v>
      </c>
      <c r="G3" s="7"/>
      <c r="H3" s="5" t="s">
        <v>8</v>
      </c>
      <c r="I3" s="7"/>
      <c r="J3" s="2" t="s">
        <v>9</v>
      </c>
      <c r="K3" s="4" t="s">
        <v>10</v>
      </c>
      <c r="L3" s="2" t="s">
        <v>11</v>
      </c>
      <c r="M3" s="2" t="s">
        <v>12</v>
      </c>
    </row>
    <row r="4">
      <c r="A4" s="9"/>
      <c r="B4" s="9"/>
      <c r="C4" s="9"/>
      <c r="D4" s="9"/>
      <c r="E4" s="9"/>
      <c r="F4" s="10" t="s">
        <v>13</v>
      </c>
      <c r="G4" s="10" t="s">
        <v>14</v>
      </c>
      <c r="H4" s="10" t="s">
        <v>15</v>
      </c>
      <c r="I4" s="11" t="s">
        <v>16</v>
      </c>
      <c r="J4" s="9"/>
      <c r="K4" s="9"/>
      <c r="L4" s="9"/>
      <c r="M4" s="9"/>
    </row>
    <row r="5">
      <c r="A5" s="12">
        <v>1.0</v>
      </c>
      <c r="B5" s="13" t="s">
        <v>17</v>
      </c>
      <c r="C5" s="13">
        <v>51406.0</v>
      </c>
      <c r="D5" s="13" t="s">
        <v>18</v>
      </c>
      <c r="E5" s="14"/>
      <c r="F5" s="14"/>
      <c r="G5" s="14"/>
      <c r="H5" s="15"/>
      <c r="I5" s="16">
        <v>500.0</v>
      </c>
      <c r="J5" s="14"/>
      <c r="K5" s="14"/>
      <c r="L5" s="17">
        <v>500.0</v>
      </c>
      <c r="M5" s="18">
        <f t="shared" ref="M5:M26" si="1">SUM(E5+F5+G5+H5+I5+J5+K5-L5)</f>
        <v>0</v>
      </c>
    </row>
    <row r="6">
      <c r="A6" s="12">
        <v>2.0</v>
      </c>
      <c r="B6" s="13" t="s">
        <v>19</v>
      </c>
      <c r="C6" s="13">
        <v>55551.0</v>
      </c>
      <c r="D6" s="13" t="s">
        <v>20</v>
      </c>
      <c r="E6" s="14"/>
      <c r="F6" s="14"/>
      <c r="G6" s="14"/>
      <c r="H6" s="15"/>
      <c r="I6" s="16">
        <v>300.0</v>
      </c>
      <c r="J6" s="14"/>
      <c r="K6" s="14"/>
      <c r="L6" s="17">
        <v>300.0</v>
      </c>
      <c r="M6" s="18">
        <f t="shared" si="1"/>
        <v>0</v>
      </c>
    </row>
    <row r="7">
      <c r="A7" s="12">
        <v>4.0</v>
      </c>
      <c r="B7" s="13" t="s">
        <v>21</v>
      </c>
      <c r="C7" s="13">
        <v>50820.0</v>
      </c>
      <c r="D7" s="13" t="s">
        <v>22</v>
      </c>
      <c r="E7" s="14"/>
      <c r="F7" s="14"/>
      <c r="G7" s="14"/>
      <c r="H7" s="19">
        <v>1427.0</v>
      </c>
      <c r="I7" s="14"/>
      <c r="J7" s="14"/>
      <c r="K7" s="14"/>
      <c r="L7" s="17">
        <v>1427.0</v>
      </c>
      <c r="M7" s="18">
        <f t="shared" si="1"/>
        <v>0</v>
      </c>
    </row>
    <row r="8">
      <c r="A8" s="12">
        <v>5.0</v>
      </c>
      <c r="B8" s="13" t="s">
        <v>23</v>
      </c>
      <c r="C8" s="13">
        <v>42046.0</v>
      </c>
      <c r="D8" s="13" t="s">
        <v>24</v>
      </c>
      <c r="E8" s="14"/>
      <c r="F8" s="16">
        <v>31250.0</v>
      </c>
      <c r="G8" s="14"/>
      <c r="H8" s="15"/>
      <c r="I8" s="14"/>
      <c r="J8" s="14"/>
      <c r="K8" s="14"/>
      <c r="L8" s="17">
        <v>31250.0</v>
      </c>
      <c r="M8" s="18">
        <f t="shared" si="1"/>
        <v>0</v>
      </c>
    </row>
    <row r="9">
      <c r="A9" s="12">
        <v>6.0</v>
      </c>
      <c r="B9" s="13" t="s">
        <v>25</v>
      </c>
      <c r="C9" s="13">
        <v>53734.0</v>
      </c>
      <c r="D9" s="13" t="s">
        <v>26</v>
      </c>
      <c r="E9" s="14"/>
      <c r="F9" s="16">
        <v>5000.0</v>
      </c>
      <c r="G9" s="14"/>
      <c r="H9" s="15"/>
      <c r="I9" s="14"/>
      <c r="J9" s="14"/>
      <c r="K9" s="14"/>
      <c r="L9" s="17">
        <v>5000.0</v>
      </c>
      <c r="M9" s="18">
        <f t="shared" si="1"/>
        <v>0</v>
      </c>
    </row>
    <row r="10">
      <c r="A10" s="12">
        <v>7.0</v>
      </c>
      <c r="B10" s="13" t="s">
        <v>27</v>
      </c>
      <c r="C10" s="13">
        <v>57020.0</v>
      </c>
      <c r="D10" s="13" t="s">
        <v>28</v>
      </c>
      <c r="E10" s="14"/>
      <c r="F10" s="14"/>
      <c r="G10" s="14"/>
      <c r="H10" s="15"/>
      <c r="I10" s="16">
        <v>5150.0</v>
      </c>
      <c r="J10" s="14"/>
      <c r="K10" s="14"/>
      <c r="L10" s="17">
        <v>5150.0</v>
      </c>
      <c r="M10" s="18">
        <f t="shared" si="1"/>
        <v>0</v>
      </c>
    </row>
    <row r="11">
      <c r="A11" s="12">
        <v>8.0</v>
      </c>
      <c r="B11" s="13" t="s">
        <v>29</v>
      </c>
      <c r="C11" s="13">
        <v>42071.0</v>
      </c>
      <c r="D11" s="13" t="s">
        <v>30</v>
      </c>
      <c r="E11" s="14"/>
      <c r="F11" s="14"/>
      <c r="G11" s="14"/>
      <c r="H11" s="15"/>
      <c r="I11" s="16">
        <v>2625.0</v>
      </c>
      <c r="J11" s="14"/>
      <c r="K11" s="14"/>
      <c r="L11" s="17">
        <v>2625.0</v>
      </c>
      <c r="M11" s="18">
        <f t="shared" si="1"/>
        <v>0</v>
      </c>
    </row>
    <row r="12">
      <c r="A12" s="12">
        <v>9.0</v>
      </c>
      <c r="B12" s="13" t="s">
        <v>31</v>
      </c>
      <c r="C12" s="13">
        <v>44149.0</v>
      </c>
      <c r="D12" s="13" t="s">
        <v>32</v>
      </c>
      <c r="E12" s="14"/>
      <c r="F12" s="14"/>
      <c r="G12" s="14"/>
      <c r="H12" s="19">
        <v>6750.0</v>
      </c>
      <c r="I12" s="14"/>
      <c r="J12" s="14"/>
      <c r="K12" s="14"/>
      <c r="L12" s="17">
        <v>6750.0</v>
      </c>
      <c r="M12" s="18">
        <f t="shared" si="1"/>
        <v>0</v>
      </c>
    </row>
    <row r="13">
      <c r="A13" s="12">
        <v>10.0</v>
      </c>
      <c r="B13" s="13" t="s">
        <v>33</v>
      </c>
      <c r="C13" s="13">
        <v>35245.0</v>
      </c>
      <c r="D13" s="13" t="s">
        <v>34</v>
      </c>
      <c r="E13" s="14"/>
      <c r="F13" s="14"/>
      <c r="G13" s="14"/>
      <c r="H13" s="19">
        <v>70000.0</v>
      </c>
      <c r="I13" s="14"/>
      <c r="J13" s="14"/>
      <c r="K13" s="14"/>
      <c r="L13" s="17">
        <v>70000.0</v>
      </c>
      <c r="M13" s="18">
        <f t="shared" si="1"/>
        <v>0</v>
      </c>
    </row>
    <row r="14">
      <c r="A14" s="12">
        <v>11.0</v>
      </c>
      <c r="B14" s="13" t="s">
        <v>35</v>
      </c>
      <c r="C14" s="13">
        <v>33065.0</v>
      </c>
      <c r="D14" s="13" t="s">
        <v>36</v>
      </c>
      <c r="E14" s="14"/>
      <c r="F14" s="14"/>
      <c r="G14" s="14"/>
      <c r="H14" s="19">
        <v>5150.0</v>
      </c>
      <c r="I14" s="14"/>
      <c r="J14" s="14"/>
      <c r="K14" s="14"/>
      <c r="L14" s="17">
        <v>5150.0</v>
      </c>
      <c r="M14" s="18">
        <f t="shared" si="1"/>
        <v>0</v>
      </c>
    </row>
    <row r="15">
      <c r="A15" s="12">
        <v>12.0</v>
      </c>
      <c r="B15" s="13" t="s">
        <v>37</v>
      </c>
      <c r="C15" s="13">
        <v>21384.0</v>
      </c>
      <c r="D15" s="13" t="s">
        <v>38</v>
      </c>
      <c r="E15" s="14"/>
      <c r="F15" s="14"/>
      <c r="G15" s="14"/>
      <c r="H15" s="19">
        <v>20000.0</v>
      </c>
      <c r="I15" s="14"/>
      <c r="J15" s="14"/>
      <c r="K15" s="14"/>
      <c r="L15" s="17">
        <v>20000.0</v>
      </c>
      <c r="M15" s="18">
        <f t="shared" si="1"/>
        <v>0</v>
      </c>
    </row>
    <row r="16">
      <c r="A16" s="12">
        <v>13.0</v>
      </c>
      <c r="B16" s="13" t="s">
        <v>39</v>
      </c>
      <c r="C16" s="13">
        <v>49676.0</v>
      </c>
      <c r="D16" s="13" t="s">
        <v>40</v>
      </c>
      <c r="E16" s="14"/>
      <c r="F16" s="14"/>
      <c r="G16" s="14"/>
      <c r="H16" s="15"/>
      <c r="I16" s="16">
        <v>7650.0</v>
      </c>
      <c r="J16" s="14"/>
      <c r="K16" s="14"/>
      <c r="L16" s="17">
        <v>7650.0</v>
      </c>
      <c r="M16" s="18">
        <f t="shared" si="1"/>
        <v>0</v>
      </c>
    </row>
    <row r="17">
      <c r="A17" s="12">
        <v>14.0</v>
      </c>
      <c r="B17" s="13" t="s">
        <v>41</v>
      </c>
      <c r="C17" s="13">
        <v>54750.0</v>
      </c>
      <c r="D17" s="13" t="s">
        <v>42</v>
      </c>
      <c r="E17" s="14"/>
      <c r="F17" s="14"/>
      <c r="G17" s="14"/>
      <c r="H17" s="15"/>
      <c r="I17" s="16">
        <v>5000.0</v>
      </c>
      <c r="J17" s="14"/>
      <c r="K17" s="14"/>
      <c r="L17" s="17">
        <v>5000.0</v>
      </c>
      <c r="M17" s="18">
        <f t="shared" si="1"/>
        <v>0</v>
      </c>
    </row>
    <row r="18">
      <c r="A18" s="12">
        <v>15.0</v>
      </c>
      <c r="B18" s="13" t="s">
        <v>43</v>
      </c>
      <c r="C18" s="13">
        <v>54750.0</v>
      </c>
      <c r="D18" s="13" t="s">
        <v>42</v>
      </c>
      <c r="E18" s="14"/>
      <c r="F18" s="14"/>
      <c r="G18" s="14"/>
      <c r="H18" s="15"/>
      <c r="I18" s="16">
        <v>5000.0</v>
      </c>
      <c r="J18" s="14"/>
      <c r="K18" s="14"/>
      <c r="L18" s="17">
        <v>5000.0</v>
      </c>
      <c r="M18" s="18">
        <f t="shared" si="1"/>
        <v>0</v>
      </c>
    </row>
    <row r="19">
      <c r="A19" s="12">
        <v>16.0</v>
      </c>
      <c r="B19" s="13" t="s">
        <v>44</v>
      </c>
      <c r="C19" s="13">
        <v>42046.0</v>
      </c>
      <c r="D19" s="13" t="s">
        <v>24</v>
      </c>
      <c r="E19" s="14"/>
      <c r="F19" s="16">
        <v>1250.0</v>
      </c>
      <c r="G19" s="14"/>
      <c r="H19" s="15"/>
      <c r="I19" s="16"/>
      <c r="J19" s="14"/>
      <c r="K19" s="14"/>
      <c r="L19" s="17">
        <v>1250.0</v>
      </c>
      <c r="M19" s="18">
        <f t="shared" si="1"/>
        <v>0</v>
      </c>
    </row>
    <row r="20">
      <c r="A20" s="12">
        <v>17.0</v>
      </c>
      <c r="B20" s="13" t="s">
        <v>45</v>
      </c>
      <c r="C20" s="13">
        <v>42071.0</v>
      </c>
      <c r="D20" s="13" t="s">
        <v>30</v>
      </c>
      <c r="E20" s="14"/>
      <c r="F20" s="14"/>
      <c r="G20" s="14"/>
      <c r="H20" s="15"/>
      <c r="I20" s="16">
        <v>605.0</v>
      </c>
      <c r="J20" s="14"/>
      <c r="K20" s="14"/>
      <c r="L20" s="17">
        <v>605.0</v>
      </c>
      <c r="M20" s="18">
        <f t="shared" si="1"/>
        <v>0</v>
      </c>
    </row>
    <row r="21">
      <c r="A21" s="12">
        <v>18.0</v>
      </c>
      <c r="B21" s="13" t="s">
        <v>46</v>
      </c>
      <c r="C21" s="13">
        <v>50222.0</v>
      </c>
      <c r="D21" s="13" t="s">
        <v>47</v>
      </c>
      <c r="E21" s="14"/>
      <c r="F21" s="14"/>
      <c r="G21" s="14"/>
      <c r="H21" s="19">
        <v>1427.0</v>
      </c>
      <c r="I21" s="14"/>
      <c r="J21" s="14"/>
      <c r="K21" s="14"/>
      <c r="L21" s="17">
        <v>1427.0</v>
      </c>
      <c r="M21" s="18">
        <f t="shared" si="1"/>
        <v>0</v>
      </c>
    </row>
    <row r="22">
      <c r="A22" s="12">
        <v>19.0</v>
      </c>
      <c r="B22" s="13" t="s">
        <v>48</v>
      </c>
      <c r="C22" s="13">
        <v>55611.0</v>
      </c>
      <c r="D22" s="13" t="s">
        <v>49</v>
      </c>
      <c r="E22" s="14"/>
      <c r="F22" s="14"/>
      <c r="G22" s="14"/>
      <c r="H22" s="15"/>
      <c r="I22" s="16">
        <v>300.0</v>
      </c>
      <c r="J22" s="14"/>
      <c r="K22" s="14"/>
      <c r="L22" s="17">
        <v>300.0</v>
      </c>
      <c r="M22" s="18">
        <f t="shared" si="1"/>
        <v>0</v>
      </c>
    </row>
    <row r="23">
      <c r="A23" s="12">
        <v>20.0</v>
      </c>
      <c r="B23" s="13" t="s">
        <v>50</v>
      </c>
      <c r="C23" s="13">
        <v>55477.0</v>
      </c>
      <c r="D23" s="13" t="s">
        <v>51</v>
      </c>
      <c r="E23" s="14"/>
      <c r="F23" s="14"/>
      <c r="G23" s="14"/>
      <c r="H23" s="15"/>
      <c r="I23" s="16">
        <v>300.0</v>
      </c>
      <c r="J23" s="14"/>
      <c r="K23" s="14"/>
      <c r="L23" s="17">
        <v>300.0</v>
      </c>
      <c r="M23" s="18">
        <f t="shared" si="1"/>
        <v>0</v>
      </c>
    </row>
    <row r="24">
      <c r="A24" s="12">
        <v>46.0</v>
      </c>
      <c r="B24" s="13" t="s">
        <v>52</v>
      </c>
      <c r="C24" s="13">
        <v>55610.0</v>
      </c>
      <c r="D24" s="13" t="s">
        <v>53</v>
      </c>
      <c r="E24" s="14"/>
      <c r="F24" s="14"/>
      <c r="G24" s="14"/>
      <c r="H24" s="15"/>
      <c r="I24" s="16">
        <v>300.0</v>
      </c>
      <c r="J24" s="14"/>
      <c r="K24" s="14"/>
      <c r="L24" s="17">
        <v>300.0</v>
      </c>
      <c r="M24" s="18">
        <f t="shared" si="1"/>
        <v>0</v>
      </c>
    </row>
    <row r="25">
      <c r="A25" s="12">
        <v>21.0</v>
      </c>
      <c r="B25" s="13" t="s">
        <v>54</v>
      </c>
      <c r="C25" s="13">
        <v>44168.0</v>
      </c>
      <c r="D25" s="13" t="s">
        <v>55</v>
      </c>
      <c r="E25" s="14"/>
      <c r="F25" s="14"/>
      <c r="G25" s="14"/>
      <c r="H25" s="19">
        <v>4137.0</v>
      </c>
      <c r="I25" s="14"/>
      <c r="J25" s="14"/>
      <c r="K25" s="14"/>
      <c r="L25" s="17">
        <v>4137.0</v>
      </c>
      <c r="M25" s="18">
        <f t="shared" si="1"/>
        <v>0</v>
      </c>
    </row>
    <row r="26">
      <c r="A26" s="12">
        <v>22.0</v>
      </c>
      <c r="B26" s="13" t="s">
        <v>56</v>
      </c>
      <c r="C26" s="13">
        <v>44168.0</v>
      </c>
      <c r="D26" s="13" t="s">
        <v>55</v>
      </c>
      <c r="E26" s="14"/>
      <c r="F26" s="14"/>
      <c r="G26" s="14"/>
      <c r="H26" s="19">
        <v>1250.0</v>
      </c>
      <c r="I26" s="14"/>
      <c r="J26" s="14"/>
      <c r="K26" s="14"/>
      <c r="L26" s="17">
        <v>1250.0</v>
      </c>
      <c r="M26" s="18">
        <f t="shared" si="1"/>
        <v>0</v>
      </c>
    </row>
    <row r="27">
      <c r="A27" s="20"/>
      <c r="B27" s="21"/>
      <c r="C27" s="21"/>
      <c r="D27" s="20"/>
      <c r="E27" s="22">
        <f t="shared" ref="E27:J27" si="2">SUM(E5:E26)</f>
        <v>0</v>
      </c>
      <c r="F27" s="22">
        <f t="shared" si="2"/>
        <v>37500</v>
      </c>
      <c r="G27" s="22">
        <f t="shared" si="2"/>
        <v>0</v>
      </c>
      <c r="H27" s="22">
        <f t="shared" si="2"/>
        <v>110141</v>
      </c>
      <c r="I27" s="22">
        <f t="shared" si="2"/>
        <v>27730</v>
      </c>
      <c r="J27" s="22">
        <f t="shared" si="2"/>
        <v>0</v>
      </c>
      <c r="K27" s="22">
        <f>SUM(K23:K26)</f>
        <v>0</v>
      </c>
      <c r="L27" s="22">
        <f t="shared" ref="L27:M27" si="3">SUM(L5:L26)</f>
        <v>175371</v>
      </c>
      <c r="M27" s="18">
        <f t="shared" si="3"/>
        <v>0</v>
      </c>
    </row>
    <row r="28">
      <c r="A28" s="23"/>
      <c r="B28" s="23"/>
      <c r="C28" s="23"/>
      <c r="D28" s="23"/>
      <c r="E28" s="24">
        <v>175371.0</v>
      </c>
      <c r="F28" s="6"/>
      <c r="G28" s="6"/>
      <c r="H28" s="6"/>
      <c r="I28" s="6"/>
      <c r="J28" s="6"/>
      <c r="K28" s="7"/>
      <c r="L28" s="25"/>
      <c r="M28" s="23"/>
    </row>
  </sheetData>
  <mergeCells count="14">
    <mergeCell ref="F3:G3"/>
    <mergeCell ref="H3:I3"/>
    <mergeCell ref="J3:J4"/>
    <mergeCell ref="K3:K4"/>
    <mergeCell ref="E28:K28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5"/>
    <col customWidth="1" min="2" max="2" width="22.63"/>
    <col customWidth="1" min="4" max="4" width="40.88"/>
    <col customWidth="1" min="5" max="5" width="9.5"/>
  </cols>
  <sheetData>
    <row r="1">
      <c r="A1" s="1" t="s">
        <v>57</v>
      </c>
    </row>
    <row r="2">
      <c r="A2" s="2" t="s">
        <v>1</v>
      </c>
      <c r="B2" s="3" t="s">
        <v>2</v>
      </c>
      <c r="C2" s="2" t="s">
        <v>3</v>
      </c>
      <c r="D2" s="4" t="s">
        <v>4</v>
      </c>
      <c r="E2" s="5" t="s">
        <v>5</v>
      </c>
      <c r="F2" s="6"/>
      <c r="G2" s="6"/>
      <c r="H2" s="6"/>
      <c r="I2" s="6"/>
      <c r="J2" s="6"/>
      <c r="K2" s="6"/>
      <c r="L2" s="6"/>
      <c r="M2" s="7"/>
    </row>
    <row r="3">
      <c r="A3" s="8"/>
      <c r="B3" s="8"/>
      <c r="C3" s="8"/>
      <c r="D3" s="8"/>
      <c r="E3" s="2" t="s">
        <v>6</v>
      </c>
      <c r="F3" s="5" t="s">
        <v>7</v>
      </c>
      <c r="G3" s="7"/>
      <c r="H3" s="5" t="s">
        <v>8</v>
      </c>
      <c r="I3" s="7"/>
      <c r="J3" s="2" t="s">
        <v>9</v>
      </c>
      <c r="K3" s="4" t="s">
        <v>10</v>
      </c>
      <c r="L3" s="2" t="s">
        <v>11</v>
      </c>
      <c r="M3" s="2" t="s">
        <v>12</v>
      </c>
    </row>
    <row r="4">
      <c r="A4" s="9"/>
      <c r="B4" s="9"/>
      <c r="C4" s="9"/>
      <c r="D4" s="9"/>
      <c r="E4" s="9"/>
      <c r="F4" s="10" t="s">
        <v>13</v>
      </c>
      <c r="G4" s="10" t="s">
        <v>14</v>
      </c>
      <c r="H4" s="10" t="s">
        <v>15</v>
      </c>
      <c r="I4" s="11" t="s">
        <v>16</v>
      </c>
      <c r="J4" s="9"/>
      <c r="K4" s="9"/>
      <c r="L4" s="9"/>
      <c r="M4" s="9"/>
    </row>
    <row r="5">
      <c r="A5" s="12">
        <v>1.0</v>
      </c>
      <c r="B5" s="26" t="s">
        <v>58</v>
      </c>
      <c r="C5" s="26">
        <v>41982.0</v>
      </c>
      <c r="D5" s="26" t="s">
        <v>59</v>
      </c>
      <c r="E5" s="27"/>
      <c r="F5" s="28"/>
      <c r="G5" s="29"/>
      <c r="H5" s="30"/>
      <c r="I5" s="31">
        <v>7650.0</v>
      </c>
      <c r="J5" s="32"/>
      <c r="K5" s="33"/>
      <c r="L5" s="17">
        <v>7650.0</v>
      </c>
      <c r="M5" s="18">
        <f t="shared" ref="M5:M115" si="1">SUM(E5+F5+G5+H5+I5+J5+K5-L5)</f>
        <v>0</v>
      </c>
    </row>
    <row r="6">
      <c r="A6" s="12">
        <v>2.0</v>
      </c>
      <c r="B6" s="26" t="s">
        <v>60</v>
      </c>
      <c r="C6" s="26">
        <v>43380.0</v>
      </c>
      <c r="D6" s="26" t="s">
        <v>61</v>
      </c>
      <c r="E6" s="27"/>
      <c r="F6" s="28"/>
      <c r="G6" s="29"/>
      <c r="H6" s="34"/>
      <c r="I6" s="31">
        <v>12500.0</v>
      </c>
      <c r="J6" s="32"/>
      <c r="K6" s="33"/>
      <c r="L6" s="17">
        <v>12500.0</v>
      </c>
      <c r="M6" s="18">
        <f t="shared" si="1"/>
        <v>0</v>
      </c>
    </row>
    <row r="7">
      <c r="A7" s="12">
        <v>3.0</v>
      </c>
      <c r="B7" s="26" t="s">
        <v>62</v>
      </c>
      <c r="C7" s="26">
        <v>54489.0</v>
      </c>
      <c r="D7" s="26" t="s">
        <v>63</v>
      </c>
      <c r="E7" s="27"/>
      <c r="F7" s="28"/>
      <c r="G7" s="29"/>
      <c r="H7" s="30">
        <v>5150.0</v>
      </c>
      <c r="I7" s="31"/>
      <c r="J7" s="32"/>
      <c r="K7" s="33"/>
      <c r="L7" s="17">
        <v>5150.0</v>
      </c>
      <c r="M7" s="18">
        <f t="shared" si="1"/>
        <v>0</v>
      </c>
    </row>
    <row r="8">
      <c r="A8" s="12">
        <v>4.0</v>
      </c>
      <c r="B8" s="26" t="s">
        <v>64</v>
      </c>
      <c r="C8" s="26">
        <v>53455.0</v>
      </c>
      <c r="D8" s="26" t="s">
        <v>65</v>
      </c>
      <c r="E8" s="27"/>
      <c r="F8" s="28"/>
      <c r="G8" s="29"/>
      <c r="H8" s="30"/>
      <c r="I8" s="31">
        <v>2500.0</v>
      </c>
      <c r="J8" s="32"/>
      <c r="K8" s="33"/>
      <c r="L8" s="17">
        <v>2500.0</v>
      </c>
      <c r="M8" s="18">
        <f t="shared" si="1"/>
        <v>0</v>
      </c>
    </row>
    <row r="9">
      <c r="A9" s="12">
        <v>5.0</v>
      </c>
      <c r="B9" s="26" t="s">
        <v>66</v>
      </c>
      <c r="C9" s="26">
        <v>50173.0</v>
      </c>
      <c r="D9" s="26" t="s">
        <v>67</v>
      </c>
      <c r="E9" s="27"/>
      <c r="F9" s="28"/>
      <c r="G9" s="29"/>
      <c r="H9" s="30"/>
      <c r="I9" s="31">
        <v>350.0</v>
      </c>
      <c r="J9" s="32"/>
      <c r="K9" s="33"/>
      <c r="L9" s="17">
        <v>350.0</v>
      </c>
      <c r="M9" s="18">
        <f t="shared" si="1"/>
        <v>0</v>
      </c>
    </row>
    <row r="10">
      <c r="A10" s="12">
        <v>6.0</v>
      </c>
      <c r="B10" s="26" t="s">
        <v>68</v>
      </c>
      <c r="C10" s="26">
        <v>21818.0</v>
      </c>
      <c r="D10" s="26" t="s">
        <v>69</v>
      </c>
      <c r="E10" s="27"/>
      <c r="F10" s="28"/>
      <c r="G10" s="29"/>
      <c r="H10" s="30"/>
      <c r="I10" s="31">
        <v>10200.0</v>
      </c>
      <c r="J10" s="32"/>
      <c r="K10" s="33"/>
      <c r="L10" s="17">
        <v>10200.0</v>
      </c>
      <c r="M10" s="18">
        <f t="shared" si="1"/>
        <v>0</v>
      </c>
    </row>
    <row r="11">
      <c r="A11" s="12">
        <v>7.0</v>
      </c>
      <c r="B11" s="26" t="s">
        <v>70</v>
      </c>
      <c r="C11" s="26">
        <v>35245.0</v>
      </c>
      <c r="D11" s="26" t="s">
        <v>34</v>
      </c>
      <c r="E11" s="27"/>
      <c r="F11" s="28"/>
      <c r="G11" s="29"/>
      <c r="H11" s="34"/>
      <c r="I11" s="31"/>
      <c r="J11" s="35">
        <v>10000.0</v>
      </c>
      <c r="K11" s="33"/>
      <c r="L11" s="17">
        <v>10000.0</v>
      </c>
      <c r="M11" s="18">
        <f t="shared" si="1"/>
        <v>0</v>
      </c>
    </row>
    <row r="12">
      <c r="A12" s="12">
        <v>8.0</v>
      </c>
      <c r="B12" s="26" t="s">
        <v>71</v>
      </c>
      <c r="C12" s="26">
        <v>52127.0</v>
      </c>
      <c r="D12" s="26" t="s">
        <v>72</v>
      </c>
      <c r="E12" s="27"/>
      <c r="F12" s="28"/>
      <c r="G12" s="29"/>
      <c r="H12" s="30">
        <v>1400.0</v>
      </c>
      <c r="I12" s="31"/>
      <c r="J12" s="32"/>
      <c r="K12" s="33"/>
      <c r="L12" s="17">
        <v>1400.0</v>
      </c>
      <c r="M12" s="18">
        <f t="shared" si="1"/>
        <v>0</v>
      </c>
    </row>
    <row r="13">
      <c r="A13" s="12">
        <v>9.0</v>
      </c>
      <c r="B13" s="26" t="s">
        <v>73</v>
      </c>
      <c r="C13" s="26">
        <v>51876.0</v>
      </c>
      <c r="D13" s="26" t="s">
        <v>74</v>
      </c>
      <c r="E13" s="27"/>
      <c r="F13" s="28"/>
      <c r="G13" s="29"/>
      <c r="H13" s="30">
        <v>1427.0</v>
      </c>
      <c r="I13" s="31"/>
      <c r="J13" s="32"/>
      <c r="K13" s="33"/>
      <c r="L13" s="17">
        <v>1427.0</v>
      </c>
      <c r="M13" s="18">
        <f t="shared" si="1"/>
        <v>0</v>
      </c>
    </row>
    <row r="14">
      <c r="A14" s="12">
        <v>10.0</v>
      </c>
      <c r="B14" s="26" t="s">
        <v>75</v>
      </c>
      <c r="C14" s="26">
        <v>52373.0</v>
      </c>
      <c r="D14" s="26" t="s">
        <v>76</v>
      </c>
      <c r="E14" s="27"/>
      <c r="F14" s="28"/>
      <c r="G14" s="29"/>
      <c r="H14" s="30"/>
      <c r="I14" s="31">
        <v>2650.0</v>
      </c>
      <c r="J14" s="32"/>
      <c r="K14" s="33"/>
      <c r="L14" s="17">
        <v>2650.0</v>
      </c>
      <c r="M14" s="18">
        <f t="shared" si="1"/>
        <v>0</v>
      </c>
    </row>
    <row r="15">
      <c r="A15" s="12">
        <v>11.0</v>
      </c>
      <c r="B15" s="26" t="s">
        <v>77</v>
      </c>
      <c r="C15" s="26">
        <v>10008.0</v>
      </c>
      <c r="D15" s="26" t="s">
        <v>78</v>
      </c>
      <c r="E15" s="27"/>
      <c r="F15" s="28"/>
      <c r="G15" s="29"/>
      <c r="H15" s="30">
        <v>214050.0</v>
      </c>
      <c r="I15" s="36"/>
      <c r="J15" s="32"/>
      <c r="K15" s="33"/>
      <c r="L15" s="17">
        <v>214050.0</v>
      </c>
      <c r="M15" s="18">
        <f t="shared" si="1"/>
        <v>0</v>
      </c>
    </row>
    <row r="16">
      <c r="A16" s="12">
        <v>12.0</v>
      </c>
      <c r="B16" s="26" t="s">
        <v>79</v>
      </c>
      <c r="C16" s="26">
        <v>57436.0</v>
      </c>
      <c r="D16" s="26" t="s">
        <v>80</v>
      </c>
      <c r="E16" s="27"/>
      <c r="F16" s="28"/>
      <c r="G16" s="29"/>
      <c r="H16" s="30">
        <v>27000.0</v>
      </c>
      <c r="I16" s="31"/>
      <c r="J16" s="32"/>
      <c r="K16" s="33"/>
      <c r="L16" s="17">
        <v>27000.0</v>
      </c>
      <c r="M16" s="18">
        <f t="shared" si="1"/>
        <v>0</v>
      </c>
    </row>
    <row r="17">
      <c r="A17" s="12">
        <v>13.0</v>
      </c>
      <c r="B17" s="26" t="s">
        <v>81</v>
      </c>
      <c r="C17" s="26">
        <v>57426.0</v>
      </c>
      <c r="D17" s="26" t="s">
        <v>82</v>
      </c>
      <c r="E17" s="27"/>
      <c r="F17" s="28"/>
      <c r="G17" s="29"/>
      <c r="H17" s="34"/>
      <c r="I17" s="31">
        <v>27000.0</v>
      </c>
      <c r="J17" s="32"/>
      <c r="K17" s="33"/>
      <c r="L17" s="17">
        <v>27000.0</v>
      </c>
      <c r="M17" s="18">
        <f t="shared" si="1"/>
        <v>0</v>
      </c>
    </row>
    <row r="18">
      <c r="A18" s="12">
        <v>14.0</v>
      </c>
      <c r="B18" s="26" t="s">
        <v>83</v>
      </c>
      <c r="C18" s="26">
        <v>39317.0</v>
      </c>
      <c r="D18" s="26" t="s">
        <v>84</v>
      </c>
      <c r="E18" s="27"/>
      <c r="F18" s="28"/>
      <c r="G18" s="29"/>
      <c r="H18" s="30"/>
      <c r="I18" s="31">
        <v>15000.0</v>
      </c>
      <c r="J18" s="32"/>
      <c r="K18" s="33"/>
      <c r="L18" s="17">
        <v>15000.0</v>
      </c>
      <c r="M18" s="18">
        <f t="shared" si="1"/>
        <v>0</v>
      </c>
    </row>
    <row r="19">
      <c r="A19" s="12">
        <v>15.0</v>
      </c>
      <c r="B19" s="26" t="s">
        <v>85</v>
      </c>
      <c r="C19" s="26">
        <v>26005.0</v>
      </c>
      <c r="D19" s="26" t="s">
        <v>86</v>
      </c>
      <c r="E19" s="27"/>
      <c r="F19" s="37">
        <v>2500.0</v>
      </c>
      <c r="G19" s="29"/>
      <c r="H19" s="30">
        <v>2500.0</v>
      </c>
      <c r="I19" s="31"/>
      <c r="J19" s="32"/>
      <c r="K19" s="33"/>
      <c r="L19" s="17">
        <v>5000.0</v>
      </c>
      <c r="M19" s="18">
        <f t="shared" si="1"/>
        <v>0</v>
      </c>
    </row>
    <row r="20">
      <c r="A20" s="12">
        <v>16.0</v>
      </c>
      <c r="B20" s="26" t="s">
        <v>87</v>
      </c>
      <c r="C20" s="26">
        <v>48967.0</v>
      </c>
      <c r="D20" s="26" t="s">
        <v>88</v>
      </c>
      <c r="E20" s="27"/>
      <c r="F20" s="28"/>
      <c r="G20" s="29"/>
      <c r="H20" s="34"/>
      <c r="I20" s="31">
        <v>5100.0</v>
      </c>
      <c r="J20" s="32"/>
      <c r="K20" s="33"/>
      <c r="L20" s="17">
        <v>5100.0</v>
      </c>
      <c r="M20" s="18">
        <f t="shared" si="1"/>
        <v>0</v>
      </c>
    </row>
    <row r="21">
      <c r="A21" s="12">
        <v>17.0</v>
      </c>
      <c r="B21" s="26" t="s">
        <v>89</v>
      </c>
      <c r="C21" s="26">
        <v>55463.0</v>
      </c>
      <c r="D21" s="26" t="s">
        <v>90</v>
      </c>
      <c r="E21" s="27"/>
      <c r="F21" s="28"/>
      <c r="G21" s="29"/>
      <c r="H21" s="30">
        <v>15000.0</v>
      </c>
      <c r="I21" s="31"/>
      <c r="J21" s="32"/>
      <c r="K21" s="33"/>
      <c r="L21" s="17">
        <v>15000.0</v>
      </c>
      <c r="M21" s="18">
        <f t="shared" si="1"/>
        <v>0</v>
      </c>
    </row>
    <row r="22">
      <c r="A22" s="12">
        <v>18.0</v>
      </c>
      <c r="B22" s="26" t="s">
        <v>91</v>
      </c>
      <c r="C22" s="26">
        <v>52960.0</v>
      </c>
      <c r="D22" s="26" t="s">
        <v>92</v>
      </c>
      <c r="E22" s="27"/>
      <c r="F22" s="28"/>
      <c r="G22" s="29"/>
      <c r="H22" s="30">
        <v>5150.0</v>
      </c>
      <c r="I22" s="31"/>
      <c r="J22" s="32"/>
      <c r="K22" s="33"/>
      <c r="L22" s="17">
        <v>5150.0</v>
      </c>
      <c r="M22" s="18">
        <f t="shared" si="1"/>
        <v>0</v>
      </c>
    </row>
    <row r="23">
      <c r="A23" s="12">
        <v>19.0</v>
      </c>
      <c r="B23" s="26" t="s">
        <v>93</v>
      </c>
      <c r="C23" s="26">
        <v>50557.0</v>
      </c>
      <c r="D23" s="26" t="s">
        <v>94</v>
      </c>
      <c r="E23" s="27"/>
      <c r="F23" s="28"/>
      <c r="G23" s="29"/>
      <c r="H23" s="30">
        <v>350.0</v>
      </c>
      <c r="I23" s="31"/>
      <c r="J23" s="32"/>
      <c r="K23" s="33"/>
      <c r="L23" s="17">
        <v>350.0</v>
      </c>
      <c r="M23" s="18">
        <f t="shared" si="1"/>
        <v>0</v>
      </c>
    </row>
    <row r="24">
      <c r="A24" s="12">
        <v>20.0</v>
      </c>
      <c r="B24" s="26" t="s">
        <v>95</v>
      </c>
      <c r="C24" s="26">
        <v>42098.0</v>
      </c>
      <c r="D24" s="26" t="s">
        <v>96</v>
      </c>
      <c r="E24" s="27"/>
      <c r="F24" s="28"/>
      <c r="G24" s="29"/>
      <c r="H24" s="30">
        <v>1450.0</v>
      </c>
      <c r="I24" s="31"/>
      <c r="J24" s="32"/>
      <c r="K24" s="33"/>
      <c r="L24" s="17">
        <v>1450.0</v>
      </c>
      <c r="M24" s="18">
        <f t="shared" si="1"/>
        <v>0</v>
      </c>
    </row>
    <row r="25">
      <c r="A25" s="12">
        <v>21.0</v>
      </c>
      <c r="B25" s="26" t="s">
        <v>97</v>
      </c>
      <c r="C25" s="26">
        <v>44986.0</v>
      </c>
      <c r="D25" s="26" t="s">
        <v>98</v>
      </c>
      <c r="E25" s="27"/>
      <c r="F25" s="28"/>
      <c r="G25" s="29"/>
      <c r="H25" s="30">
        <v>10000.0</v>
      </c>
      <c r="I25" s="31"/>
      <c r="J25" s="32"/>
      <c r="K25" s="33"/>
      <c r="L25" s="17">
        <v>10000.0</v>
      </c>
      <c r="M25" s="18">
        <f t="shared" si="1"/>
        <v>0</v>
      </c>
    </row>
    <row r="26">
      <c r="A26" s="12">
        <v>22.0</v>
      </c>
      <c r="B26" s="26" t="s">
        <v>99</v>
      </c>
      <c r="C26" s="26">
        <v>25542.0</v>
      </c>
      <c r="D26" s="26" t="s">
        <v>100</v>
      </c>
      <c r="E26" s="27"/>
      <c r="F26" s="37">
        <v>3600.0</v>
      </c>
      <c r="G26" s="29"/>
      <c r="H26" s="30"/>
      <c r="I26" s="36"/>
      <c r="J26" s="32"/>
      <c r="K26" s="33"/>
      <c r="L26" s="17">
        <v>3600.0</v>
      </c>
      <c r="M26" s="18">
        <f t="shared" si="1"/>
        <v>0</v>
      </c>
    </row>
    <row r="27">
      <c r="A27" s="12">
        <v>23.0</v>
      </c>
      <c r="B27" s="26" t="s">
        <v>101</v>
      </c>
      <c r="C27" s="26">
        <v>44168.0</v>
      </c>
      <c r="D27" s="26" t="s">
        <v>55</v>
      </c>
      <c r="E27" s="27"/>
      <c r="F27" s="28"/>
      <c r="G27" s="29"/>
      <c r="H27" s="30">
        <v>2752.0</v>
      </c>
      <c r="I27" s="36"/>
      <c r="J27" s="32"/>
      <c r="K27" s="33"/>
      <c r="L27" s="17">
        <v>2752.0</v>
      </c>
      <c r="M27" s="18">
        <f t="shared" si="1"/>
        <v>0</v>
      </c>
    </row>
    <row r="28">
      <c r="A28" s="12">
        <v>24.0</v>
      </c>
      <c r="B28" s="26" t="s">
        <v>102</v>
      </c>
      <c r="C28" s="26">
        <v>27880.0</v>
      </c>
      <c r="D28" s="26" t="s">
        <v>103</v>
      </c>
      <c r="E28" s="27"/>
      <c r="F28" s="37">
        <v>5000.0</v>
      </c>
      <c r="G28" s="29"/>
      <c r="H28" s="30"/>
      <c r="I28" s="36"/>
      <c r="J28" s="32"/>
      <c r="K28" s="33"/>
      <c r="L28" s="17">
        <v>5000.0</v>
      </c>
      <c r="M28" s="18">
        <f t="shared" si="1"/>
        <v>0</v>
      </c>
    </row>
    <row r="29">
      <c r="A29" s="12">
        <v>25.0</v>
      </c>
      <c r="B29" s="26" t="s">
        <v>104</v>
      </c>
      <c r="C29" s="26">
        <v>50871.0</v>
      </c>
      <c r="D29" s="26" t="s">
        <v>105</v>
      </c>
      <c r="E29" s="27"/>
      <c r="F29" s="28"/>
      <c r="G29" s="29"/>
      <c r="H29" s="30">
        <v>55000.0</v>
      </c>
      <c r="I29" s="36"/>
      <c r="J29" s="32"/>
      <c r="K29" s="33"/>
      <c r="L29" s="17">
        <v>55000.0</v>
      </c>
      <c r="M29" s="18">
        <f t="shared" si="1"/>
        <v>0</v>
      </c>
    </row>
    <row r="30">
      <c r="A30" s="12">
        <v>26.0</v>
      </c>
      <c r="B30" s="26" t="s">
        <v>106</v>
      </c>
      <c r="C30" s="26">
        <v>10250.0</v>
      </c>
      <c r="D30" s="26" t="s">
        <v>107</v>
      </c>
      <c r="E30" s="27"/>
      <c r="F30" s="28"/>
      <c r="G30" s="29"/>
      <c r="H30" s="34"/>
      <c r="I30" s="31">
        <v>350.0</v>
      </c>
      <c r="J30" s="32"/>
      <c r="K30" s="33"/>
      <c r="L30" s="17">
        <v>350.0</v>
      </c>
      <c r="M30" s="18">
        <f t="shared" si="1"/>
        <v>0</v>
      </c>
    </row>
    <row r="31">
      <c r="A31" s="12">
        <v>27.0</v>
      </c>
      <c r="B31" s="26" t="s">
        <v>108</v>
      </c>
      <c r="C31" s="26">
        <v>46778.0</v>
      </c>
      <c r="D31" s="26" t="s">
        <v>109</v>
      </c>
      <c r="E31" s="27"/>
      <c r="F31" s="28"/>
      <c r="G31" s="29"/>
      <c r="H31" s="30"/>
      <c r="I31" s="31">
        <v>2650.0</v>
      </c>
      <c r="J31" s="32"/>
      <c r="K31" s="33"/>
      <c r="L31" s="17">
        <v>2650.0</v>
      </c>
      <c r="M31" s="18">
        <f t="shared" si="1"/>
        <v>0</v>
      </c>
    </row>
    <row r="32">
      <c r="A32" s="12">
        <v>28.0</v>
      </c>
      <c r="B32" s="26" t="s">
        <v>110</v>
      </c>
      <c r="C32" s="26">
        <v>55388.0</v>
      </c>
      <c r="D32" s="26" t="s">
        <v>111</v>
      </c>
      <c r="E32" s="27"/>
      <c r="F32" s="28"/>
      <c r="G32" s="29"/>
      <c r="H32" s="30">
        <v>5000.0</v>
      </c>
      <c r="I32" s="31"/>
      <c r="J32" s="32"/>
      <c r="K32" s="33"/>
      <c r="L32" s="17">
        <v>5000.0</v>
      </c>
      <c r="M32" s="18">
        <f t="shared" si="1"/>
        <v>0</v>
      </c>
    </row>
    <row r="33">
      <c r="A33" s="12">
        <v>29.0</v>
      </c>
      <c r="B33" s="26" t="s">
        <v>112</v>
      </c>
      <c r="C33" s="26">
        <v>10008.0</v>
      </c>
      <c r="D33" s="26" t="s">
        <v>78</v>
      </c>
      <c r="E33" s="27"/>
      <c r="F33" s="28"/>
      <c r="G33" s="29"/>
      <c r="H33" s="30">
        <v>144500.0</v>
      </c>
      <c r="I33" s="31"/>
      <c r="J33" s="32"/>
      <c r="K33" s="33"/>
      <c r="L33" s="17">
        <v>144500.0</v>
      </c>
      <c r="M33" s="18">
        <f t="shared" si="1"/>
        <v>0</v>
      </c>
    </row>
    <row r="34">
      <c r="A34" s="12">
        <v>30.0</v>
      </c>
      <c r="B34" s="26" t="s">
        <v>113</v>
      </c>
      <c r="C34" s="26">
        <v>49918.0</v>
      </c>
      <c r="D34" s="26" t="s">
        <v>114</v>
      </c>
      <c r="E34" s="27"/>
      <c r="F34" s="28"/>
      <c r="G34" s="29"/>
      <c r="H34" s="30">
        <v>1750.0</v>
      </c>
      <c r="I34" s="31"/>
      <c r="J34" s="32"/>
      <c r="K34" s="33"/>
      <c r="L34" s="17">
        <v>1750.0</v>
      </c>
      <c r="M34" s="18">
        <f t="shared" si="1"/>
        <v>0</v>
      </c>
    </row>
    <row r="35">
      <c r="A35" s="12">
        <v>31.0</v>
      </c>
      <c r="B35" s="26" t="s">
        <v>115</v>
      </c>
      <c r="C35" s="26">
        <v>53401.0</v>
      </c>
      <c r="D35" s="26" t="s">
        <v>116</v>
      </c>
      <c r="E35" s="27"/>
      <c r="F35" s="28"/>
      <c r="G35" s="29"/>
      <c r="H35" s="30"/>
      <c r="I35" s="31">
        <v>17500.0</v>
      </c>
      <c r="J35" s="32"/>
      <c r="K35" s="33"/>
      <c r="L35" s="17">
        <v>17500.0</v>
      </c>
      <c r="M35" s="18">
        <f t="shared" si="1"/>
        <v>0</v>
      </c>
    </row>
    <row r="36">
      <c r="A36" s="12">
        <v>32.0</v>
      </c>
      <c r="B36" s="26" t="s">
        <v>117</v>
      </c>
      <c r="C36" s="26">
        <v>48631.0</v>
      </c>
      <c r="D36" s="26" t="s">
        <v>118</v>
      </c>
      <c r="E36" s="27"/>
      <c r="F36" s="28"/>
      <c r="G36" s="29"/>
      <c r="H36" s="30">
        <v>10000.0</v>
      </c>
      <c r="I36" s="36"/>
      <c r="J36" s="32"/>
      <c r="K36" s="33"/>
      <c r="L36" s="17">
        <v>10000.0</v>
      </c>
      <c r="M36" s="18">
        <f t="shared" si="1"/>
        <v>0</v>
      </c>
    </row>
    <row r="37">
      <c r="A37" s="12">
        <v>33.0</v>
      </c>
      <c r="B37" s="26" t="s">
        <v>119</v>
      </c>
      <c r="C37" s="26">
        <v>42833.0</v>
      </c>
      <c r="D37" s="26" t="s">
        <v>120</v>
      </c>
      <c r="E37" s="27"/>
      <c r="F37" s="28"/>
      <c r="G37" s="29"/>
      <c r="H37" s="30">
        <v>10000.0</v>
      </c>
      <c r="I37" s="36"/>
      <c r="J37" s="32"/>
      <c r="K37" s="33"/>
      <c r="L37" s="17">
        <v>10000.0</v>
      </c>
      <c r="M37" s="18">
        <f t="shared" si="1"/>
        <v>0</v>
      </c>
    </row>
    <row r="38">
      <c r="A38" s="12">
        <v>34.0</v>
      </c>
      <c r="B38" s="26" t="s">
        <v>121</v>
      </c>
      <c r="C38" s="26">
        <v>55615.0</v>
      </c>
      <c r="D38" s="26" t="s">
        <v>122</v>
      </c>
      <c r="E38" s="27"/>
      <c r="F38" s="28"/>
      <c r="G38" s="29"/>
      <c r="H38" s="34"/>
      <c r="I38" s="31">
        <v>15000.0</v>
      </c>
      <c r="J38" s="32"/>
      <c r="K38" s="33"/>
      <c r="L38" s="17">
        <v>15000.0</v>
      </c>
      <c r="M38" s="18">
        <f t="shared" si="1"/>
        <v>0</v>
      </c>
    </row>
    <row r="39">
      <c r="A39" s="12">
        <v>35.0</v>
      </c>
      <c r="B39" s="26" t="s">
        <v>123</v>
      </c>
      <c r="C39" s="26">
        <v>48631.0</v>
      </c>
      <c r="D39" s="26" t="s">
        <v>118</v>
      </c>
      <c r="E39" s="27"/>
      <c r="F39" s="28"/>
      <c r="G39" s="29"/>
      <c r="H39" s="30">
        <v>3500.0</v>
      </c>
      <c r="I39" s="36"/>
      <c r="J39" s="32"/>
      <c r="K39" s="33"/>
      <c r="L39" s="17">
        <v>3500.0</v>
      </c>
      <c r="M39" s="18">
        <f t="shared" si="1"/>
        <v>0</v>
      </c>
    </row>
    <row r="40">
      <c r="A40" s="12">
        <v>36.0</v>
      </c>
      <c r="B40" s="26" t="s">
        <v>124</v>
      </c>
      <c r="C40" s="26">
        <v>33065.0</v>
      </c>
      <c r="D40" s="26" t="s">
        <v>36</v>
      </c>
      <c r="E40" s="27"/>
      <c r="F40" s="28"/>
      <c r="G40" s="29"/>
      <c r="H40" s="30">
        <v>5350.0</v>
      </c>
      <c r="I40" s="36"/>
      <c r="J40" s="32"/>
      <c r="K40" s="33"/>
      <c r="L40" s="17">
        <v>5350.0</v>
      </c>
      <c r="M40" s="18">
        <f t="shared" si="1"/>
        <v>0</v>
      </c>
    </row>
    <row r="41">
      <c r="A41" s="12">
        <v>37.0</v>
      </c>
      <c r="B41" s="26" t="s">
        <v>125</v>
      </c>
      <c r="C41" s="26">
        <v>48306.0</v>
      </c>
      <c r="D41" s="26" t="s">
        <v>126</v>
      </c>
      <c r="E41" s="27"/>
      <c r="F41" s="28"/>
      <c r="G41" s="29"/>
      <c r="H41" s="30">
        <v>350.0</v>
      </c>
      <c r="I41" s="36"/>
      <c r="J41" s="32"/>
      <c r="K41" s="33"/>
      <c r="L41" s="17">
        <v>350.0</v>
      </c>
      <c r="M41" s="18">
        <f t="shared" si="1"/>
        <v>0</v>
      </c>
    </row>
    <row r="42">
      <c r="A42" s="12">
        <v>38.0</v>
      </c>
      <c r="B42" s="26" t="s">
        <v>127</v>
      </c>
      <c r="C42" s="26">
        <v>48306.0</v>
      </c>
      <c r="D42" s="26" t="s">
        <v>126</v>
      </c>
      <c r="E42" s="27"/>
      <c r="F42" s="28"/>
      <c r="G42" s="29"/>
      <c r="H42" s="30">
        <v>10000.0</v>
      </c>
      <c r="I42" s="36"/>
      <c r="J42" s="32"/>
      <c r="K42" s="33"/>
      <c r="L42" s="17">
        <v>10000.0</v>
      </c>
      <c r="M42" s="18">
        <f t="shared" si="1"/>
        <v>0</v>
      </c>
    </row>
    <row r="43">
      <c r="A43" s="12">
        <v>39.0</v>
      </c>
      <c r="B43" s="26" t="s">
        <v>128</v>
      </c>
      <c r="C43" s="26">
        <v>50146.0</v>
      </c>
      <c r="D43" s="26" t="s">
        <v>129</v>
      </c>
      <c r="E43" s="27"/>
      <c r="F43" s="28"/>
      <c r="G43" s="29"/>
      <c r="H43" s="30">
        <v>50.0</v>
      </c>
      <c r="I43" s="36"/>
      <c r="J43" s="32"/>
      <c r="K43" s="33"/>
      <c r="L43" s="17">
        <v>50.0</v>
      </c>
      <c r="M43" s="18">
        <f t="shared" si="1"/>
        <v>0</v>
      </c>
    </row>
    <row r="44">
      <c r="A44" s="12">
        <v>40.0</v>
      </c>
      <c r="B44" s="26" t="s">
        <v>130</v>
      </c>
      <c r="C44" s="26">
        <v>27895.0</v>
      </c>
      <c r="D44" s="26" t="s">
        <v>131</v>
      </c>
      <c r="E44" s="27"/>
      <c r="F44" s="28"/>
      <c r="G44" s="29"/>
      <c r="H44" s="30">
        <v>5000.0</v>
      </c>
      <c r="I44" s="36"/>
      <c r="J44" s="32"/>
      <c r="K44" s="33"/>
      <c r="L44" s="17">
        <v>5000.0</v>
      </c>
      <c r="M44" s="18">
        <f t="shared" si="1"/>
        <v>0</v>
      </c>
    </row>
    <row r="45">
      <c r="A45" s="12">
        <v>41.0</v>
      </c>
      <c r="B45" s="26" t="s">
        <v>132</v>
      </c>
      <c r="C45" s="26">
        <v>55380.0</v>
      </c>
      <c r="D45" s="26" t="s">
        <v>133</v>
      </c>
      <c r="E45" s="27"/>
      <c r="F45" s="28"/>
      <c r="G45" s="29"/>
      <c r="H45" s="30">
        <v>10000.0</v>
      </c>
      <c r="I45" s="36"/>
      <c r="J45" s="32"/>
      <c r="K45" s="33"/>
      <c r="L45" s="17">
        <v>10000.0</v>
      </c>
      <c r="M45" s="18">
        <f t="shared" si="1"/>
        <v>0</v>
      </c>
    </row>
    <row r="46">
      <c r="A46" s="12">
        <v>42.0</v>
      </c>
      <c r="B46" s="26" t="s">
        <v>134</v>
      </c>
      <c r="C46" s="26">
        <v>21818.0</v>
      </c>
      <c r="D46" s="26" t="s">
        <v>69</v>
      </c>
      <c r="E46" s="27"/>
      <c r="F46" s="28"/>
      <c r="G46" s="29"/>
      <c r="H46" s="30">
        <v>1750.0</v>
      </c>
      <c r="I46" s="36"/>
      <c r="J46" s="32"/>
      <c r="K46" s="33"/>
      <c r="L46" s="17">
        <v>1750.0</v>
      </c>
      <c r="M46" s="18">
        <f t="shared" si="1"/>
        <v>0</v>
      </c>
    </row>
    <row r="47">
      <c r="A47" s="12">
        <v>43.0</v>
      </c>
      <c r="B47" s="26" t="s">
        <v>135</v>
      </c>
      <c r="C47" s="26">
        <v>54226.0</v>
      </c>
      <c r="D47" s="26" t="s">
        <v>136</v>
      </c>
      <c r="E47" s="27"/>
      <c r="F47" s="28"/>
      <c r="G47" s="29"/>
      <c r="H47" s="30">
        <v>21900.0</v>
      </c>
      <c r="I47" s="31"/>
      <c r="J47" s="32"/>
      <c r="K47" s="33"/>
      <c r="L47" s="17">
        <v>21900.0</v>
      </c>
      <c r="M47" s="18">
        <f t="shared" si="1"/>
        <v>0</v>
      </c>
    </row>
    <row r="48">
      <c r="A48" s="12">
        <v>44.0</v>
      </c>
      <c r="B48" s="26" t="s">
        <v>137</v>
      </c>
      <c r="C48" s="26">
        <v>22332.0</v>
      </c>
      <c r="D48" s="26" t="s">
        <v>138</v>
      </c>
      <c r="E48" s="27"/>
      <c r="F48" s="28"/>
      <c r="G48" s="29"/>
      <c r="H48" s="30">
        <v>3050.0</v>
      </c>
      <c r="I48" s="36"/>
      <c r="J48" s="32"/>
      <c r="K48" s="33"/>
      <c r="L48" s="17">
        <v>3050.0</v>
      </c>
      <c r="M48" s="18">
        <f t="shared" si="1"/>
        <v>0</v>
      </c>
    </row>
    <row r="49">
      <c r="A49" s="12">
        <v>45.0</v>
      </c>
      <c r="B49" s="26" t="s">
        <v>139</v>
      </c>
      <c r="C49" s="26">
        <v>55158.0</v>
      </c>
      <c r="D49" s="26" t="s">
        <v>140</v>
      </c>
      <c r="E49" s="27"/>
      <c r="F49" s="28"/>
      <c r="G49" s="29"/>
      <c r="H49" s="30">
        <v>5140.0</v>
      </c>
      <c r="I49" s="31"/>
      <c r="J49" s="32"/>
      <c r="K49" s="33"/>
      <c r="L49" s="17">
        <v>5140.0</v>
      </c>
      <c r="M49" s="18">
        <f t="shared" si="1"/>
        <v>0</v>
      </c>
    </row>
    <row r="50">
      <c r="A50" s="12">
        <v>46.0</v>
      </c>
      <c r="B50" s="26" t="s">
        <v>141</v>
      </c>
      <c r="C50" s="26">
        <v>42462.0</v>
      </c>
      <c r="D50" s="26" t="s">
        <v>142</v>
      </c>
      <c r="E50" s="27"/>
      <c r="F50" s="28"/>
      <c r="G50" s="29"/>
      <c r="H50" s="30"/>
      <c r="I50" s="31">
        <v>5000.0</v>
      </c>
      <c r="J50" s="32"/>
      <c r="K50" s="33"/>
      <c r="L50" s="17">
        <v>5000.0</v>
      </c>
      <c r="M50" s="18">
        <f t="shared" si="1"/>
        <v>0</v>
      </c>
    </row>
    <row r="51">
      <c r="A51" s="12">
        <v>47.0</v>
      </c>
      <c r="B51" s="26" t="s">
        <v>143</v>
      </c>
      <c r="C51" s="26">
        <v>43408.0</v>
      </c>
      <c r="D51" s="26" t="s">
        <v>144</v>
      </c>
      <c r="E51" s="27"/>
      <c r="F51" s="28"/>
      <c r="G51" s="29"/>
      <c r="H51" s="30"/>
      <c r="I51" s="31">
        <v>5000.0</v>
      </c>
      <c r="J51" s="32"/>
      <c r="K51" s="33"/>
      <c r="L51" s="17">
        <v>5000.0</v>
      </c>
      <c r="M51" s="18">
        <f t="shared" si="1"/>
        <v>0</v>
      </c>
    </row>
    <row r="52">
      <c r="A52" s="12">
        <v>48.0</v>
      </c>
      <c r="B52" s="26" t="s">
        <v>145</v>
      </c>
      <c r="C52" s="26">
        <v>50342.0</v>
      </c>
      <c r="D52" s="26" t="s">
        <v>146</v>
      </c>
      <c r="E52" s="27"/>
      <c r="F52" s="28"/>
      <c r="G52" s="29"/>
      <c r="H52" s="30">
        <v>98.0</v>
      </c>
      <c r="I52" s="36"/>
      <c r="J52" s="32"/>
      <c r="K52" s="33"/>
      <c r="L52" s="17">
        <v>98.0</v>
      </c>
      <c r="M52" s="18">
        <f t="shared" si="1"/>
        <v>0</v>
      </c>
    </row>
    <row r="53">
      <c r="A53" s="12">
        <v>49.0</v>
      </c>
      <c r="B53" s="26" t="s">
        <v>147</v>
      </c>
      <c r="C53" s="26">
        <v>53550.0</v>
      </c>
      <c r="D53" s="26" t="s">
        <v>148</v>
      </c>
      <c r="E53" s="27"/>
      <c r="F53" s="37"/>
      <c r="G53" s="29"/>
      <c r="H53" s="30"/>
      <c r="I53" s="31">
        <v>1600.0</v>
      </c>
      <c r="J53" s="32"/>
      <c r="K53" s="33"/>
      <c r="L53" s="17">
        <v>1600.0</v>
      </c>
      <c r="M53" s="18">
        <f t="shared" si="1"/>
        <v>0</v>
      </c>
    </row>
    <row r="54">
      <c r="A54" s="12">
        <v>50.0</v>
      </c>
      <c r="B54" s="26" t="s">
        <v>149</v>
      </c>
      <c r="C54" s="26">
        <v>53203.0</v>
      </c>
      <c r="D54" s="26" t="s">
        <v>150</v>
      </c>
      <c r="E54" s="27"/>
      <c r="F54" s="28"/>
      <c r="G54" s="29"/>
      <c r="H54" s="30"/>
      <c r="I54" s="31">
        <v>5150.0</v>
      </c>
      <c r="J54" s="32"/>
      <c r="K54" s="33"/>
      <c r="L54" s="17">
        <v>5150.0</v>
      </c>
      <c r="M54" s="18">
        <f t="shared" si="1"/>
        <v>0</v>
      </c>
    </row>
    <row r="55">
      <c r="A55" s="12">
        <v>51.0</v>
      </c>
      <c r="B55" s="26" t="s">
        <v>151</v>
      </c>
      <c r="C55" s="26">
        <v>54573.0</v>
      </c>
      <c r="D55" s="26" t="s">
        <v>152</v>
      </c>
      <c r="E55" s="27"/>
      <c r="F55" s="28"/>
      <c r="G55" s="29"/>
      <c r="H55" s="30">
        <v>5000.0</v>
      </c>
      <c r="I55" s="36"/>
      <c r="J55" s="32"/>
      <c r="K55" s="33"/>
      <c r="L55" s="17">
        <v>5000.0</v>
      </c>
      <c r="M55" s="18">
        <f t="shared" si="1"/>
        <v>0</v>
      </c>
    </row>
    <row r="56">
      <c r="A56" s="12">
        <v>52.0</v>
      </c>
      <c r="B56" s="26" t="s">
        <v>153</v>
      </c>
      <c r="C56" s="26">
        <v>31738.0</v>
      </c>
      <c r="D56" s="26" t="s">
        <v>154</v>
      </c>
      <c r="E56" s="27"/>
      <c r="F56" s="28"/>
      <c r="G56" s="29"/>
      <c r="H56" s="30">
        <v>10000.0</v>
      </c>
      <c r="I56" s="31"/>
      <c r="J56" s="32"/>
      <c r="K56" s="33"/>
      <c r="L56" s="17">
        <v>10000.0</v>
      </c>
      <c r="M56" s="18">
        <f t="shared" si="1"/>
        <v>0</v>
      </c>
    </row>
    <row r="57">
      <c r="A57" s="12">
        <v>53.0</v>
      </c>
      <c r="B57" s="26" t="s">
        <v>155</v>
      </c>
      <c r="C57" s="26">
        <v>50136.0</v>
      </c>
      <c r="D57" s="26" t="s">
        <v>156</v>
      </c>
      <c r="E57" s="27"/>
      <c r="F57" s="28"/>
      <c r="G57" s="29"/>
      <c r="H57" s="30">
        <v>5000.0</v>
      </c>
      <c r="I57" s="31"/>
      <c r="J57" s="32"/>
      <c r="K57" s="33"/>
      <c r="L57" s="17">
        <v>5000.0</v>
      </c>
      <c r="M57" s="18">
        <f t="shared" si="1"/>
        <v>0</v>
      </c>
    </row>
    <row r="58">
      <c r="A58" s="12">
        <v>54.0</v>
      </c>
      <c r="B58" s="26" t="s">
        <v>157</v>
      </c>
      <c r="C58" s="26">
        <v>50595.0</v>
      </c>
      <c r="D58" s="26" t="s">
        <v>158</v>
      </c>
      <c r="E58" s="27"/>
      <c r="F58" s="28"/>
      <c r="G58" s="29"/>
      <c r="H58" s="30">
        <v>25000.0</v>
      </c>
      <c r="I58" s="36"/>
      <c r="J58" s="32"/>
      <c r="K58" s="33"/>
      <c r="L58" s="17">
        <v>25000.0</v>
      </c>
      <c r="M58" s="18">
        <f t="shared" si="1"/>
        <v>0</v>
      </c>
    </row>
    <row r="59">
      <c r="A59" s="12">
        <v>55.0</v>
      </c>
      <c r="B59" s="26" t="s">
        <v>159</v>
      </c>
      <c r="C59" s="26">
        <v>54276.0</v>
      </c>
      <c r="D59" s="26" t="s">
        <v>160</v>
      </c>
      <c r="E59" s="27"/>
      <c r="F59" s="28"/>
      <c r="G59" s="29"/>
      <c r="H59" s="30">
        <v>5000.0</v>
      </c>
      <c r="I59" s="31"/>
      <c r="J59" s="32"/>
      <c r="K59" s="33"/>
      <c r="L59" s="17">
        <v>5000.0</v>
      </c>
      <c r="M59" s="18">
        <f t="shared" si="1"/>
        <v>0</v>
      </c>
    </row>
    <row r="60">
      <c r="A60" s="12">
        <v>56.0</v>
      </c>
      <c r="B60" s="26" t="s">
        <v>161</v>
      </c>
      <c r="C60" s="26">
        <v>22727.0</v>
      </c>
      <c r="D60" s="26" t="s">
        <v>162</v>
      </c>
      <c r="E60" s="27"/>
      <c r="F60" s="28"/>
      <c r="G60" s="29"/>
      <c r="H60" s="30">
        <v>4750.0</v>
      </c>
      <c r="I60" s="31"/>
      <c r="J60" s="32"/>
      <c r="K60" s="33"/>
      <c r="L60" s="17">
        <v>4750.0</v>
      </c>
      <c r="M60" s="18">
        <f t="shared" si="1"/>
        <v>0</v>
      </c>
    </row>
    <row r="61">
      <c r="A61" s="12">
        <v>57.0</v>
      </c>
      <c r="B61" s="26" t="s">
        <v>163</v>
      </c>
      <c r="C61" s="26">
        <v>54573.0</v>
      </c>
      <c r="D61" s="26" t="s">
        <v>152</v>
      </c>
      <c r="E61" s="27"/>
      <c r="F61" s="28"/>
      <c r="G61" s="29"/>
      <c r="H61" s="30">
        <v>5000.0</v>
      </c>
      <c r="I61" s="31"/>
      <c r="J61" s="32"/>
      <c r="K61" s="33"/>
      <c r="L61" s="17">
        <v>5000.0</v>
      </c>
      <c r="M61" s="18">
        <f t="shared" si="1"/>
        <v>0</v>
      </c>
    </row>
    <row r="62">
      <c r="A62" s="12">
        <v>58.0</v>
      </c>
      <c r="B62" s="26" t="s">
        <v>164</v>
      </c>
      <c r="C62" s="26">
        <v>55627.0</v>
      </c>
      <c r="D62" s="26" t="s">
        <v>165</v>
      </c>
      <c r="E62" s="27"/>
      <c r="F62" s="28"/>
      <c r="G62" s="29"/>
      <c r="H62" s="30"/>
      <c r="I62" s="31">
        <v>5000.0</v>
      </c>
      <c r="J62" s="32"/>
      <c r="K62" s="33"/>
      <c r="L62" s="17">
        <v>5000.0</v>
      </c>
      <c r="M62" s="18">
        <f t="shared" si="1"/>
        <v>0</v>
      </c>
    </row>
    <row r="63">
      <c r="A63" s="12">
        <v>59.0</v>
      </c>
      <c r="B63" s="26" t="s">
        <v>166</v>
      </c>
      <c r="C63" s="26">
        <v>55627.0</v>
      </c>
      <c r="D63" s="26" t="s">
        <v>165</v>
      </c>
      <c r="E63" s="27"/>
      <c r="F63" s="28"/>
      <c r="G63" s="29"/>
      <c r="H63" s="30"/>
      <c r="I63" s="31">
        <v>5000.0</v>
      </c>
      <c r="J63" s="32"/>
      <c r="K63" s="33"/>
      <c r="L63" s="17">
        <v>5000.0</v>
      </c>
      <c r="M63" s="18">
        <f t="shared" si="1"/>
        <v>0</v>
      </c>
    </row>
    <row r="64">
      <c r="A64" s="12">
        <v>60.0</v>
      </c>
      <c r="B64" s="26" t="s">
        <v>167</v>
      </c>
      <c r="C64" s="26">
        <v>53064.0</v>
      </c>
      <c r="D64" s="26" t="s">
        <v>168</v>
      </c>
      <c r="E64" s="27"/>
      <c r="F64" s="28"/>
      <c r="G64" s="29"/>
      <c r="H64" s="30"/>
      <c r="I64" s="31">
        <v>5150.0</v>
      </c>
      <c r="J64" s="32"/>
      <c r="K64" s="33"/>
      <c r="L64" s="17">
        <v>5150.0</v>
      </c>
      <c r="M64" s="18">
        <f t="shared" si="1"/>
        <v>0</v>
      </c>
    </row>
    <row r="65">
      <c r="A65" s="12">
        <v>61.0</v>
      </c>
      <c r="B65" s="26" t="s">
        <v>169</v>
      </c>
      <c r="C65" s="26">
        <v>55162.0</v>
      </c>
      <c r="D65" s="26" t="s">
        <v>170</v>
      </c>
      <c r="E65" s="27"/>
      <c r="F65" s="28"/>
      <c r="G65" s="29"/>
      <c r="H65" s="30"/>
      <c r="I65" s="31">
        <v>25000.0</v>
      </c>
      <c r="J65" s="32"/>
      <c r="K65" s="33"/>
      <c r="L65" s="17">
        <v>25000.0</v>
      </c>
      <c r="M65" s="18">
        <f t="shared" si="1"/>
        <v>0</v>
      </c>
    </row>
    <row r="66">
      <c r="A66" s="12">
        <v>62.0</v>
      </c>
      <c r="B66" s="26" t="s">
        <v>171</v>
      </c>
      <c r="C66" s="26">
        <v>36555.0</v>
      </c>
      <c r="D66" s="26" t="s">
        <v>172</v>
      </c>
      <c r="E66" s="27"/>
      <c r="F66" s="28"/>
      <c r="G66" s="29"/>
      <c r="H66" s="30">
        <v>1450.0</v>
      </c>
      <c r="I66" s="36"/>
      <c r="J66" s="32"/>
      <c r="K66" s="33"/>
      <c r="L66" s="17">
        <v>1450.0</v>
      </c>
      <c r="M66" s="18">
        <f t="shared" si="1"/>
        <v>0</v>
      </c>
    </row>
    <row r="67">
      <c r="A67" s="12">
        <v>63.0</v>
      </c>
      <c r="B67" s="26" t="s">
        <v>173</v>
      </c>
      <c r="C67" s="26">
        <v>29621.0</v>
      </c>
      <c r="D67" s="26" t="s">
        <v>174</v>
      </c>
      <c r="E67" s="27"/>
      <c r="F67" s="28"/>
      <c r="G67" s="29"/>
      <c r="H67" s="30">
        <v>15000.0</v>
      </c>
      <c r="I67" s="36"/>
      <c r="J67" s="32"/>
      <c r="K67" s="33"/>
      <c r="L67" s="17">
        <v>15000.0</v>
      </c>
      <c r="M67" s="18">
        <f t="shared" si="1"/>
        <v>0</v>
      </c>
    </row>
    <row r="68">
      <c r="A68" s="12">
        <v>64.0</v>
      </c>
      <c r="B68" s="26" t="s">
        <v>175</v>
      </c>
      <c r="C68" s="26">
        <v>22280.0</v>
      </c>
      <c r="D68" s="26" t="s">
        <v>176</v>
      </c>
      <c r="E68" s="27"/>
      <c r="F68" s="28"/>
      <c r="G68" s="29"/>
      <c r="H68" s="30">
        <v>4500.0</v>
      </c>
      <c r="I68" s="36"/>
      <c r="J68" s="32"/>
      <c r="K68" s="33"/>
      <c r="L68" s="17">
        <v>4500.0</v>
      </c>
      <c r="M68" s="18">
        <f t="shared" si="1"/>
        <v>0</v>
      </c>
    </row>
    <row r="69">
      <c r="A69" s="12">
        <v>65.0</v>
      </c>
      <c r="B69" s="26" t="s">
        <v>177</v>
      </c>
      <c r="C69" s="26">
        <v>22280.0</v>
      </c>
      <c r="D69" s="26" t="s">
        <v>176</v>
      </c>
      <c r="E69" s="27"/>
      <c r="F69" s="28"/>
      <c r="G69" s="29"/>
      <c r="H69" s="30">
        <v>3600.0</v>
      </c>
      <c r="I69" s="36"/>
      <c r="J69" s="32"/>
      <c r="K69" s="33"/>
      <c r="L69" s="17">
        <v>3600.0</v>
      </c>
      <c r="M69" s="18">
        <f t="shared" si="1"/>
        <v>0</v>
      </c>
    </row>
    <row r="70">
      <c r="A70" s="12">
        <v>66.0</v>
      </c>
      <c r="B70" s="26" t="s">
        <v>178</v>
      </c>
      <c r="C70" s="26">
        <v>50474.0</v>
      </c>
      <c r="D70" s="26" t="s">
        <v>179</v>
      </c>
      <c r="E70" s="27"/>
      <c r="F70" s="28"/>
      <c r="G70" s="29"/>
      <c r="H70" s="30"/>
      <c r="I70" s="31">
        <v>30000.0</v>
      </c>
      <c r="J70" s="32"/>
      <c r="K70" s="33"/>
      <c r="L70" s="17">
        <v>30000.0</v>
      </c>
      <c r="M70" s="18">
        <f t="shared" si="1"/>
        <v>0</v>
      </c>
    </row>
    <row r="71">
      <c r="A71" s="12">
        <v>67.0</v>
      </c>
      <c r="B71" s="26" t="s">
        <v>180</v>
      </c>
      <c r="C71" s="26">
        <v>56173.0</v>
      </c>
      <c r="D71" s="26" t="s">
        <v>181</v>
      </c>
      <c r="E71" s="38"/>
      <c r="F71" s="28"/>
      <c r="G71" s="29"/>
      <c r="H71" s="30"/>
      <c r="I71" s="31">
        <v>8750.0</v>
      </c>
      <c r="J71" s="32"/>
      <c r="K71" s="33"/>
      <c r="L71" s="17">
        <v>8750.0</v>
      </c>
      <c r="M71" s="18">
        <f t="shared" si="1"/>
        <v>0</v>
      </c>
    </row>
    <row r="72">
      <c r="A72" s="12">
        <v>68.0</v>
      </c>
      <c r="B72" s="26" t="s">
        <v>182</v>
      </c>
      <c r="C72" s="26">
        <v>31927.0</v>
      </c>
      <c r="D72" s="26" t="s">
        <v>183</v>
      </c>
      <c r="E72" s="38"/>
      <c r="F72" s="28"/>
      <c r="G72" s="29"/>
      <c r="H72" s="30">
        <v>1750.0</v>
      </c>
      <c r="I72" s="36"/>
      <c r="J72" s="32"/>
      <c r="K72" s="33"/>
      <c r="L72" s="17">
        <v>1750.0</v>
      </c>
      <c r="M72" s="18">
        <f t="shared" si="1"/>
        <v>0</v>
      </c>
    </row>
    <row r="73">
      <c r="A73" s="12">
        <v>69.0</v>
      </c>
      <c r="B73" s="26" t="s">
        <v>184</v>
      </c>
      <c r="C73" s="26">
        <v>39317.0</v>
      </c>
      <c r="D73" s="26" t="s">
        <v>84</v>
      </c>
      <c r="E73" s="27"/>
      <c r="F73" s="28"/>
      <c r="G73" s="29"/>
      <c r="H73" s="30"/>
      <c r="I73" s="31">
        <v>15000.0</v>
      </c>
      <c r="J73" s="32"/>
      <c r="K73" s="33"/>
      <c r="L73" s="17">
        <v>15000.0</v>
      </c>
      <c r="M73" s="18">
        <f t="shared" si="1"/>
        <v>0</v>
      </c>
    </row>
    <row r="74">
      <c r="A74" s="12">
        <v>70.0</v>
      </c>
      <c r="B74" s="26" t="s">
        <v>185</v>
      </c>
      <c r="C74" s="26">
        <v>56847.0</v>
      </c>
      <c r="D74" s="26" t="s">
        <v>186</v>
      </c>
      <c r="E74" s="27"/>
      <c r="F74" s="28"/>
      <c r="G74" s="29"/>
      <c r="H74" s="30"/>
      <c r="I74" s="31">
        <v>10000.0</v>
      </c>
      <c r="J74" s="32"/>
      <c r="K74" s="33"/>
      <c r="L74" s="17">
        <v>10000.0</v>
      </c>
      <c r="M74" s="18">
        <f t="shared" si="1"/>
        <v>0</v>
      </c>
    </row>
    <row r="75">
      <c r="A75" s="12">
        <v>71.0</v>
      </c>
      <c r="B75" s="26" t="s">
        <v>187</v>
      </c>
      <c r="C75" s="26">
        <v>25026.0</v>
      </c>
      <c r="D75" s="26" t="s">
        <v>188</v>
      </c>
      <c r="E75" s="27"/>
      <c r="F75" s="28"/>
      <c r="G75" s="29"/>
      <c r="H75" s="30">
        <v>3700.0</v>
      </c>
      <c r="I75" s="36"/>
      <c r="J75" s="32"/>
      <c r="K75" s="33"/>
      <c r="L75" s="17">
        <v>3700.0</v>
      </c>
      <c r="M75" s="18">
        <f t="shared" si="1"/>
        <v>0</v>
      </c>
    </row>
    <row r="76">
      <c r="A76" s="12">
        <v>72.0</v>
      </c>
      <c r="B76" s="26" t="s">
        <v>189</v>
      </c>
      <c r="C76" s="26">
        <v>30908.0</v>
      </c>
      <c r="D76" s="26" t="s">
        <v>190</v>
      </c>
      <c r="E76" s="27"/>
      <c r="F76" s="37">
        <v>500.0</v>
      </c>
      <c r="G76" s="29"/>
      <c r="H76" s="30"/>
      <c r="I76" s="36"/>
      <c r="J76" s="32"/>
      <c r="K76" s="33"/>
      <c r="L76" s="17">
        <v>500.0</v>
      </c>
      <c r="M76" s="18">
        <f t="shared" si="1"/>
        <v>0</v>
      </c>
    </row>
    <row r="77">
      <c r="A77" s="12">
        <v>73.0</v>
      </c>
      <c r="B77" s="26" t="s">
        <v>191</v>
      </c>
      <c r="C77" s="26">
        <v>25376.0</v>
      </c>
      <c r="D77" s="26" t="s">
        <v>192</v>
      </c>
      <c r="E77" s="27"/>
      <c r="F77" s="37">
        <v>1000.0</v>
      </c>
      <c r="G77" s="29"/>
      <c r="H77" s="30"/>
      <c r="I77" s="36"/>
      <c r="J77" s="32"/>
      <c r="K77" s="33"/>
      <c r="L77" s="17">
        <v>1000.0</v>
      </c>
      <c r="M77" s="18">
        <f t="shared" si="1"/>
        <v>0</v>
      </c>
    </row>
    <row r="78">
      <c r="A78" s="12">
        <v>74.0</v>
      </c>
      <c r="B78" s="26" t="s">
        <v>193</v>
      </c>
      <c r="C78" s="26">
        <v>57418.0</v>
      </c>
      <c r="D78" s="26" t="s">
        <v>194</v>
      </c>
      <c r="E78" s="27"/>
      <c r="F78" s="28"/>
      <c r="G78" s="29"/>
      <c r="H78" s="30">
        <v>27000.0</v>
      </c>
      <c r="I78" s="36"/>
      <c r="J78" s="32"/>
      <c r="K78" s="33"/>
      <c r="L78" s="17">
        <v>27000.0</v>
      </c>
      <c r="M78" s="18">
        <f t="shared" si="1"/>
        <v>0</v>
      </c>
    </row>
    <row r="79">
      <c r="A79" s="12">
        <v>75.0</v>
      </c>
      <c r="B79" s="26" t="s">
        <v>195</v>
      </c>
      <c r="C79" s="26">
        <v>51040.0</v>
      </c>
      <c r="D79" s="26" t="s">
        <v>196</v>
      </c>
      <c r="E79" s="27"/>
      <c r="F79" s="37">
        <v>34500.0</v>
      </c>
      <c r="G79" s="29"/>
      <c r="H79" s="30"/>
      <c r="I79" s="36"/>
      <c r="J79" s="32"/>
      <c r="K79" s="33"/>
      <c r="L79" s="17">
        <v>34500.0</v>
      </c>
      <c r="M79" s="18">
        <f t="shared" si="1"/>
        <v>0</v>
      </c>
    </row>
    <row r="80">
      <c r="A80" s="12">
        <v>76.0</v>
      </c>
      <c r="B80" s="26" t="s">
        <v>197</v>
      </c>
      <c r="C80" s="26">
        <v>46778.0</v>
      </c>
      <c r="D80" s="26" t="s">
        <v>109</v>
      </c>
      <c r="E80" s="27"/>
      <c r="F80" s="28"/>
      <c r="G80" s="29"/>
      <c r="H80" s="30"/>
      <c r="I80" s="31">
        <v>10050.0</v>
      </c>
      <c r="J80" s="32"/>
      <c r="K80" s="33"/>
      <c r="L80" s="17">
        <v>10050.0</v>
      </c>
      <c r="M80" s="18">
        <f t="shared" si="1"/>
        <v>0</v>
      </c>
    </row>
    <row r="81">
      <c r="A81" s="12">
        <v>77.0</v>
      </c>
      <c r="B81" s="26" t="s">
        <v>198</v>
      </c>
      <c r="C81" s="26">
        <v>42071.0</v>
      </c>
      <c r="D81" s="26" t="s">
        <v>30</v>
      </c>
      <c r="E81" s="27"/>
      <c r="F81" s="28"/>
      <c r="G81" s="29"/>
      <c r="H81" s="30"/>
      <c r="I81" s="31">
        <v>502.0</v>
      </c>
      <c r="J81" s="32"/>
      <c r="K81" s="33"/>
      <c r="L81" s="17">
        <v>502.0</v>
      </c>
      <c r="M81" s="18">
        <f t="shared" si="1"/>
        <v>0</v>
      </c>
    </row>
    <row r="82">
      <c r="A82" s="12">
        <v>78.0</v>
      </c>
      <c r="B82" s="26" t="s">
        <v>199</v>
      </c>
      <c r="C82" s="26">
        <v>57434.0</v>
      </c>
      <c r="D82" s="26" t="s">
        <v>200</v>
      </c>
      <c r="E82" s="27"/>
      <c r="F82" s="28"/>
      <c r="G82" s="29"/>
      <c r="H82" s="30"/>
      <c r="I82" s="31">
        <v>27000.0</v>
      </c>
      <c r="J82" s="32"/>
      <c r="K82" s="33"/>
      <c r="L82" s="17">
        <v>27000.0</v>
      </c>
      <c r="M82" s="18">
        <f t="shared" si="1"/>
        <v>0</v>
      </c>
    </row>
    <row r="83">
      <c r="A83" s="12">
        <v>79.0</v>
      </c>
      <c r="B83" s="26" t="s">
        <v>201</v>
      </c>
      <c r="C83" s="26">
        <v>57437.0</v>
      </c>
      <c r="D83" s="26" t="s">
        <v>202</v>
      </c>
      <c r="E83" s="38"/>
      <c r="F83" s="28"/>
      <c r="G83" s="29"/>
      <c r="H83" s="34"/>
      <c r="I83" s="31">
        <v>27000.0</v>
      </c>
      <c r="J83" s="32"/>
      <c r="K83" s="33"/>
      <c r="L83" s="17">
        <v>27000.0</v>
      </c>
      <c r="M83" s="18">
        <f t="shared" si="1"/>
        <v>0</v>
      </c>
    </row>
    <row r="84">
      <c r="A84" s="12">
        <v>80.0</v>
      </c>
      <c r="B84" s="26" t="s">
        <v>203</v>
      </c>
      <c r="C84" s="26">
        <v>30909.0</v>
      </c>
      <c r="D84" s="26" t="s">
        <v>204</v>
      </c>
      <c r="E84" s="27"/>
      <c r="F84" s="37">
        <v>10500.0</v>
      </c>
      <c r="G84" s="29"/>
      <c r="H84" s="30"/>
      <c r="I84" s="36"/>
      <c r="J84" s="32"/>
      <c r="K84" s="33"/>
      <c r="L84" s="17">
        <v>10500.0</v>
      </c>
      <c r="M84" s="18">
        <f t="shared" si="1"/>
        <v>0</v>
      </c>
    </row>
    <row r="85">
      <c r="A85" s="12">
        <v>81.0</v>
      </c>
      <c r="B85" s="26" t="s">
        <v>205</v>
      </c>
      <c r="C85" s="26">
        <v>57435.0</v>
      </c>
      <c r="D85" s="26" t="s">
        <v>206</v>
      </c>
      <c r="E85" s="27"/>
      <c r="F85" s="28"/>
      <c r="G85" s="29"/>
      <c r="H85" s="34"/>
      <c r="I85" s="31">
        <v>27000.0</v>
      </c>
      <c r="J85" s="32"/>
      <c r="K85" s="33"/>
      <c r="L85" s="17">
        <v>27000.0</v>
      </c>
      <c r="M85" s="18">
        <f t="shared" si="1"/>
        <v>0</v>
      </c>
    </row>
    <row r="86">
      <c r="A86" s="12">
        <v>82.0</v>
      </c>
      <c r="B86" s="26" t="s">
        <v>207</v>
      </c>
      <c r="C86" s="26">
        <v>49655.0</v>
      </c>
      <c r="D86" s="26" t="s">
        <v>208</v>
      </c>
      <c r="E86" s="27"/>
      <c r="F86" s="28"/>
      <c r="G86" s="29"/>
      <c r="H86" s="30"/>
      <c r="I86" s="31">
        <v>1750.0</v>
      </c>
      <c r="J86" s="32"/>
      <c r="K86" s="33"/>
      <c r="L86" s="17">
        <v>1750.0</v>
      </c>
      <c r="M86" s="18">
        <f t="shared" si="1"/>
        <v>0</v>
      </c>
    </row>
    <row r="87">
      <c r="A87" s="12">
        <v>83.0</v>
      </c>
      <c r="B87" s="26" t="s">
        <v>209</v>
      </c>
      <c r="C87" s="26">
        <v>14329.0</v>
      </c>
      <c r="D87" s="26" t="s">
        <v>210</v>
      </c>
      <c r="E87" s="27"/>
      <c r="F87" s="28"/>
      <c r="G87" s="29"/>
      <c r="H87" s="34"/>
      <c r="I87" s="31">
        <v>5000.0</v>
      </c>
      <c r="J87" s="32"/>
      <c r="K87" s="33"/>
      <c r="L87" s="17">
        <v>5000.0</v>
      </c>
      <c r="M87" s="18">
        <f t="shared" si="1"/>
        <v>0</v>
      </c>
    </row>
    <row r="88">
      <c r="A88" s="12">
        <v>84.0</v>
      </c>
      <c r="B88" s="26" t="s">
        <v>211</v>
      </c>
      <c r="C88" s="26">
        <v>14329.0</v>
      </c>
      <c r="D88" s="26" t="s">
        <v>210</v>
      </c>
      <c r="E88" s="27"/>
      <c r="F88" s="28"/>
      <c r="G88" s="29"/>
      <c r="H88" s="30"/>
      <c r="I88" s="31">
        <v>2650.0</v>
      </c>
      <c r="J88" s="32"/>
      <c r="K88" s="33"/>
      <c r="L88" s="17">
        <v>2650.0</v>
      </c>
      <c r="M88" s="18">
        <f t="shared" si="1"/>
        <v>0</v>
      </c>
    </row>
    <row r="89">
      <c r="A89" s="12">
        <v>85.0</v>
      </c>
      <c r="B89" s="26" t="s">
        <v>212</v>
      </c>
      <c r="C89" s="26">
        <v>31738.0</v>
      </c>
      <c r="D89" s="26" t="s">
        <v>154</v>
      </c>
      <c r="E89" s="27"/>
      <c r="F89" s="28"/>
      <c r="G89" s="29"/>
      <c r="H89" s="30"/>
      <c r="I89" s="36"/>
      <c r="J89" s="35">
        <v>5000.0</v>
      </c>
      <c r="K89" s="33"/>
      <c r="L89" s="17">
        <v>5000.0</v>
      </c>
      <c r="M89" s="18">
        <f t="shared" si="1"/>
        <v>0</v>
      </c>
    </row>
    <row r="90">
      <c r="A90" s="12">
        <v>86.0</v>
      </c>
      <c r="B90" s="26" t="s">
        <v>213</v>
      </c>
      <c r="C90" s="26">
        <v>31738.0</v>
      </c>
      <c r="D90" s="26" t="s">
        <v>154</v>
      </c>
      <c r="E90" s="27"/>
      <c r="F90" s="28"/>
      <c r="G90" s="29"/>
      <c r="H90" s="30"/>
      <c r="I90" s="36"/>
      <c r="J90" s="35">
        <v>5000.0</v>
      </c>
      <c r="K90" s="33"/>
      <c r="L90" s="17">
        <v>5000.0</v>
      </c>
      <c r="M90" s="18">
        <f t="shared" si="1"/>
        <v>0</v>
      </c>
    </row>
    <row r="91">
      <c r="A91" s="12">
        <v>87.0</v>
      </c>
      <c r="B91" s="26" t="s">
        <v>214</v>
      </c>
      <c r="C91" s="26">
        <v>44168.0</v>
      </c>
      <c r="D91" s="26" t="s">
        <v>55</v>
      </c>
      <c r="E91" s="27"/>
      <c r="F91" s="28"/>
      <c r="G91" s="29"/>
      <c r="H91" s="30">
        <v>1527.0</v>
      </c>
      <c r="I91" s="31"/>
      <c r="J91" s="32"/>
      <c r="K91" s="33"/>
      <c r="L91" s="17">
        <v>1527.0</v>
      </c>
      <c r="M91" s="18">
        <f t="shared" si="1"/>
        <v>0</v>
      </c>
    </row>
    <row r="92">
      <c r="A92" s="12">
        <v>88.0</v>
      </c>
      <c r="B92" s="26" t="s">
        <v>215</v>
      </c>
      <c r="C92" s="26">
        <v>35245.0</v>
      </c>
      <c r="D92" s="26" t="s">
        <v>34</v>
      </c>
      <c r="E92" s="27"/>
      <c r="F92" s="28"/>
      <c r="G92" s="29"/>
      <c r="H92" s="30">
        <v>15000.0</v>
      </c>
      <c r="I92" s="31"/>
      <c r="J92" s="32"/>
      <c r="K92" s="33"/>
      <c r="L92" s="17">
        <v>15000.0</v>
      </c>
      <c r="M92" s="18">
        <f t="shared" si="1"/>
        <v>0</v>
      </c>
    </row>
    <row r="93">
      <c r="A93" s="12">
        <v>89.0</v>
      </c>
      <c r="B93" s="26" t="s">
        <v>216</v>
      </c>
      <c r="C93" s="26">
        <v>21818.0</v>
      </c>
      <c r="D93" s="26" t="s">
        <v>69</v>
      </c>
      <c r="E93" s="27"/>
      <c r="F93" s="28"/>
      <c r="G93" s="29"/>
      <c r="H93" s="30"/>
      <c r="I93" s="36"/>
      <c r="J93" s="35">
        <v>7400.0</v>
      </c>
      <c r="K93" s="33"/>
      <c r="L93" s="17">
        <v>7400.0</v>
      </c>
      <c r="M93" s="18">
        <f t="shared" si="1"/>
        <v>0</v>
      </c>
    </row>
    <row r="94">
      <c r="A94" s="12">
        <v>90.0</v>
      </c>
      <c r="B94" s="26" t="s">
        <v>217</v>
      </c>
      <c r="C94" s="26">
        <v>10001.0</v>
      </c>
      <c r="D94" s="26" t="s">
        <v>218</v>
      </c>
      <c r="E94" s="27"/>
      <c r="F94" s="28"/>
      <c r="G94" s="29"/>
      <c r="H94" s="30"/>
      <c r="I94" s="31">
        <v>2500.0</v>
      </c>
      <c r="J94" s="32"/>
      <c r="K94" s="33"/>
      <c r="L94" s="17">
        <v>2500.0</v>
      </c>
      <c r="M94" s="18">
        <f t="shared" si="1"/>
        <v>0</v>
      </c>
    </row>
    <row r="95">
      <c r="A95" s="12">
        <v>91.0</v>
      </c>
      <c r="B95" s="26" t="s">
        <v>219</v>
      </c>
      <c r="C95" s="26">
        <v>21971.0</v>
      </c>
      <c r="D95" s="26" t="s">
        <v>220</v>
      </c>
      <c r="E95" s="38">
        <v>500.0</v>
      </c>
      <c r="F95" s="28"/>
      <c r="G95" s="29"/>
      <c r="H95" s="30"/>
      <c r="I95" s="31"/>
      <c r="J95" s="32"/>
      <c r="K95" s="33"/>
      <c r="L95" s="17">
        <v>500.0</v>
      </c>
      <c r="M95" s="18">
        <f t="shared" si="1"/>
        <v>0</v>
      </c>
    </row>
    <row r="96">
      <c r="A96" s="12">
        <v>92.0</v>
      </c>
      <c r="B96" s="26" t="s">
        <v>221</v>
      </c>
      <c r="C96" s="26">
        <v>10001.0</v>
      </c>
      <c r="D96" s="26" t="s">
        <v>218</v>
      </c>
      <c r="E96" s="38">
        <v>600.0</v>
      </c>
      <c r="F96" s="28"/>
      <c r="G96" s="29"/>
      <c r="H96" s="34"/>
      <c r="I96" s="31"/>
      <c r="J96" s="32"/>
      <c r="K96" s="33"/>
      <c r="L96" s="17">
        <v>600.0</v>
      </c>
      <c r="M96" s="18">
        <f t="shared" si="1"/>
        <v>0</v>
      </c>
    </row>
    <row r="97">
      <c r="A97" s="12">
        <v>93.0</v>
      </c>
      <c r="B97" s="26" t="s">
        <v>222</v>
      </c>
      <c r="C97" s="26">
        <v>21818.0</v>
      </c>
      <c r="D97" s="26" t="s">
        <v>69</v>
      </c>
      <c r="E97" s="27"/>
      <c r="F97" s="28"/>
      <c r="G97" s="29"/>
      <c r="H97" s="30">
        <v>15000.0</v>
      </c>
      <c r="I97" s="31"/>
      <c r="J97" s="32"/>
      <c r="K97" s="33"/>
      <c r="L97" s="17">
        <v>15000.0</v>
      </c>
      <c r="M97" s="18">
        <f t="shared" si="1"/>
        <v>0</v>
      </c>
    </row>
    <row r="98">
      <c r="A98" s="12">
        <v>94.0</v>
      </c>
      <c r="B98" s="26" t="s">
        <v>223</v>
      </c>
      <c r="C98" s="26">
        <v>10037.0</v>
      </c>
      <c r="D98" s="26" t="s">
        <v>224</v>
      </c>
      <c r="E98" s="27"/>
      <c r="F98" s="28"/>
      <c r="G98" s="29"/>
      <c r="H98" s="30">
        <v>500.0</v>
      </c>
      <c r="I98" s="31"/>
      <c r="J98" s="32"/>
      <c r="K98" s="33"/>
      <c r="L98" s="17">
        <v>500.0</v>
      </c>
      <c r="M98" s="18">
        <f t="shared" si="1"/>
        <v>0</v>
      </c>
    </row>
    <row r="99">
      <c r="A99" s="12">
        <v>95.0</v>
      </c>
      <c r="B99" s="26" t="s">
        <v>225</v>
      </c>
      <c r="C99" s="26">
        <v>26005.0</v>
      </c>
      <c r="D99" s="26" t="s">
        <v>86</v>
      </c>
      <c r="E99" s="27"/>
      <c r="F99" s="28"/>
      <c r="G99" s="29"/>
      <c r="H99" s="30">
        <v>500.0</v>
      </c>
      <c r="I99" s="31"/>
      <c r="J99" s="32"/>
      <c r="K99" s="33"/>
      <c r="L99" s="17">
        <v>500.0</v>
      </c>
      <c r="M99" s="18">
        <f t="shared" si="1"/>
        <v>0</v>
      </c>
    </row>
    <row r="100">
      <c r="A100" s="12">
        <v>96.0</v>
      </c>
      <c r="B100" s="26" t="s">
        <v>226</v>
      </c>
      <c r="C100" s="26">
        <v>49191.0</v>
      </c>
      <c r="D100" s="26" t="s">
        <v>227</v>
      </c>
      <c r="E100" s="27"/>
      <c r="F100" s="37">
        <v>3600.0</v>
      </c>
      <c r="G100" s="29"/>
      <c r="H100" s="30"/>
      <c r="I100" s="36"/>
      <c r="J100" s="32"/>
      <c r="K100" s="33"/>
      <c r="L100" s="17">
        <v>3600.0</v>
      </c>
      <c r="M100" s="18">
        <f t="shared" si="1"/>
        <v>0</v>
      </c>
    </row>
    <row r="101">
      <c r="A101" s="12">
        <v>97.0</v>
      </c>
      <c r="B101" s="26" t="s">
        <v>228</v>
      </c>
      <c r="C101" s="26">
        <v>51256.0</v>
      </c>
      <c r="D101" s="26" t="s">
        <v>229</v>
      </c>
      <c r="E101" s="27"/>
      <c r="F101" s="37">
        <v>5450.0</v>
      </c>
      <c r="G101" s="29"/>
      <c r="H101" s="34"/>
      <c r="I101" s="31"/>
      <c r="J101" s="32"/>
      <c r="K101" s="33"/>
      <c r="L101" s="17">
        <v>5450.0</v>
      </c>
      <c r="M101" s="18">
        <f t="shared" si="1"/>
        <v>0</v>
      </c>
    </row>
    <row r="102">
      <c r="A102" s="12">
        <v>98.0</v>
      </c>
      <c r="B102" s="26" t="s">
        <v>230</v>
      </c>
      <c r="C102" s="26">
        <v>46970.0</v>
      </c>
      <c r="D102" s="26" t="s">
        <v>231</v>
      </c>
      <c r="E102" s="27"/>
      <c r="F102" s="37">
        <v>5000.0</v>
      </c>
      <c r="G102" s="29"/>
      <c r="H102" s="30"/>
      <c r="I102" s="36"/>
      <c r="J102" s="32"/>
      <c r="K102" s="33"/>
      <c r="L102" s="17">
        <v>5000.0</v>
      </c>
      <c r="M102" s="18">
        <f t="shared" si="1"/>
        <v>0</v>
      </c>
    </row>
    <row r="103">
      <c r="A103" s="12">
        <v>99.0</v>
      </c>
      <c r="B103" s="26" t="s">
        <v>232</v>
      </c>
      <c r="C103" s="26">
        <v>52032.0</v>
      </c>
      <c r="D103" s="26" t="s">
        <v>233</v>
      </c>
      <c r="E103" s="27"/>
      <c r="F103" s="28"/>
      <c r="G103" s="29"/>
      <c r="H103" s="30"/>
      <c r="I103" s="31">
        <v>350.0</v>
      </c>
      <c r="J103" s="32"/>
      <c r="K103" s="33"/>
      <c r="L103" s="17">
        <v>12050.0</v>
      </c>
      <c r="M103" s="18">
        <f t="shared" si="1"/>
        <v>-11700</v>
      </c>
    </row>
    <row r="104">
      <c r="A104" s="12">
        <v>100.0</v>
      </c>
      <c r="B104" s="26" t="s">
        <v>234</v>
      </c>
      <c r="C104" s="26">
        <v>50306.0</v>
      </c>
      <c r="D104" s="26" t="s">
        <v>235</v>
      </c>
      <c r="E104" s="27"/>
      <c r="F104" s="28"/>
      <c r="G104" s="29"/>
      <c r="H104" s="30">
        <v>5000.0</v>
      </c>
      <c r="I104" s="36"/>
      <c r="J104" s="32"/>
      <c r="K104" s="33"/>
      <c r="L104" s="17">
        <v>5000.0</v>
      </c>
      <c r="M104" s="18">
        <f t="shared" si="1"/>
        <v>0</v>
      </c>
    </row>
    <row r="105">
      <c r="A105" s="12">
        <v>101.0</v>
      </c>
      <c r="B105" s="26" t="s">
        <v>236</v>
      </c>
      <c r="C105" s="26">
        <v>50599.0</v>
      </c>
      <c r="D105" s="26" t="s">
        <v>237</v>
      </c>
      <c r="E105" s="27"/>
      <c r="F105" s="28"/>
      <c r="G105" s="29"/>
      <c r="H105" s="30">
        <v>5000.0</v>
      </c>
      <c r="I105" s="36"/>
      <c r="J105" s="32"/>
      <c r="K105" s="33"/>
      <c r="L105" s="17">
        <v>5000.0</v>
      </c>
      <c r="M105" s="18">
        <f t="shared" si="1"/>
        <v>0</v>
      </c>
    </row>
    <row r="106">
      <c r="A106" s="12">
        <v>102.0</v>
      </c>
      <c r="B106" s="26" t="s">
        <v>238</v>
      </c>
      <c r="C106" s="26">
        <v>31927.0</v>
      </c>
      <c r="D106" s="26" t="s">
        <v>183</v>
      </c>
      <c r="E106" s="27"/>
      <c r="F106" s="28"/>
      <c r="G106" s="29"/>
      <c r="H106" s="30">
        <v>2650.0</v>
      </c>
      <c r="I106" s="36"/>
      <c r="J106" s="32"/>
      <c r="K106" s="33"/>
      <c r="L106" s="17">
        <v>2650.0</v>
      </c>
      <c r="M106" s="18">
        <f t="shared" si="1"/>
        <v>0</v>
      </c>
    </row>
    <row r="107">
      <c r="A107" s="12">
        <v>103.0</v>
      </c>
      <c r="B107" s="26" t="s">
        <v>239</v>
      </c>
      <c r="C107" s="26">
        <v>52387.0</v>
      </c>
      <c r="D107" s="26" t="s">
        <v>240</v>
      </c>
      <c r="E107" s="27"/>
      <c r="F107" s="28"/>
      <c r="G107" s="39">
        <v>350.0</v>
      </c>
      <c r="H107" s="30"/>
      <c r="I107" s="36"/>
      <c r="J107" s="32"/>
      <c r="K107" s="33"/>
      <c r="L107" s="17">
        <v>350.0</v>
      </c>
      <c r="M107" s="18">
        <f t="shared" si="1"/>
        <v>0</v>
      </c>
    </row>
    <row r="108">
      <c r="A108" s="12">
        <v>104.0</v>
      </c>
      <c r="B108" s="26" t="s">
        <v>241</v>
      </c>
      <c r="C108" s="26">
        <v>49953.0</v>
      </c>
      <c r="D108" s="26" t="s">
        <v>242</v>
      </c>
      <c r="E108" s="27"/>
      <c r="F108" s="28"/>
      <c r="G108" s="39">
        <v>10700.0</v>
      </c>
      <c r="H108" s="30"/>
      <c r="I108" s="36"/>
      <c r="J108" s="32"/>
      <c r="K108" s="33"/>
      <c r="L108" s="17">
        <v>10700.0</v>
      </c>
      <c r="M108" s="18">
        <f t="shared" si="1"/>
        <v>0</v>
      </c>
    </row>
    <row r="109">
      <c r="A109" s="12">
        <v>105.0</v>
      </c>
      <c r="B109" s="26" t="s">
        <v>243</v>
      </c>
      <c r="C109" s="26">
        <v>50148.0</v>
      </c>
      <c r="D109" s="26" t="s">
        <v>244</v>
      </c>
      <c r="E109" s="27"/>
      <c r="F109" s="28"/>
      <c r="G109" s="39">
        <v>10200.0</v>
      </c>
      <c r="H109" s="30"/>
      <c r="I109" s="36"/>
      <c r="J109" s="32"/>
      <c r="K109" s="33"/>
      <c r="L109" s="17">
        <v>10200.0</v>
      </c>
      <c r="M109" s="18">
        <f t="shared" si="1"/>
        <v>0</v>
      </c>
    </row>
    <row r="110">
      <c r="A110" s="12">
        <v>106.0</v>
      </c>
      <c r="B110" s="26" t="s">
        <v>245</v>
      </c>
      <c r="C110" s="26">
        <v>50342.0</v>
      </c>
      <c r="D110" s="26" t="s">
        <v>146</v>
      </c>
      <c r="E110" s="27"/>
      <c r="F110" s="28"/>
      <c r="G110" s="39">
        <v>350.0</v>
      </c>
      <c r="H110" s="30"/>
      <c r="I110" s="36"/>
      <c r="J110" s="32"/>
      <c r="K110" s="33"/>
      <c r="L110" s="17">
        <v>350.0</v>
      </c>
      <c r="M110" s="18">
        <f t="shared" si="1"/>
        <v>0</v>
      </c>
    </row>
    <row r="111">
      <c r="A111" s="12">
        <v>107.0</v>
      </c>
      <c r="B111" s="26" t="s">
        <v>246</v>
      </c>
      <c r="C111" s="26">
        <v>50261.0</v>
      </c>
      <c r="D111" s="26" t="s">
        <v>247</v>
      </c>
      <c r="E111" s="27"/>
      <c r="F111" s="28"/>
      <c r="G111" s="39">
        <v>2650.0</v>
      </c>
      <c r="H111" s="34"/>
      <c r="I111" s="36"/>
      <c r="J111" s="32"/>
      <c r="K111" s="33"/>
      <c r="L111" s="17">
        <v>2650.0</v>
      </c>
      <c r="M111" s="18">
        <f t="shared" si="1"/>
        <v>0</v>
      </c>
    </row>
    <row r="112">
      <c r="A112" s="12">
        <v>108.0</v>
      </c>
      <c r="B112" s="26" t="s">
        <v>248</v>
      </c>
      <c r="C112" s="26">
        <v>42071.0</v>
      </c>
      <c r="D112" s="26" t="s">
        <v>30</v>
      </c>
      <c r="E112" s="27"/>
      <c r="F112" s="28"/>
      <c r="G112" s="39">
        <v>33900.0</v>
      </c>
      <c r="H112" s="34"/>
      <c r="I112" s="36"/>
      <c r="J112" s="32"/>
      <c r="K112" s="33"/>
      <c r="L112" s="17">
        <v>33900.0</v>
      </c>
      <c r="M112" s="18">
        <f t="shared" si="1"/>
        <v>0</v>
      </c>
    </row>
    <row r="113">
      <c r="A113" s="12">
        <v>109.0</v>
      </c>
      <c r="B113" s="26" t="s">
        <v>249</v>
      </c>
      <c r="C113" s="26">
        <v>20541.0</v>
      </c>
      <c r="D113" s="26" t="s">
        <v>250</v>
      </c>
      <c r="E113" s="27"/>
      <c r="F113" s="28"/>
      <c r="G113" s="39">
        <v>8700.0</v>
      </c>
      <c r="H113" s="34"/>
      <c r="I113" s="36"/>
      <c r="J113" s="32"/>
      <c r="K113" s="33"/>
      <c r="L113" s="17">
        <v>8700.0</v>
      </c>
      <c r="M113" s="18">
        <f t="shared" si="1"/>
        <v>0</v>
      </c>
    </row>
    <row r="114">
      <c r="A114" s="12">
        <v>110.0</v>
      </c>
      <c r="B114" s="26" t="s">
        <v>251</v>
      </c>
      <c r="C114" s="26">
        <v>50221.0</v>
      </c>
      <c r="D114" s="26" t="s">
        <v>252</v>
      </c>
      <c r="E114" s="27"/>
      <c r="F114" s="28"/>
      <c r="G114" s="39">
        <v>2500.0</v>
      </c>
      <c r="H114" s="34"/>
      <c r="I114" s="36"/>
      <c r="J114" s="32"/>
      <c r="K114" s="33"/>
      <c r="L114" s="17">
        <v>2500.0</v>
      </c>
      <c r="M114" s="18">
        <f t="shared" si="1"/>
        <v>0</v>
      </c>
    </row>
    <row r="115">
      <c r="A115" s="12">
        <v>111.0</v>
      </c>
      <c r="B115" s="26" t="s">
        <v>253</v>
      </c>
      <c r="C115" s="26">
        <v>50221.0</v>
      </c>
      <c r="D115" s="26" t="s">
        <v>252</v>
      </c>
      <c r="E115" s="27"/>
      <c r="F115" s="28"/>
      <c r="G115" s="39">
        <v>500.0</v>
      </c>
      <c r="H115" s="34"/>
      <c r="I115" s="36"/>
      <c r="J115" s="32"/>
      <c r="K115" s="33"/>
      <c r="L115" s="17">
        <v>500.0</v>
      </c>
      <c r="M115" s="18">
        <f t="shared" si="1"/>
        <v>0</v>
      </c>
    </row>
    <row r="116">
      <c r="A116" s="20"/>
      <c r="B116" s="21"/>
      <c r="C116" s="21"/>
      <c r="D116" s="20"/>
      <c r="E116" s="22">
        <f t="shared" ref="E116:J116" si="2">SUM(E5:E115)</f>
        <v>1100</v>
      </c>
      <c r="F116" s="22">
        <f t="shared" si="2"/>
        <v>71650</v>
      </c>
      <c r="G116" s="22">
        <f t="shared" si="2"/>
        <v>69850</v>
      </c>
      <c r="H116" s="22">
        <f t="shared" si="2"/>
        <v>740594</v>
      </c>
      <c r="I116" s="22">
        <f t="shared" si="2"/>
        <v>342902</v>
      </c>
      <c r="J116" s="22">
        <f t="shared" si="2"/>
        <v>27400</v>
      </c>
      <c r="K116" s="22">
        <f>SUM(K24:K115)</f>
        <v>0</v>
      </c>
      <c r="L116" s="22">
        <f t="shared" ref="L116:M116" si="3">SUM(L5:L115)</f>
        <v>1265196</v>
      </c>
      <c r="M116" s="18">
        <f t="shared" si="3"/>
        <v>-11700</v>
      </c>
    </row>
    <row r="117">
      <c r="A117" s="23"/>
      <c r="B117" s="23"/>
      <c r="C117" s="23"/>
      <c r="D117" s="23"/>
      <c r="E117" s="24">
        <f>SUM(K116:M116)</f>
        <v>1253496</v>
      </c>
      <c r="F117" s="6"/>
      <c r="G117" s="6"/>
      <c r="H117" s="6"/>
      <c r="I117" s="6"/>
      <c r="J117" s="6"/>
      <c r="K117" s="7"/>
      <c r="L117" s="25"/>
      <c r="M117" s="23"/>
    </row>
    <row r="118">
      <c r="L118" s="40" t="s">
        <v>254</v>
      </c>
    </row>
  </sheetData>
  <mergeCells count="14">
    <mergeCell ref="F3:G3"/>
    <mergeCell ref="H3:I3"/>
    <mergeCell ref="J3:J4"/>
    <mergeCell ref="K3:K4"/>
    <mergeCell ref="E117:K117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5"/>
    <col customWidth="1" min="2" max="2" width="24.75"/>
    <col customWidth="1" min="4" max="4" width="40.88"/>
    <col customWidth="1" min="5" max="5" width="9.5"/>
  </cols>
  <sheetData>
    <row r="1">
      <c r="A1" s="1" t="s">
        <v>255</v>
      </c>
    </row>
    <row r="2">
      <c r="A2" s="2" t="s">
        <v>1</v>
      </c>
      <c r="B2" s="3" t="s">
        <v>2</v>
      </c>
      <c r="C2" s="2" t="s">
        <v>3</v>
      </c>
      <c r="D2" s="4" t="s">
        <v>4</v>
      </c>
      <c r="E2" s="5" t="s">
        <v>5</v>
      </c>
      <c r="F2" s="6"/>
      <c r="G2" s="6"/>
      <c r="H2" s="6"/>
      <c r="I2" s="6"/>
      <c r="J2" s="6"/>
      <c r="K2" s="6"/>
      <c r="L2" s="6"/>
      <c r="M2" s="7"/>
    </row>
    <row r="3">
      <c r="A3" s="8"/>
      <c r="B3" s="8"/>
      <c r="C3" s="8"/>
      <c r="D3" s="8"/>
      <c r="E3" s="2" t="s">
        <v>6</v>
      </c>
      <c r="F3" s="5" t="s">
        <v>7</v>
      </c>
      <c r="G3" s="7"/>
      <c r="H3" s="5" t="s">
        <v>8</v>
      </c>
      <c r="I3" s="7"/>
      <c r="J3" s="2" t="s">
        <v>9</v>
      </c>
      <c r="K3" s="4" t="s">
        <v>10</v>
      </c>
      <c r="L3" s="2" t="s">
        <v>11</v>
      </c>
      <c r="M3" s="2" t="s">
        <v>12</v>
      </c>
    </row>
    <row r="4">
      <c r="A4" s="9"/>
      <c r="B4" s="9"/>
      <c r="C4" s="9"/>
      <c r="D4" s="9"/>
      <c r="E4" s="9"/>
      <c r="F4" s="10" t="s">
        <v>13</v>
      </c>
      <c r="G4" s="10" t="s">
        <v>14</v>
      </c>
      <c r="H4" s="10" t="s">
        <v>15</v>
      </c>
      <c r="I4" s="11" t="s">
        <v>16</v>
      </c>
      <c r="J4" s="9"/>
      <c r="K4" s="9"/>
      <c r="L4" s="9"/>
      <c r="M4" s="9"/>
    </row>
    <row r="5">
      <c r="A5" s="41">
        <v>1.0</v>
      </c>
      <c r="B5" s="42" t="s">
        <v>256</v>
      </c>
      <c r="C5" s="42">
        <v>50871.0</v>
      </c>
      <c r="D5" s="42" t="s">
        <v>105</v>
      </c>
      <c r="E5" s="27"/>
      <c r="F5" s="28"/>
      <c r="G5" s="29"/>
      <c r="H5" s="30">
        <v>76400.0</v>
      </c>
      <c r="I5" s="31"/>
      <c r="J5" s="32"/>
      <c r="K5" s="33"/>
      <c r="L5" s="43">
        <v>76400.0</v>
      </c>
      <c r="M5" s="18">
        <f t="shared" ref="M5:M87" si="1">SUM(E5+F5+G5+H5+I5+J5+K5-L5)</f>
        <v>0</v>
      </c>
    </row>
    <row r="6">
      <c r="A6" s="41">
        <v>2.0</v>
      </c>
      <c r="B6" s="42" t="s">
        <v>257</v>
      </c>
      <c r="C6" s="42">
        <v>36928.0</v>
      </c>
      <c r="D6" s="42" t="s">
        <v>258</v>
      </c>
      <c r="E6" s="27"/>
      <c r="F6" s="28"/>
      <c r="G6" s="29"/>
      <c r="H6" s="34"/>
      <c r="I6" s="31"/>
      <c r="J6" s="35">
        <v>3850.0</v>
      </c>
      <c r="K6" s="33"/>
      <c r="L6" s="43">
        <v>3850.0</v>
      </c>
      <c r="M6" s="18">
        <f t="shared" si="1"/>
        <v>0</v>
      </c>
    </row>
    <row r="7">
      <c r="A7" s="41">
        <v>3.0</v>
      </c>
      <c r="B7" s="42" t="s">
        <v>259</v>
      </c>
      <c r="C7" s="42">
        <v>22332.0</v>
      </c>
      <c r="D7" s="42" t="s">
        <v>138</v>
      </c>
      <c r="E7" s="27"/>
      <c r="F7" s="28"/>
      <c r="G7" s="29"/>
      <c r="H7" s="30"/>
      <c r="I7" s="31">
        <v>1600.0</v>
      </c>
      <c r="J7" s="32"/>
      <c r="K7" s="33"/>
      <c r="L7" s="43">
        <v>1600.0</v>
      </c>
      <c r="M7" s="18">
        <f t="shared" si="1"/>
        <v>0</v>
      </c>
    </row>
    <row r="8">
      <c r="A8" s="41">
        <v>4.0</v>
      </c>
      <c r="B8" s="42" t="s">
        <v>260</v>
      </c>
      <c r="C8" s="42">
        <v>55146.0</v>
      </c>
      <c r="D8" s="42" t="s">
        <v>261</v>
      </c>
      <c r="E8" s="27"/>
      <c r="F8" s="28"/>
      <c r="G8" s="29"/>
      <c r="H8" s="30"/>
      <c r="I8" s="31">
        <v>3600.0</v>
      </c>
      <c r="J8" s="32"/>
      <c r="K8" s="33"/>
      <c r="L8" s="43">
        <v>3600.0</v>
      </c>
      <c r="M8" s="18">
        <f t="shared" si="1"/>
        <v>0</v>
      </c>
    </row>
    <row r="9">
      <c r="A9" s="41">
        <v>5.0</v>
      </c>
      <c r="B9" s="42" t="s">
        <v>262</v>
      </c>
      <c r="C9" s="42">
        <v>33055.0</v>
      </c>
      <c r="D9" s="42" t="s">
        <v>263</v>
      </c>
      <c r="E9" s="27"/>
      <c r="F9" s="28"/>
      <c r="G9" s="29"/>
      <c r="H9" s="30"/>
      <c r="I9" s="31">
        <v>5000.0</v>
      </c>
      <c r="J9" s="32"/>
      <c r="K9" s="33"/>
      <c r="L9" s="43">
        <v>5000.0</v>
      </c>
      <c r="M9" s="18">
        <f t="shared" si="1"/>
        <v>0</v>
      </c>
    </row>
    <row r="10">
      <c r="A10" s="41">
        <v>6.0</v>
      </c>
      <c r="B10" s="42" t="s">
        <v>264</v>
      </c>
      <c r="C10" s="42">
        <v>48182.0</v>
      </c>
      <c r="D10" s="42" t="s">
        <v>265</v>
      </c>
      <c r="E10" s="27"/>
      <c r="F10" s="28"/>
      <c r="G10" s="29"/>
      <c r="H10" s="30">
        <v>2650.0</v>
      </c>
      <c r="I10" s="31"/>
      <c r="J10" s="32"/>
      <c r="K10" s="33"/>
      <c r="L10" s="43">
        <v>2650.0</v>
      </c>
      <c r="M10" s="18">
        <f t="shared" si="1"/>
        <v>0</v>
      </c>
    </row>
    <row r="11">
      <c r="A11" s="41">
        <v>7.0</v>
      </c>
      <c r="B11" s="42" t="s">
        <v>266</v>
      </c>
      <c r="C11" s="42">
        <v>50979.0</v>
      </c>
      <c r="D11" s="42" t="s">
        <v>267</v>
      </c>
      <c r="E11" s="27"/>
      <c r="F11" s="28"/>
      <c r="G11" s="29"/>
      <c r="H11" s="34"/>
      <c r="I11" s="31">
        <v>5000.0</v>
      </c>
      <c r="J11" s="35"/>
      <c r="K11" s="33"/>
      <c r="L11" s="43">
        <v>5000.0</v>
      </c>
      <c r="M11" s="18">
        <f t="shared" si="1"/>
        <v>0</v>
      </c>
    </row>
    <row r="12">
      <c r="A12" s="41">
        <v>8.0</v>
      </c>
      <c r="B12" s="42" t="s">
        <v>268</v>
      </c>
      <c r="C12" s="42">
        <v>52263.0</v>
      </c>
      <c r="D12" s="42" t="s">
        <v>269</v>
      </c>
      <c r="E12" s="27"/>
      <c r="F12" s="28"/>
      <c r="G12" s="29"/>
      <c r="H12" s="30"/>
      <c r="I12" s="31">
        <v>5000.0</v>
      </c>
      <c r="J12" s="32"/>
      <c r="K12" s="33"/>
      <c r="L12" s="43">
        <v>5000.0</v>
      </c>
      <c r="M12" s="18">
        <f t="shared" si="1"/>
        <v>0</v>
      </c>
    </row>
    <row r="13">
      <c r="A13" s="41">
        <v>9.0</v>
      </c>
      <c r="B13" s="42" t="s">
        <v>270</v>
      </c>
      <c r="C13" s="42">
        <v>50979.0</v>
      </c>
      <c r="D13" s="42" t="s">
        <v>267</v>
      </c>
      <c r="E13" s="27"/>
      <c r="F13" s="28"/>
      <c r="G13" s="29"/>
      <c r="H13" s="30"/>
      <c r="I13" s="31">
        <v>15000.0</v>
      </c>
      <c r="J13" s="32"/>
      <c r="K13" s="33"/>
      <c r="L13" s="43">
        <v>15000.0</v>
      </c>
      <c r="M13" s="18">
        <f t="shared" si="1"/>
        <v>0</v>
      </c>
    </row>
    <row r="14">
      <c r="A14" s="41">
        <v>10.0</v>
      </c>
      <c r="B14" s="42" t="s">
        <v>271</v>
      </c>
      <c r="C14" s="42">
        <v>39501.0</v>
      </c>
      <c r="D14" s="42" t="s">
        <v>272</v>
      </c>
      <c r="E14" s="27"/>
      <c r="F14" s="28"/>
      <c r="G14" s="29"/>
      <c r="H14" s="30">
        <v>3600.0</v>
      </c>
      <c r="I14" s="31"/>
      <c r="J14" s="32"/>
      <c r="K14" s="33"/>
      <c r="L14" s="43">
        <v>3600.0</v>
      </c>
      <c r="M14" s="18">
        <f t="shared" si="1"/>
        <v>0</v>
      </c>
    </row>
    <row r="15">
      <c r="A15" s="41">
        <v>11.0</v>
      </c>
      <c r="B15" s="42" t="s">
        <v>273</v>
      </c>
      <c r="C15" s="42">
        <v>39588.0</v>
      </c>
      <c r="D15" s="42" t="s">
        <v>274</v>
      </c>
      <c r="E15" s="27"/>
      <c r="F15" s="28"/>
      <c r="G15" s="29"/>
      <c r="H15" s="30">
        <v>5400.0</v>
      </c>
      <c r="I15" s="36"/>
      <c r="J15" s="32"/>
      <c r="K15" s="33"/>
      <c r="L15" s="43">
        <v>5400.0</v>
      </c>
      <c r="M15" s="18">
        <f t="shared" si="1"/>
        <v>0</v>
      </c>
    </row>
    <row r="16">
      <c r="A16" s="41">
        <v>12.0</v>
      </c>
      <c r="B16" s="42" t="s">
        <v>275</v>
      </c>
      <c r="C16" s="42">
        <v>36769.0</v>
      </c>
      <c r="D16" s="42" t="s">
        <v>276</v>
      </c>
      <c r="E16" s="27"/>
      <c r="F16" s="28"/>
      <c r="G16" s="29"/>
      <c r="H16" s="30">
        <v>600.0</v>
      </c>
      <c r="I16" s="31"/>
      <c r="J16" s="32"/>
      <c r="K16" s="33"/>
      <c r="L16" s="43">
        <v>600.0</v>
      </c>
      <c r="M16" s="18">
        <f t="shared" si="1"/>
        <v>0</v>
      </c>
    </row>
    <row r="17">
      <c r="A17" s="41">
        <v>13.0</v>
      </c>
      <c r="B17" s="42" t="s">
        <v>277</v>
      </c>
      <c r="C17" s="42">
        <v>13781.0</v>
      </c>
      <c r="D17" s="42" t="s">
        <v>278</v>
      </c>
      <c r="E17" s="27"/>
      <c r="F17" s="28"/>
      <c r="G17" s="29"/>
      <c r="H17" s="30">
        <v>5300.0</v>
      </c>
      <c r="I17" s="31"/>
      <c r="J17" s="32"/>
      <c r="K17" s="33"/>
      <c r="L17" s="43">
        <v>5300.0</v>
      </c>
      <c r="M17" s="18">
        <f t="shared" si="1"/>
        <v>0</v>
      </c>
    </row>
    <row r="18">
      <c r="A18" s="41">
        <v>14.0</v>
      </c>
      <c r="B18" s="42" t="s">
        <v>279</v>
      </c>
      <c r="C18" s="42">
        <v>56629.0</v>
      </c>
      <c r="D18" s="42" t="s">
        <v>280</v>
      </c>
      <c r="E18" s="27"/>
      <c r="F18" s="28"/>
      <c r="G18" s="29"/>
      <c r="H18" s="30"/>
      <c r="I18" s="31">
        <v>1540.0</v>
      </c>
      <c r="J18" s="32"/>
      <c r="K18" s="33"/>
      <c r="L18" s="43">
        <v>1540.0</v>
      </c>
      <c r="M18" s="18">
        <f t="shared" si="1"/>
        <v>0</v>
      </c>
    </row>
    <row r="19">
      <c r="A19" s="41">
        <v>15.0</v>
      </c>
      <c r="B19" s="42" t="s">
        <v>281</v>
      </c>
      <c r="C19" s="42">
        <v>56519.0</v>
      </c>
      <c r="D19" s="42" t="s">
        <v>282</v>
      </c>
      <c r="E19" s="27"/>
      <c r="F19" s="37"/>
      <c r="G19" s="29"/>
      <c r="H19" s="30"/>
      <c r="I19" s="31">
        <v>5000.0</v>
      </c>
      <c r="J19" s="32"/>
      <c r="K19" s="33"/>
      <c r="L19" s="43">
        <v>5000.0</v>
      </c>
      <c r="M19" s="18">
        <f t="shared" si="1"/>
        <v>0</v>
      </c>
    </row>
    <row r="20">
      <c r="A20" s="41">
        <v>16.0</v>
      </c>
      <c r="B20" s="42" t="s">
        <v>283</v>
      </c>
      <c r="C20" s="42">
        <v>56027.0</v>
      </c>
      <c r="D20" s="42" t="s">
        <v>284</v>
      </c>
      <c r="E20" s="27"/>
      <c r="F20" s="28"/>
      <c r="G20" s="29"/>
      <c r="H20" s="34"/>
      <c r="I20" s="31">
        <v>7500.0</v>
      </c>
      <c r="J20" s="32"/>
      <c r="K20" s="33"/>
      <c r="L20" s="43">
        <v>7500.0</v>
      </c>
      <c r="M20" s="18">
        <f t="shared" si="1"/>
        <v>0</v>
      </c>
    </row>
    <row r="21">
      <c r="A21" s="41">
        <v>17.0</v>
      </c>
      <c r="B21" s="42" t="s">
        <v>285</v>
      </c>
      <c r="C21" s="42">
        <v>56519.0</v>
      </c>
      <c r="D21" s="42" t="s">
        <v>282</v>
      </c>
      <c r="E21" s="27"/>
      <c r="F21" s="28"/>
      <c r="G21" s="29"/>
      <c r="H21" s="30"/>
      <c r="I21" s="31">
        <v>2500.0</v>
      </c>
      <c r="J21" s="32"/>
      <c r="K21" s="33"/>
      <c r="L21" s="43">
        <v>2500.0</v>
      </c>
      <c r="M21" s="18">
        <f t="shared" si="1"/>
        <v>0</v>
      </c>
    </row>
    <row r="22">
      <c r="A22" s="41">
        <v>18.0</v>
      </c>
      <c r="B22" s="42" t="s">
        <v>286</v>
      </c>
      <c r="C22" s="42">
        <v>56993.0</v>
      </c>
      <c r="D22" s="42" t="s">
        <v>287</v>
      </c>
      <c r="E22" s="27"/>
      <c r="F22" s="28"/>
      <c r="G22" s="29"/>
      <c r="H22" s="30"/>
      <c r="I22" s="31">
        <v>2500.0</v>
      </c>
      <c r="J22" s="32"/>
      <c r="K22" s="33"/>
      <c r="L22" s="43">
        <v>2500.0</v>
      </c>
      <c r="M22" s="18">
        <f t="shared" si="1"/>
        <v>0</v>
      </c>
    </row>
    <row r="23">
      <c r="A23" s="41">
        <v>19.0</v>
      </c>
      <c r="B23" s="42" t="s">
        <v>288</v>
      </c>
      <c r="C23" s="42">
        <v>36555.0</v>
      </c>
      <c r="D23" s="42" t="s">
        <v>172</v>
      </c>
      <c r="E23" s="27"/>
      <c r="F23" s="28"/>
      <c r="G23" s="29"/>
      <c r="H23" s="30">
        <v>21450.0</v>
      </c>
      <c r="I23" s="31"/>
      <c r="J23" s="32"/>
      <c r="K23" s="33"/>
      <c r="L23" s="43">
        <v>21450.0</v>
      </c>
      <c r="M23" s="18">
        <f t="shared" si="1"/>
        <v>0</v>
      </c>
    </row>
    <row r="24">
      <c r="A24" s="41">
        <v>20.0</v>
      </c>
      <c r="B24" s="42" t="s">
        <v>289</v>
      </c>
      <c r="C24" s="42">
        <v>45096.0</v>
      </c>
      <c r="D24" s="42" t="s">
        <v>290</v>
      </c>
      <c r="E24" s="27"/>
      <c r="F24" s="28"/>
      <c r="G24" s="29"/>
      <c r="H24" s="30">
        <v>8950.0</v>
      </c>
      <c r="I24" s="31"/>
      <c r="J24" s="32"/>
      <c r="K24" s="33"/>
      <c r="L24" s="43">
        <v>8950.0</v>
      </c>
      <c r="M24" s="18">
        <f t="shared" si="1"/>
        <v>0</v>
      </c>
    </row>
    <row r="25">
      <c r="A25" s="41">
        <v>21.0</v>
      </c>
      <c r="B25" s="42" t="s">
        <v>291</v>
      </c>
      <c r="C25" s="42">
        <v>49655.0</v>
      </c>
      <c r="D25" s="42" t="s">
        <v>208</v>
      </c>
      <c r="E25" s="27"/>
      <c r="F25" s="28"/>
      <c r="G25" s="29"/>
      <c r="H25" s="30"/>
      <c r="I25" s="31">
        <v>100.0</v>
      </c>
      <c r="J25" s="32"/>
      <c r="K25" s="33"/>
      <c r="L25" s="43">
        <v>100.0</v>
      </c>
      <c r="M25" s="18">
        <f t="shared" si="1"/>
        <v>0</v>
      </c>
    </row>
    <row r="26">
      <c r="A26" s="41">
        <v>22.0</v>
      </c>
      <c r="B26" s="42" t="s">
        <v>292</v>
      </c>
      <c r="C26" s="42">
        <v>22341.0</v>
      </c>
      <c r="D26" s="42" t="s">
        <v>293</v>
      </c>
      <c r="E26" s="27"/>
      <c r="F26" s="37"/>
      <c r="G26" s="29"/>
      <c r="H26" s="30">
        <v>500.0</v>
      </c>
      <c r="I26" s="36"/>
      <c r="J26" s="32"/>
      <c r="K26" s="33"/>
      <c r="L26" s="43">
        <v>500.0</v>
      </c>
      <c r="M26" s="18">
        <f t="shared" si="1"/>
        <v>0</v>
      </c>
    </row>
    <row r="27">
      <c r="A27" s="41">
        <v>23.0</v>
      </c>
      <c r="B27" s="42" t="s">
        <v>294</v>
      </c>
      <c r="C27" s="42">
        <v>22341.0</v>
      </c>
      <c r="D27" s="42" t="s">
        <v>293</v>
      </c>
      <c r="E27" s="27"/>
      <c r="F27" s="28"/>
      <c r="G27" s="29"/>
      <c r="H27" s="30">
        <v>500.0</v>
      </c>
      <c r="I27" s="36"/>
      <c r="J27" s="32"/>
      <c r="K27" s="33"/>
      <c r="L27" s="43">
        <v>500.0</v>
      </c>
      <c r="M27" s="18">
        <f t="shared" si="1"/>
        <v>0</v>
      </c>
    </row>
    <row r="28">
      <c r="A28" s="41">
        <v>24.0</v>
      </c>
      <c r="B28" s="42" t="s">
        <v>295</v>
      </c>
      <c r="C28" s="42">
        <v>39864.0</v>
      </c>
      <c r="D28" s="42" t="s">
        <v>296</v>
      </c>
      <c r="E28" s="27"/>
      <c r="F28" s="37"/>
      <c r="G28" s="29"/>
      <c r="H28" s="30">
        <v>3700.0</v>
      </c>
      <c r="I28" s="36"/>
      <c r="J28" s="32"/>
      <c r="K28" s="33"/>
      <c r="L28" s="43">
        <v>3700.0</v>
      </c>
      <c r="M28" s="18">
        <f t="shared" si="1"/>
        <v>0</v>
      </c>
    </row>
    <row r="29">
      <c r="A29" s="41">
        <v>25.0</v>
      </c>
      <c r="B29" s="42" t="s">
        <v>297</v>
      </c>
      <c r="C29" s="42">
        <v>54096.0</v>
      </c>
      <c r="D29" s="42" t="s">
        <v>298</v>
      </c>
      <c r="E29" s="27"/>
      <c r="F29" s="28"/>
      <c r="G29" s="29"/>
      <c r="H29" s="30"/>
      <c r="I29" s="31">
        <v>45000.0</v>
      </c>
      <c r="J29" s="32"/>
      <c r="K29" s="33"/>
      <c r="L29" s="43">
        <v>45000.0</v>
      </c>
      <c r="M29" s="18">
        <f t="shared" si="1"/>
        <v>0</v>
      </c>
    </row>
    <row r="30">
      <c r="A30" s="41">
        <v>26.0</v>
      </c>
      <c r="B30" s="42" t="s">
        <v>299</v>
      </c>
      <c r="C30" s="42">
        <v>14329.0</v>
      </c>
      <c r="D30" s="42" t="s">
        <v>210</v>
      </c>
      <c r="E30" s="27"/>
      <c r="F30" s="28"/>
      <c r="G30" s="29"/>
      <c r="H30" s="34"/>
      <c r="I30" s="31">
        <v>237.0</v>
      </c>
      <c r="J30" s="32"/>
      <c r="K30" s="33"/>
      <c r="L30" s="43">
        <v>237.0</v>
      </c>
      <c r="M30" s="18">
        <f t="shared" si="1"/>
        <v>0</v>
      </c>
    </row>
    <row r="31">
      <c r="A31" s="41">
        <v>27.0</v>
      </c>
      <c r="B31" s="42" t="s">
        <v>300</v>
      </c>
      <c r="C31" s="42">
        <v>48854.0</v>
      </c>
      <c r="D31" s="42" t="s">
        <v>301</v>
      </c>
      <c r="E31" s="27"/>
      <c r="F31" s="28"/>
      <c r="G31" s="29"/>
      <c r="H31" s="30"/>
      <c r="I31" s="31">
        <v>5000.0</v>
      </c>
      <c r="J31" s="32"/>
      <c r="K31" s="33"/>
      <c r="L31" s="43">
        <v>5000.0</v>
      </c>
      <c r="M31" s="18">
        <f t="shared" si="1"/>
        <v>0</v>
      </c>
    </row>
    <row r="32">
      <c r="A32" s="41">
        <v>28.0</v>
      </c>
      <c r="B32" s="42" t="s">
        <v>302</v>
      </c>
      <c r="C32" s="42">
        <v>48854.0</v>
      </c>
      <c r="D32" s="42" t="s">
        <v>301</v>
      </c>
      <c r="E32" s="27"/>
      <c r="F32" s="28"/>
      <c r="G32" s="29"/>
      <c r="H32" s="30"/>
      <c r="I32" s="31">
        <v>10000.0</v>
      </c>
      <c r="J32" s="32"/>
      <c r="K32" s="33"/>
      <c r="L32" s="43">
        <v>10000.0</v>
      </c>
      <c r="M32" s="18">
        <f t="shared" si="1"/>
        <v>0</v>
      </c>
    </row>
    <row r="33">
      <c r="A33" s="41">
        <v>29.0</v>
      </c>
      <c r="B33" s="42" t="s">
        <v>303</v>
      </c>
      <c r="C33" s="42">
        <v>43380.0</v>
      </c>
      <c r="D33" s="42" t="s">
        <v>61</v>
      </c>
      <c r="E33" s="27"/>
      <c r="F33" s="28"/>
      <c r="G33" s="29"/>
      <c r="H33" s="30"/>
      <c r="I33" s="31">
        <v>17000.0</v>
      </c>
      <c r="J33" s="32"/>
      <c r="K33" s="33"/>
      <c r="L33" s="43">
        <v>17000.0</v>
      </c>
      <c r="M33" s="18">
        <f t="shared" si="1"/>
        <v>0</v>
      </c>
    </row>
    <row r="34">
      <c r="A34" s="41">
        <v>30.0</v>
      </c>
      <c r="B34" s="42" t="s">
        <v>304</v>
      </c>
      <c r="C34" s="42">
        <v>51406.0</v>
      </c>
      <c r="D34" s="42" t="s">
        <v>18</v>
      </c>
      <c r="E34" s="27"/>
      <c r="F34" s="28"/>
      <c r="G34" s="29"/>
      <c r="H34" s="30"/>
      <c r="I34" s="31">
        <v>1150.0</v>
      </c>
      <c r="J34" s="32"/>
      <c r="K34" s="33"/>
      <c r="L34" s="43">
        <v>1150.0</v>
      </c>
      <c r="M34" s="18">
        <f t="shared" si="1"/>
        <v>0</v>
      </c>
    </row>
    <row r="35">
      <c r="A35" s="41">
        <v>31.0</v>
      </c>
      <c r="B35" s="42" t="s">
        <v>305</v>
      </c>
      <c r="C35" s="42">
        <v>22341.0</v>
      </c>
      <c r="D35" s="42" t="s">
        <v>293</v>
      </c>
      <c r="E35" s="27"/>
      <c r="F35" s="28"/>
      <c r="G35" s="29"/>
      <c r="H35" s="30">
        <v>2650.0</v>
      </c>
      <c r="I35" s="31"/>
      <c r="J35" s="32"/>
      <c r="K35" s="33"/>
      <c r="L35" s="43">
        <v>2650.0</v>
      </c>
      <c r="M35" s="18">
        <f t="shared" si="1"/>
        <v>0</v>
      </c>
    </row>
    <row r="36">
      <c r="A36" s="41">
        <v>32.0</v>
      </c>
      <c r="B36" s="42" t="s">
        <v>306</v>
      </c>
      <c r="C36" s="42">
        <v>43380.0</v>
      </c>
      <c r="D36" s="42" t="s">
        <v>61</v>
      </c>
      <c r="E36" s="27"/>
      <c r="F36" s="28"/>
      <c r="G36" s="29"/>
      <c r="H36" s="30"/>
      <c r="I36" s="31">
        <v>15000.0</v>
      </c>
      <c r="J36" s="32"/>
      <c r="K36" s="33"/>
      <c r="L36" s="43">
        <v>15000.0</v>
      </c>
      <c r="M36" s="18">
        <f t="shared" si="1"/>
        <v>0</v>
      </c>
    </row>
    <row r="37">
      <c r="A37" s="41">
        <v>33.0</v>
      </c>
      <c r="B37" s="42" t="s">
        <v>307</v>
      </c>
      <c r="C37" s="42">
        <v>50072.0</v>
      </c>
      <c r="D37" s="42" t="s">
        <v>308</v>
      </c>
      <c r="E37" s="27"/>
      <c r="F37" s="28"/>
      <c r="G37" s="29"/>
      <c r="H37" s="30"/>
      <c r="I37" s="31">
        <v>5150.0</v>
      </c>
      <c r="J37" s="32"/>
      <c r="K37" s="33"/>
      <c r="L37" s="43">
        <v>5150.0</v>
      </c>
      <c r="M37" s="18">
        <f t="shared" si="1"/>
        <v>0</v>
      </c>
    </row>
    <row r="38">
      <c r="A38" s="41">
        <v>34.0</v>
      </c>
      <c r="B38" s="42" t="s">
        <v>309</v>
      </c>
      <c r="C38" s="42">
        <v>57420.0</v>
      </c>
      <c r="D38" s="42" t="s">
        <v>310</v>
      </c>
      <c r="E38" s="27"/>
      <c r="F38" s="28"/>
      <c r="G38" s="29"/>
      <c r="H38" s="30">
        <v>500.0</v>
      </c>
      <c r="I38" s="31"/>
      <c r="J38" s="32"/>
      <c r="K38" s="33"/>
      <c r="L38" s="43">
        <v>500.0</v>
      </c>
      <c r="M38" s="18">
        <f t="shared" si="1"/>
        <v>0</v>
      </c>
    </row>
    <row r="39">
      <c r="A39" s="41">
        <v>35.0</v>
      </c>
      <c r="B39" s="42" t="s">
        <v>311</v>
      </c>
      <c r="C39" s="42">
        <v>49918.0</v>
      </c>
      <c r="D39" s="42" t="s">
        <v>114</v>
      </c>
      <c r="E39" s="27"/>
      <c r="F39" s="28"/>
      <c r="G39" s="29"/>
      <c r="H39" s="30"/>
      <c r="I39" s="31">
        <v>1750.0</v>
      </c>
      <c r="J39" s="32"/>
      <c r="K39" s="33"/>
      <c r="L39" s="43">
        <v>1750.0</v>
      </c>
      <c r="M39" s="18">
        <f t="shared" si="1"/>
        <v>0</v>
      </c>
    </row>
    <row r="40">
      <c r="A40" s="41">
        <v>36.0</v>
      </c>
      <c r="B40" s="42" t="s">
        <v>312</v>
      </c>
      <c r="C40" s="42">
        <v>44149.0</v>
      </c>
      <c r="D40" s="42" t="s">
        <v>32</v>
      </c>
      <c r="E40" s="27"/>
      <c r="F40" s="28"/>
      <c r="G40" s="29"/>
      <c r="H40" s="30">
        <v>1400.0</v>
      </c>
      <c r="I40" s="36"/>
      <c r="J40" s="32"/>
      <c r="K40" s="33"/>
      <c r="L40" s="43">
        <v>1400.0</v>
      </c>
      <c r="M40" s="18">
        <f t="shared" si="1"/>
        <v>0</v>
      </c>
    </row>
    <row r="41">
      <c r="A41" s="41">
        <v>37.0</v>
      </c>
      <c r="B41" s="42" t="s">
        <v>313</v>
      </c>
      <c r="C41" s="42">
        <v>44149.0</v>
      </c>
      <c r="D41" s="42" t="s">
        <v>32</v>
      </c>
      <c r="E41" s="27"/>
      <c r="F41" s="28"/>
      <c r="G41" s="29"/>
      <c r="H41" s="30">
        <v>3600.0</v>
      </c>
      <c r="I41" s="36"/>
      <c r="J41" s="32"/>
      <c r="K41" s="33"/>
      <c r="L41" s="43">
        <v>3600.0</v>
      </c>
      <c r="M41" s="18">
        <f t="shared" si="1"/>
        <v>0</v>
      </c>
    </row>
    <row r="42">
      <c r="A42" s="41">
        <v>38.0</v>
      </c>
      <c r="B42" s="42" t="s">
        <v>314</v>
      </c>
      <c r="C42" s="42">
        <v>26831.0</v>
      </c>
      <c r="D42" s="42" t="s">
        <v>315</v>
      </c>
      <c r="E42" s="27"/>
      <c r="F42" s="28"/>
      <c r="G42" s="29"/>
      <c r="H42" s="30">
        <v>6900.0</v>
      </c>
      <c r="I42" s="36"/>
      <c r="J42" s="32"/>
      <c r="K42" s="33"/>
      <c r="L42" s="43">
        <v>6900.0</v>
      </c>
      <c r="M42" s="18">
        <f t="shared" si="1"/>
        <v>0</v>
      </c>
    </row>
    <row r="43">
      <c r="A43" s="41">
        <v>39.0</v>
      </c>
      <c r="B43" s="42" t="s">
        <v>316</v>
      </c>
      <c r="C43" s="42">
        <v>44149.0</v>
      </c>
      <c r="D43" s="42" t="s">
        <v>32</v>
      </c>
      <c r="E43" s="27"/>
      <c r="F43" s="28"/>
      <c r="G43" s="29"/>
      <c r="H43" s="30">
        <v>131400.0</v>
      </c>
      <c r="I43" s="36"/>
      <c r="J43" s="32"/>
      <c r="K43" s="33"/>
      <c r="L43" s="43">
        <v>131400.0</v>
      </c>
      <c r="M43" s="18">
        <f t="shared" si="1"/>
        <v>0</v>
      </c>
    </row>
    <row r="44">
      <c r="A44" s="41">
        <v>40.0</v>
      </c>
      <c r="B44" s="42" t="s">
        <v>317</v>
      </c>
      <c r="C44" s="42">
        <v>44149.0</v>
      </c>
      <c r="D44" s="42" t="s">
        <v>32</v>
      </c>
      <c r="E44" s="27"/>
      <c r="F44" s="28"/>
      <c r="G44" s="29"/>
      <c r="H44" s="30">
        <v>3000.0</v>
      </c>
      <c r="I44" s="36"/>
      <c r="J44" s="32"/>
      <c r="K44" s="33"/>
      <c r="L44" s="43">
        <v>3000.0</v>
      </c>
      <c r="M44" s="18">
        <f t="shared" si="1"/>
        <v>0</v>
      </c>
    </row>
    <row r="45">
      <c r="A45" s="41">
        <v>41.0</v>
      </c>
      <c r="B45" s="42" t="s">
        <v>318</v>
      </c>
      <c r="C45" s="42">
        <v>43380.0</v>
      </c>
      <c r="D45" s="42" t="s">
        <v>61</v>
      </c>
      <c r="E45" s="27"/>
      <c r="F45" s="28"/>
      <c r="G45" s="29"/>
      <c r="H45" s="30">
        <v>1450.0</v>
      </c>
      <c r="I45" s="36"/>
      <c r="J45" s="32"/>
      <c r="K45" s="33"/>
      <c r="L45" s="43">
        <v>1450.0</v>
      </c>
      <c r="M45" s="18">
        <f t="shared" si="1"/>
        <v>0</v>
      </c>
    </row>
    <row r="46">
      <c r="A46" s="41">
        <v>42.0</v>
      </c>
      <c r="B46" s="42" t="s">
        <v>319</v>
      </c>
      <c r="C46" s="42">
        <v>33342.0</v>
      </c>
      <c r="D46" s="42" t="s">
        <v>320</v>
      </c>
      <c r="E46" s="27"/>
      <c r="F46" s="28"/>
      <c r="G46" s="29"/>
      <c r="H46" s="30">
        <v>5000.0</v>
      </c>
      <c r="I46" s="36"/>
      <c r="J46" s="32"/>
      <c r="K46" s="33"/>
      <c r="L46" s="43">
        <v>5000.0</v>
      </c>
      <c r="M46" s="18">
        <f t="shared" si="1"/>
        <v>0</v>
      </c>
    </row>
    <row r="47">
      <c r="A47" s="41">
        <v>43.0</v>
      </c>
      <c r="B47" s="42" t="s">
        <v>321</v>
      </c>
      <c r="C47" s="42">
        <v>52647.0</v>
      </c>
      <c r="D47" s="42" t="s">
        <v>322</v>
      </c>
      <c r="E47" s="27"/>
      <c r="F47" s="28"/>
      <c r="G47" s="29"/>
      <c r="H47" s="30">
        <v>15000.0</v>
      </c>
      <c r="I47" s="31"/>
      <c r="J47" s="32"/>
      <c r="K47" s="33"/>
      <c r="L47" s="43">
        <v>15000.0</v>
      </c>
      <c r="M47" s="18">
        <f t="shared" si="1"/>
        <v>0</v>
      </c>
    </row>
    <row r="48">
      <c r="A48" s="41">
        <v>44.0</v>
      </c>
      <c r="B48" s="42" t="s">
        <v>323</v>
      </c>
      <c r="C48" s="42">
        <v>43092.0</v>
      </c>
      <c r="D48" s="42" t="s">
        <v>324</v>
      </c>
      <c r="E48" s="27"/>
      <c r="F48" s="28"/>
      <c r="G48" s="29"/>
      <c r="H48" s="30"/>
      <c r="I48" s="31">
        <v>9200.0</v>
      </c>
      <c r="J48" s="32"/>
      <c r="K48" s="33"/>
      <c r="L48" s="43">
        <v>9200.0</v>
      </c>
      <c r="M48" s="18">
        <f t="shared" si="1"/>
        <v>0</v>
      </c>
    </row>
    <row r="49">
      <c r="A49" s="41">
        <v>45.0</v>
      </c>
      <c r="B49" s="42" t="s">
        <v>325</v>
      </c>
      <c r="C49" s="42">
        <v>33342.0</v>
      </c>
      <c r="D49" s="42" t="s">
        <v>320</v>
      </c>
      <c r="E49" s="27"/>
      <c r="F49" s="28"/>
      <c r="G49" s="29"/>
      <c r="H49" s="30">
        <v>5000.0</v>
      </c>
      <c r="I49" s="31"/>
      <c r="J49" s="32"/>
      <c r="K49" s="33"/>
      <c r="L49" s="43">
        <v>5000.0</v>
      </c>
      <c r="M49" s="18">
        <f t="shared" si="1"/>
        <v>0</v>
      </c>
    </row>
    <row r="50">
      <c r="A50" s="41">
        <v>46.0</v>
      </c>
      <c r="B50" s="42" t="s">
        <v>326</v>
      </c>
      <c r="C50" s="42">
        <v>52647.0</v>
      </c>
      <c r="D50" s="42" t="s">
        <v>322</v>
      </c>
      <c r="E50" s="27"/>
      <c r="F50" s="28"/>
      <c r="G50" s="29"/>
      <c r="H50" s="30">
        <v>5204.0</v>
      </c>
      <c r="I50" s="31"/>
      <c r="J50" s="32"/>
      <c r="K50" s="33"/>
      <c r="L50" s="43">
        <v>5204.0</v>
      </c>
      <c r="M50" s="18">
        <f t="shared" si="1"/>
        <v>0</v>
      </c>
    </row>
    <row r="51">
      <c r="A51" s="41">
        <v>47.0</v>
      </c>
      <c r="B51" s="42" t="s">
        <v>327</v>
      </c>
      <c r="C51" s="42">
        <v>43375.0</v>
      </c>
      <c r="D51" s="42" t="s">
        <v>328</v>
      </c>
      <c r="E51" s="27"/>
      <c r="F51" s="28"/>
      <c r="G51" s="29"/>
      <c r="H51" s="30">
        <v>17250.0</v>
      </c>
      <c r="I51" s="31"/>
      <c r="J51" s="32"/>
      <c r="K51" s="33"/>
      <c r="L51" s="43">
        <v>17250.0</v>
      </c>
      <c r="M51" s="18">
        <f t="shared" si="1"/>
        <v>0</v>
      </c>
    </row>
    <row r="52">
      <c r="A52" s="41">
        <v>48.0</v>
      </c>
      <c r="B52" s="42" t="s">
        <v>329</v>
      </c>
      <c r="C52" s="42">
        <v>54405.0</v>
      </c>
      <c r="D52" s="42" t="s">
        <v>330</v>
      </c>
      <c r="E52" s="27"/>
      <c r="F52" s="28"/>
      <c r="G52" s="29"/>
      <c r="H52" s="30">
        <v>5150.0</v>
      </c>
      <c r="I52" s="36"/>
      <c r="J52" s="32"/>
      <c r="K52" s="33"/>
      <c r="L52" s="43">
        <v>5150.0</v>
      </c>
      <c r="M52" s="18">
        <f t="shared" si="1"/>
        <v>0</v>
      </c>
    </row>
    <row r="53">
      <c r="A53" s="41">
        <v>49.0</v>
      </c>
      <c r="B53" s="42" t="s">
        <v>331</v>
      </c>
      <c r="C53" s="42">
        <v>48631.0</v>
      </c>
      <c r="D53" s="42" t="s">
        <v>118</v>
      </c>
      <c r="E53" s="27"/>
      <c r="F53" s="37"/>
      <c r="G53" s="29"/>
      <c r="H53" s="30">
        <v>1750.0</v>
      </c>
      <c r="I53" s="31"/>
      <c r="J53" s="32"/>
      <c r="K53" s="33"/>
      <c r="L53" s="43">
        <v>1750.0</v>
      </c>
      <c r="M53" s="18">
        <f t="shared" si="1"/>
        <v>0</v>
      </c>
    </row>
    <row r="54">
      <c r="A54" s="41">
        <v>50.0</v>
      </c>
      <c r="B54" s="42" t="s">
        <v>332</v>
      </c>
      <c r="C54" s="42">
        <v>51406.0</v>
      </c>
      <c r="D54" s="42" t="s">
        <v>18</v>
      </c>
      <c r="E54" s="27"/>
      <c r="F54" s="28"/>
      <c r="G54" s="29"/>
      <c r="H54" s="30"/>
      <c r="I54" s="31">
        <v>3500.0</v>
      </c>
      <c r="J54" s="32"/>
      <c r="K54" s="33"/>
      <c r="L54" s="43">
        <v>3500.0</v>
      </c>
      <c r="M54" s="18">
        <f t="shared" si="1"/>
        <v>0</v>
      </c>
    </row>
    <row r="55">
      <c r="A55" s="41">
        <v>51.0</v>
      </c>
      <c r="B55" s="42" t="s">
        <v>333</v>
      </c>
      <c r="C55" s="42">
        <v>53095.0</v>
      </c>
      <c r="D55" s="42" t="s">
        <v>334</v>
      </c>
      <c r="E55" s="27"/>
      <c r="F55" s="28"/>
      <c r="G55" s="29"/>
      <c r="H55" s="30"/>
      <c r="I55" s="31">
        <v>10000.0</v>
      </c>
      <c r="J55" s="32"/>
      <c r="K55" s="33"/>
      <c r="L55" s="43">
        <v>10000.0</v>
      </c>
      <c r="M55" s="18">
        <f t="shared" si="1"/>
        <v>0</v>
      </c>
    </row>
    <row r="56">
      <c r="A56" s="41">
        <v>52.0</v>
      </c>
      <c r="B56" s="42" t="s">
        <v>335</v>
      </c>
      <c r="C56" s="42">
        <v>51876.0</v>
      </c>
      <c r="D56" s="42" t="s">
        <v>74</v>
      </c>
      <c r="E56" s="27"/>
      <c r="F56" s="28"/>
      <c r="G56" s="29"/>
      <c r="H56" s="30">
        <v>1427.0</v>
      </c>
      <c r="I56" s="31"/>
      <c r="J56" s="32"/>
      <c r="K56" s="33"/>
      <c r="L56" s="43">
        <v>1427.0</v>
      </c>
      <c r="M56" s="18">
        <f t="shared" si="1"/>
        <v>0</v>
      </c>
    </row>
    <row r="57">
      <c r="A57" s="41">
        <v>53.0</v>
      </c>
      <c r="B57" s="42" t="s">
        <v>336</v>
      </c>
      <c r="C57" s="42">
        <v>45937.0</v>
      </c>
      <c r="D57" s="42" t="s">
        <v>337</v>
      </c>
      <c r="E57" s="27"/>
      <c r="F57" s="28"/>
      <c r="G57" s="29"/>
      <c r="H57" s="30">
        <v>2500.0</v>
      </c>
      <c r="I57" s="31"/>
      <c r="J57" s="32"/>
      <c r="K57" s="33"/>
      <c r="L57" s="43">
        <v>2500.0</v>
      </c>
      <c r="M57" s="18">
        <f t="shared" si="1"/>
        <v>0</v>
      </c>
    </row>
    <row r="58">
      <c r="A58" s="41">
        <v>54.0</v>
      </c>
      <c r="B58" s="42" t="s">
        <v>338</v>
      </c>
      <c r="C58" s="42">
        <v>35449.0</v>
      </c>
      <c r="D58" s="42" t="s">
        <v>339</v>
      </c>
      <c r="E58" s="27"/>
      <c r="F58" s="28"/>
      <c r="G58" s="29"/>
      <c r="H58" s="30"/>
      <c r="I58" s="31">
        <v>5200.0</v>
      </c>
      <c r="J58" s="32"/>
      <c r="K58" s="33"/>
      <c r="L58" s="43">
        <v>5200.0</v>
      </c>
      <c r="M58" s="18">
        <f t="shared" si="1"/>
        <v>0</v>
      </c>
    </row>
    <row r="59">
      <c r="A59" s="41">
        <v>55.0</v>
      </c>
      <c r="B59" s="42" t="s">
        <v>340</v>
      </c>
      <c r="C59" s="42">
        <v>37195.0</v>
      </c>
      <c r="D59" s="42" t="s">
        <v>341</v>
      </c>
      <c r="E59" s="27"/>
      <c r="F59" s="28"/>
      <c r="G59" s="29"/>
      <c r="H59" s="30"/>
      <c r="I59" s="31">
        <v>5000.0</v>
      </c>
      <c r="J59" s="32"/>
      <c r="K59" s="33"/>
      <c r="L59" s="43">
        <v>5000.0</v>
      </c>
      <c r="M59" s="18">
        <f t="shared" si="1"/>
        <v>0</v>
      </c>
    </row>
    <row r="60">
      <c r="A60" s="41">
        <v>56.0</v>
      </c>
      <c r="B60" s="42" t="s">
        <v>342</v>
      </c>
      <c r="C60" s="42">
        <v>54330.0</v>
      </c>
      <c r="D60" s="42" t="s">
        <v>343</v>
      </c>
      <c r="E60" s="27"/>
      <c r="F60" s="28"/>
      <c r="G60" s="29"/>
      <c r="H60" s="30">
        <v>5000.0</v>
      </c>
      <c r="I60" s="31"/>
      <c r="J60" s="32"/>
      <c r="K60" s="33"/>
      <c r="L60" s="43">
        <v>5000.0</v>
      </c>
      <c r="M60" s="18">
        <f t="shared" si="1"/>
        <v>0</v>
      </c>
    </row>
    <row r="61">
      <c r="A61" s="41">
        <v>57.0</v>
      </c>
      <c r="B61" s="42" t="s">
        <v>344</v>
      </c>
      <c r="C61" s="42">
        <v>12102.0</v>
      </c>
      <c r="D61" s="42" t="s">
        <v>345</v>
      </c>
      <c r="E61" s="27"/>
      <c r="F61" s="28"/>
      <c r="G61" s="29"/>
      <c r="H61" s="30">
        <v>1427.0</v>
      </c>
      <c r="I61" s="31"/>
      <c r="J61" s="32"/>
      <c r="K61" s="33"/>
      <c r="L61" s="43">
        <v>1427.0</v>
      </c>
      <c r="M61" s="18">
        <f t="shared" si="1"/>
        <v>0</v>
      </c>
    </row>
    <row r="62">
      <c r="A62" s="41">
        <v>58.0</v>
      </c>
      <c r="B62" s="42" t="s">
        <v>346</v>
      </c>
      <c r="C62" s="42">
        <v>31927.0</v>
      </c>
      <c r="D62" s="42" t="s">
        <v>183</v>
      </c>
      <c r="E62" s="27"/>
      <c r="F62" s="28"/>
      <c r="G62" s="29"/>
      <c r="H62" s="30">
        <v>2000.0</v>
      </c>
      <c r="I62" s="31"/>
      <c r="J62" s="32"/>
      <c r="K62" s="33"/>
      <c r="L62" s="43">
        <v>2000.0</v>
      </c>
      <c r="M62" s="18">
        <f t="shared" si="1"/>
        <v>0</v>
      </c>
    </row>
    <row r="63">
      <c r="A63" s="41">
        <v>59.0</v>
      </c>
      <c r="B63" s="42" t="s">
        <v>347</v>
      </c>
      <c r="C63" s="42">
        <v>53775.0</v>
      </c>
      <c r="D63" s="42" t="s">
        <v>348</v>
      </c>
      <c r="E63" s="27"/>
      <c r="F63" s="28"/>
      <c r="G63" s="29"/>
      <c r="H63" s="30">
        <v>5150.0</v>
      </c>
      <c r="I63" s="31"/>
      <c r="J63" s="32"/>
      <c r="K63" s="33"/>
      <c r="L63" s="43">
        <v>5150.0</v>
      </c>
      <c r="M63" s="18">
        <f t="shared" si="1"/>
        <v>0</v>
      </c>
    </row>
    <row r="64">
      <c r="A64" s="41">
        <v>60.0</v>
      </c>
      <c r="B64" s="42" t="s">
        <v>349</v>
      </c>
      <c r="C64" s="42">
        <v>35245.0</v>
      </c>
      <c r="D64" s="42" t="s">
        <v>34</v>
      </c>
      <c r="E64" s="38">
        <v>15000.0</v>
      </c>
      <c r="F64" s="28"/>
      <c r="G64" s="29"/>
      <c r="H64" s="30"/>
      <c r="I64" s="31"/>
      <c r="J64" s="32"/>
      <c r="K64" s="33"/>
      <c r="L64" s="43">
        <v>15000.0</v>
      </c>
      <c r="M64" s="18">
        <f t="shared" si="1"/>
        <v>0</v>
      </c>
    </row>
    <row r="65">
      <c r="A65" s="41">
        <v>61.0</v>
      </c>
      <c r="B65" s="42" t="s">
        <v>350</v>
      </c>
      <c r="C65" s="42">
        <v>50243.0</v>
      </c>
      <c r="D65" s="42" t="s">
        <v>351</v>
      </c>
      <c r="E65" s="27"/>
      <c r="F65" s="28"/>
      <c r="G65" s="29"/>
      <c r="H65" s="30">
        <v>8500.0</v>
      </c>
      <c r="I65" s="31"/>
      <c r="J65" s="32"/>
      <c r="K65" s="33"/>
      <c r="L65" s="43">
        <v>8500.0</v>
      </c>
      <c r="M65" s="18">
        <f t="shared" si="1"/>
        <v>0</v>
      </c>
    </row>
    <row r="66">
      <c r="A66" s="41">
        <v>62.0</v>
      </c>
      <c r="B66" s="42" t="s">
        <v>352</v>
      </c>
      <c r="C66" s="42">
        <v>48306.0</v>
      </c>
      <c r="D66" s="42" t="s">
        <v>126</v>
      </c>
      <c r="E66" s="27"/>
      <c r="F66" s="28"/>
      <c r="G66" s="29"/>
      <c r="H66" s="30">
        <v>5000.0</v>
      </c>
      <c r="I66" s="36"/>
      <c r="J66" s="32"/>
      <c r="K66" s="33"/>
      <c r="L66" s="43">
        <v>5000.0</v>
      </c>
      <c r="M66" s="18">
        <f t="shared" si="1"/>
        <v>0</v>
      </c>
    </row>
    <row r="67">
      <c r="A67" s="41">
        <v>63.0</v>
      </c>
      <c r="B67" s="42" t="s">
        <v>353</v>
      </c>
      <c r="C67" s="42">
        <v>43113.0</v>
      </c>
      <c r="D67" s="42" t="s">
        <v>354</v>
      </c>
      <c r="E67" s="27"/>
      <c r="F67" s="28"/>
      <c r="G67" s="29"/>
      <c r="H67" s="30">
        <v>0.0</v>
      </c>
      <c r="I67" s="36"/>
      <c r="J67" s="32"/>
      <c r="K67" s="33"/>
      <c r="L67" s="43">
        <v>4000.0</v>
      </c>
      <c r="M67" s="18">
        <f t="shared" si="1"/>
        <v>-4000</v>
      </c>
    </row>
    <row r="68">
      <c r="A68" s="41">
        <v>64.0</v>
      </c>
      <c r="B68" s="42" t="s">
        <v>355</v>
      </c>
      <c r="C68" s="42">
        <v>13762.0</v>
      </c>
      <c r="D68" s="42" t="s">
        <v>356</v>
      </c>
      <c r="E68" s="27"/>
      <c r="F68" s="37">
        <v>30000.0</v>
      </c>
      <c r="G68" s="29"/>
      <c r="H68" s="30"/>
      <c r="I68" s="36"/>
      <c r="J68" s="32"/>
      <c r="K68" s="33"/>
      <c r="L68" s="43">
        <v>30000.0</v>
      </c>
      <c r="M68" s="18">
        <f t="shared" si="1"/>
        <v>0</v>
      </c>
    </row>
    <row r="69">
      <c r="A69" s="41">
        <v>65.0</v>
      </c>
      <c r="B69" s="42" t="s">
        <v>357</v>
      </c>
      <c r="C69" s="42">
        <v>54816.0</v>
      </c>
      <c r="D69" s="42" t="s">
        <v>358</v>
      </c>
      <c r="E69" s="27"/>
      <c r="F69" s="28"/>
      <c r="G69" s="29"/>
      <c r="H69" s="30"/>
      <c r="I69" s="31">
        <v>1280.0</v>
      </c>
      <c r="J69" s="32"/>
      <c r="K69" s="33"/>
      <c r="L69" s="43">
        <v>1280.0</v>
      </c>
      <c r="M69" s="18">
        <f t="shared" si="1"/>
        <v>0</v>
      </c>
    </row>
    <row r="70">
      <c r="A70" s="41">
        <v>66.0</v>
      </c>
      <c r="B70" s="42" t="s">
        <v>359</v>
      </c>
      <c r="C70" s="42">
        <v>54455.0</v>
      </c>
      <c r="D70" s="42" t="s">
        <v>360</v>
      </c>
      <c r="E70" s="27"/>
      <c r="F70" s="28"/>
      <c r="G70" s="29"/>
      <c r="H70" s="30"/>
      <c r="I70" s="31">
        <v>15000.0</v>
      </c>
      <c r="J70" s="32"/>
      <c r="K70" s="33"/>
      <c r="L70" s="43">
        <v>15000.0</v>
      </c>
      <c r="M70" s="18">
        <f t="shared" si="1"/>
        <v>0</v>
      </c>
    </row>
    <row r="71">
      <c r="A71" s="41">
        <v>67.0</v>
      </c>
      <c r="B71" s="42" t="s">
        <v>361</v>
      </c>
      <c r="C71" s="42">
        <v>57465.0</v>
      </c>
      <c r="D71" s="42" t="s">
        <v>362</v>
      </c>
      <c r="E71" s="38">
        <v>590.0</v>
      </c>
      <c r="F71" s="28"/>
      <c r="G71" s="29"/>
      <c r="H71" s="30"/>
      <c r="I71" s="31"/>
      <c r="J71" s="32"/>
      <c r="K71" s="33"/>
      <c r="L71" s="43">
        <v>590.0</v>
      </c>
      <c r="M71" s="18">
        <f t="shared" si="1"/>
        <v>0</v>
      </c>
    </row>
    <row r="72">
      <c r="A72" s="41">
        <v>68.0</v>
      </c>
      <c r="B72" s="42" t="s">
        <v>363</v>
      </c>
      <c r="C72" s="42">
        <v>21971.0</v>
      </c>
      <c r="D72" s="42" t="s">
        <v>220</v>
      </c>
      <c r="E72" s="38"/>
      <c r="F72" s="37">
        <v>600.0</v>
      </c>
      <c r="G72" s="29"/>
      <c r="H72" s="30"/>
      <c r="I72" s="36"/>
      <c r="J72" s="32"/>
      <c r="K72" s="33"/>
      <c r="L72" s="43">
        <v>600.0</v>
      </c>
      <c r="M72" s="18">
        <f t="shared" si="1"/>
        <v>0</v>
      </c>
    </row>
    <row r="73">
      <c r="A73" s="41">
        <v>69.0</v>
      </c>
      <c r="B73" s="42" t="s">
        <v>364</v>
      </c>
      <c r="C73" s="42">
        <v>37558.0</v>
      </c>
      <c r="D73" s="42" t="s">
        <v>365</v>
      </c>
      <c r="E73" s="27"/>
      <c r="F73" s="28"/>
      <c r="G73" s="29"/>
      <c r="H73" s="30"/>
      <c r="I73" s="31">
        <v>5000.0</v>
      </c>
      <c r="J73" s="32"/>
      <c r="K73" s="33"/>
      <c r="L73" s="43">
        <v>5000.0</v>
      </c>
      <c r="M73" s="18">
        <f t="shared" si="1"/>
        <v>0</v>
      </c>
    </row>
    <row r="74">
      <c r="A74" s="41">
        <v>70.0</v>
      </c>
      <c r="B74" s="42" t="s">
        <v>366</v>
      </c>
      <c r="C74" s="42">
        <v>55293.0</v>
      </c>
      <c r="D74" s="42" t="s">
        <v>367</v>
      </c>
      <c r="E74" s="27"/>
      <c r="F74" s="28"/>
      <c r="G74" s="29"/>
      <c r="H74" s="30"/>
      <c r="I74" s="31">
        <v>5000.0</v>
      </c>
      <c r="J74" s="32"/>
      <c r="K74" s="33"/>
      <c r="L74" s="43">
        <v>5000.0</v>
      </c>
      <c r="M74" s="18">
        <f t="shared" si="1"/>
        <v>0</v>
      </c>
    </row>
    <row r="75">
      <c r="A75" s="41">
        <v>71.0</v>
      </c>
      <c r="B75" s="42" t="s">
        <v>368</v>
      </c>
      <c r="C75" s="42">
        <v>49655.0</v>
      </c>
      <c r="D75" s="42" t="s">
        <v>208</v>
      </c>
      <c r="E75" s="27"/>
      <c r="F75" s="28"/>
      <c r="G75" s="39">
        <v>8700.0</v>
      </c>
      <c r="H75" s="30"/>
      <c r="I75" s="36"/>
      <c r="J75" s="32"/>
      <c r="K75" s="33"/>
      <c r="L75" s="43">
        <v>8700.0</v>
      </c>
      <c r="M75" s="18">
        <f t="shared" si="1"/>
        <v>0</v>
      </c>
    </row>
    <row r="76">
      <c r="A76" s="41">
        <v>72.0</v>
      </c>
      <c r="B76" s="42" t="s">
        <v>369</v>
      </c>
      <c r="C76" s="42">
        <v>51166.0</v>
      </c>
      <c r="D76" s="42" t="s">
        <v>370</v>
      </c>
      <c r="E76" s="27"/>
      <c r="F76" s="37"/>
      <c r="G76" s="39">
        <v>15000.0</v>
      </c>
      <c r="H76" s="30"/>
      <c r="I76" s="36"/>
      <c r="J76" s="32"/>
      <c r="K76" s="33"/>
      <c r="L76" s="43">
        <v>15000.0</v>
      </c>
      <c r="M76" s="18">
        <f t="shared" si="1"/>
        <v>0</v>
      </c>
    </row>
    <row r="77">
      <c r="A77" s="41">
        <v>73.0</v>
      </c>
      <c r="B77" s="42" t="s">
        <v>371</v>
      </c>
      <c r="C77" s="42">
        <v>48192.0</v>
      </c>
      <c r="D77" s="42" t="s">
        <v>372</v>
      </c>
      <c r="E77" s="27"/>
      <c r="F77" s="37"/>
      <c r="G77" s="29"/>
      <c r="H77" s="30"/>
      <c r="I77" s="36"/>
      <c r="J77" s="35">
        <v>5000.0</v>
      </c>
      <c r="K77" s="33"/>
      <c r="L77" s="43">
        <v>5000.0</v>
      </c>
      <c r="M77" s="18">
        <f t="shared" si="1"/>
        <v>0</v>
      </c>
    </row>
    <row r="78">
      <c r="A78" s="41">
        <v>74.0</v>
      </c>
      <c r="B78" s="42" t="s">
        <v>373</v>
      </c>
      <c r="C78" s="42">
        <v>53943.0</v>
      </c>
      <c r="D78" s="42" t="s">
        <v>374</v>
      </c>
      <c r="E78" s="27"/>
      <c r="F78" s="28"/>
      <c r="G78" s="29"/>
      <c r="H78" s="30"/>
      <c r="I78" s="36"/>
      <c r="J78" s="35">
        <v>3750.0</v>
      </c>
      <c r="K78" s="33"/>
      <c r="L78" s="43">
        <v>3750.0</v>
      </c>
      <c r="M78" s="18">
        <f t="shared" si="1"/>
        <v>0</v>
      </c>
    </row>
    <row r="79">
      <c r="A79" s="41">
        <v>75.0</v>
      </c>
      <c r="B79" s="42" t="s">
        <v>375</v>
      </c>
      <c r="C79" s="42">
        <v>50221.0</v>
      </c>
      <c r="D79" s="42" t="s">
        <v>252</v>
      </c>
      <c r="E79" s="27"/>
      <c r="F79" s="37"/>
      <c r="G79" s="39">
        <v>2650.0</v>
      </c>
      <c r="H79" s="30"/>
      <c r="I79" s="36"/>
      <c r="J79" s="32"/>
      <c r="K79" s="33"/>
      <c r="L79" s="43">
        <v>2650.0</v>
      </c>
      <c r="M79" s="18">
        <f t="shared" si="1"/>
        <v>0</v>
      </c>
    </row>
    <row r="80">
      <c r="A80" s="41">
        <v>76.0</v>
      </c>
      <c r="B80" s="42" t="s">
        <v>376</v>
      </c>
      <c r="C80" s="42">
        <v>50148.0</v>
      </c>
      <c r="D80" s="42" t="s">
        <v>244</v>
      </c>
      <c r="E80" s="27"/>
      <c r="F80" s="28"/>
      <c r="G80" s="39">
        <v>10000.0</v>
      </c>
      <c r="H80" s="30"/>
      <c r="I80" s="31"/>
      <c r="J80" s="32"/>
      <c r="K80" s="33"/>
      <c r="L80" s="43">
        <v>10000.0</v>
      </c>
      <c r="M80" s="18">
        <f t="shared" si="1"/>
        <v>0</v>
      </c>
    </row>
    <row r="81">
      <c r="A81" s="41">
        <v>77.0</v>
      </c>
      <c r="B81" s="42" t="s">
        <v>377</v>
      </c>
      <c r="C81" s="42">
        <v>25650.0</v>
      </c>
      <c r="D81" s="42" t="s">
        <v>378</v>
      </c>
      <c r="E81" s="27"/>
      <c r="F81" s="28"/>
      <c r="G81" s="39">
        <v>10000.0</v>
      </c>
      <c r="H81" s="30"/>
      <c r="I81" s="31"/>
      <c r="J81" s="32"/>
      <c r="K81" s="33"/>
      <c r="L81" s="43">
        <v>10000.0</v>
      </c>
      <c r="M81" s="18">
        <f t="shared" si="1"/>
        <v>0</v>
      </c>
    </row>
    <row r="82">
      <c r="A82" s="41">
        <v>78.0</v>
      </c>
      <c r="B82" s="42" t="s">
        <v>379</v>
      </c>
      <c r="C82" s="42">
        <v>50070.0</v>
      </c>
      <c r="D82" s="42" t="s">
        <v>380</v>
      </c>
      <c r="E82" s="27"/>
      <c r="F82" s="28"/>
      <c r="G82" s="39">
        <v>350.0</v>
      </c>
      <c r="H82" s="30"/>
      <c r="I82" s="31"/>
      <c r="J82" s="32"/>
      <c r="K82" s="33"/>
      <c r="L82" s="43">
        <v>350.0</v>
      </c>
      <c r="M82" s="18">
        <f t="shared" si="1"/>
        <v>0</v>
      </c>
    </row>
    <row r="83">
      <c r="A83" s="41">
        <v>79.0</v>
      </c>
      <c r="B83" s="42" t="s">
        <v>381</v>
      </c>
      <c r="C83" s="42">
        <v>53330.0</v>
      </c>
      <c r="D83" s="42" t="s">
        <v>382</v>
      </c>
      <c r="E83" s="38"/>
      <c r="F83" s="28"/>
      <c r="G83" s="39">
        <v>10000.0</v>
      </c>
      <c r="H83" s="34"/>
      <c r="I83" s="31"/>
      <c r="J83" s="32"/>
      <c r="K83" s="33"/>
      <c r="L83" s="43">
        <v>10000.0</v>
      </c>
      <c r="M83" s="18">
        <f t="shared" si="1"/>
        <v>0</v>
      </c>
    </row>
    <row r="84">
      <c r="A84" s="41">
        <v>80.0</v>
      </c>
      <c r="B84" s="42" t="s">
        <v>383</v>
      </c>
      <c r="C84" s="42">
        <v>54980.0</v>
      </c>
      <c r="D84" s="42" t="s">
        <v>384</v>
      </c>
      <c r="E84" s="27"/>
      <c r="F84" s="37"/>
      <c r="G84" s="29"/>
      <c r="H84" s="30"/>
      <c r="I84" s="36"/>
      <c r="J84" s="35">
        <v>27000.0</v>
      </c>
      <c r="K84" s="33"/>
      <c r="L84" s="43">
        <v>27000.0</v>
      </c>
      <c r="M84" s="18">
        <f t="shared" si="1"/>
        <v>0</v>
      </c>
    </row>
    <row r="85">
      <c r="A85" s="41">
        <v>81.0</v>
      </c>
      <c r="B85" s="42" t="s">
        <v>385</v>
      </c>
      <c r="C85" s="42">
        <v>35227.0</v>
      </c>
      <c r="D85" s="42" t="s">
        <v>386</v>
      </c>
      <c r="E85" s="27"/>
      <c r="F85" s="28"/>
      <c r="G85" s="29"/>
      <c r="H85" s="34"/>
      <c r="I85" s="31"/>
      <c r="J85" s="35">
        <v>2500.0</v>
      </c>
      <c r="K85" s="33"/>
      <c r="L85" s="43">
        <v>2500.0</v>
      </c>
      <c r="M85" s="18">
        <f t="shared" si="1"/>
        <v>0</v>
      </c>
    </row>
    <row r="86">
      <c r="A86" s="41">
        <v>82.0</v>
      </c>
      <c r="B86" s="42" t="s">
        <v>387</v>
      </c>
      <c r="C86" s="42">
        <v>35227.0</v>
      </c>
      <c r="D86" s="42" t="s">
        <v>386</v>
      </c>
      <c r="E86" s="27"/>
      <c r="F86" s="28"/>
      <c r="G86" s="29"/>
      <c r="H86" s="30"/>
      <c r="I86" s="31"/>
      <c r="J86" s="35">
        <v>350.0</v>
      </c>
      <c r="K86" s="33"/>
      <c r="L86" s="43">
        <v>350.0</v>
      </c>
      <c r="M86" s="18">
        <f t="shared" si="1"/>
        <v>0</v>
      </c>
    </row>
    <row r="87">
      <c r="A87" s="41"/>
      <c r="B87" s="26"/>
      <c r="C87" s="26"/>
      <c r="D87" s="26"/>
      <c r="E87" s="27"/>
      <c r="F87" s="28"/>
      <c r="G87" s="29"/>
      <c r="H87" s="34"/>
      <c r="I87" s="31"/>
      <c r="J87" s="32"/>
      <c r="K87" s="33"/>
      <c r="L87" s="17"/>
      <c r="M87" s="18">
        <f t="shared" si="1"/>
        <v>0</v>
      </c>
    </row>
    <row r="88">
      <c r="A88" s="44"/>
      <c r="B88" s="45"/>
      <c r="C88" s="45"/>
      <c r="D88" s="44"/>
      <c r="E88" s="22">
        <f t="shared" ref="E88:J88" si="2">SUM(E5:E87)</f>
        <v>15590</v>
      </c>
      <c r="F88" s="22">
        <f t="shared" si="2"/>
        <v>30600</v>
      </c>
      <c r="G88" s="22">
        <f t="shared" si="2"/>
        <v>56700</v>
      </c>
      <c r="H88" s="22">
        <f t="shared" si="2"/>
        <v>365308</v>
      </c>
      <c r="I88" s="22">
        <f t="shared" si="2"/>
        <v>213807</v>
      </c>
      <c r="J88" s="22">
        <f t="shared" si="2"/>
        <v>42450</v>
      </c>
      <c r="K88" s="22">
        <f>SUM(K24:K87)</f>
        <v>0</v>
      </c>
      <c r="L88" s="22">
        <f t="shared" ref="L88:M88" si="3">SUM(L5:L87)</f>
        <v>728455</v>
      </c>
      <c r="M88" s="18">
        <f t="shared" si="3"/>
        <v>-4000</v>
      </c>
    </row>
    <row r="89">
      <c r="A89" s="23"/>
      <c r="B89" s="23"/>
      <c r="C89" s="23"/>
      <c r="D89" s="23"/>
      <c r="E89" s="24">
        <f>SUM(K88:M88)</f>
        <v>724455</v>
      </c>
      <c r="F89" s="6"/>
      <c r="G89" s="6"/>
      <c r="H89" s="6"/>
      <c r="I89" s="6"/>
      <c r="J89" s="6"/>
      <c r="K89" s="7"/>
      <c r="L89" s="25"/>
      <c r="M89" s="23"/>
    </row>
    <row r="90">
      <c r="L90" s="40" t="s">
        <v>254</v>
      </c>
    </row>
  </sheetData>
  <mergeCells count="14">
    <mergeCell ref="F3:G3"/>
    <mergeCell ref="H3:I3"/>
    <mergeCell ref="J3:J4"/>
    <mergeCell ref="K3:K4"/>
    <mergeCell ref="E89:K89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5"/>
    <col customWidth="1" min="2" max="2" width="24.75"/>
    <col customWidth="1" min="4" max="4" width="43.25"/>
    <col customWidth="1" min="5" max="5" width="9.5"/>
  </cols>
  <sheetData>
    <row r="1">
      <c r="A1" s="1" t="s">
        <v>388</v>
      </c>
    </row>
    <row r="2">
      <c r="A2" s="2" t="s">
        <v>1</v>
      </c>
      <c r="B2" s="3" t="s">
        <v>2</v>
      </c>
      <c r="C2" s="2" t="s">
        <v>3</v>
      </c>
      <c r="D2" s="4" t="s">
        <v>4</v>
      </c>
      <c r="E2" s="5" t="s">
        <v>5</v>
      </c>
      <c r="F2" s="6"/>
      <c r="G2" s="6"/>
      <c r="H2" s="6"/>
      <c r="I2" s="6"/>
      <c r="J2" s="6"/>
      <c r="K2" s="6"/>
      <c r="L2" s="6"/>
      <c r="M2" s="7"/>
    </row>
    <row r="3">
      <c r="A3" s="8"/>
      <c r="B3" s="8"/>
      <c r="C3" s="8"/>
      <c r="D3" s="8"/>
      <c r="E3" s="2" t="s">
        <v>6</v>
      </c>
      <c r="F3" s="5" t="s">
        <v>7</v>
      </c>
      <c r="G3" s="7"/>
      <c r="H3" s="5" t="s">
        <v>8</v>
      </c>
      <c r="I3" s="7"/>
      <c r="J3" s="2" t="s">
        <v>9</v>
      </c>
      <c r="K3" s="4" t="s">
        <v>10</v>
      </c>
      <c r="L3" s="2" t="s">
        <v>11</v>
      </c>
      <c r="M3" s="2" t="s">
        <v>12</v>
      </c>
    </row>
    <row r="4">
      <c r="A4" s="9"/>
      <c r="B4" s="9"/>
      <c r="C4" s="9"/>
      <c r="D4" s="9"/>
      <c r="E4" s="9"/>
      <c r="F4" s="10" t="s">
        <v>13</v>
      </c>
      <c r="G4" s="10" t="s">
        <v>14</v>
      </c>
      <c r="H4" s="10" t="s">
        <v>15</v>
      </c>
      <c r="I4" s="11" t="s">
        <v>16</v>
      </c>
      <c r="J4" s="9"/>
      <c r="K4" s="9"/>
      <c r="L4" s="9"/>
      <c r="M4" s="9"/>
    </row>
    <row r="5">
      <c r="A5" s="41">
        <v>1.0</v>
      </c>
      <c r="B5" s="46" t="s">
        <v>389</v>
      </c>
      <c r="C5" s="46">
        <v>43380.0</v>
      </c>
      <c r="D5" s="46" t="s">
        <v>61</v>
      </c>
      <c r="E5" s="27"/>
      <c r="F5" s="28"/>
      <c r="G5" s="29"/>
      <c r="H5" s="30">
        <v>2550.0</v>
      </c>
      <c r="I5" s="31"/>
      <c r="J5" s="32"/>
      <c r="K5" s="33"/>
      <c r="L5" s="47">
        <v>2550.0</v>
      </c>
      <c r="M5" s="18">
        <f t="shared" ref="M5:M110" si="1">SUM(E5+F5+G5+H5+I5+J5+K5-L5)</f>
        <v>0</v>
      </c>
    </row>
    <row r="6">
      <c r="A6" s="41">
        <v>2.0</v>
      </c>
      <c r="B6" s="46" t="s">
        <v>390</v>
      </c>
      <c r="C6" s="46">
        <v>53203.0</v>
      </c>
      <c r="D6" s="46" t="s">
        <v>150</v>
      </c>
      <c r="E6" s="27"/>
      <c r="F6" s="28"/>
      <c r="G6" s="29"/>
      <c r="H6" s="34"/>
      <c r="I6" s="31">
        <v>440.0</v>
      </c>
      <c r="J6" s="35"/>
      <c r="K6" s="33"/>
      <c r="L6" s="47">
        <v>440.0</v>
      </c>
      <c r="M6" s="18">
        <f t="shared" si="1"/>
        <v>0</v>
      </c>
    </row>
    <row r="7">
      <c r="A7" s="41">
        <v>3.0</v>
      </c>
      <c r="B7" s="46" t="s">
        <v>391</v>
      </c>
      <c r="C7" s="46">
        <v>36784.0</v>
      </c>
      <c r="D7" s="46" t="s">
        <v>392</v>
      </c>
      <c r="E7" s="27"/>
      <c r="F7" s="28"/>
      <c r="G7" s="29"/>
      <c r="H7" s="30">
        <v>7650.0</v>
      </c>
      <c r="I7" s="31"/>
      <c r="J7" s="32"/>
      <c r="K7" s="33"/>
      <c r="L7" s="47">
        <v>7650.0</v>
      </c>
      <c r="M7" s="18">
        <f t="shared" si="1"/>
        <v>0</v>
      </c>
    </row>
    <row r="8">
      <c r="A8" s="41">
        <v>4.0</v>
      </c>
      <c r="B8" s="46" t="s">
        <v>393</v>
      </c>
      <c r="C8" s="46">
        <v>52576.0</v>
      </c>
      <c r="D8" s="46" t="s">
        <v>394</v>
      </c>
      <c r="E8" s="27"/>
      <c r="F8" s="28"/>
      <c r="G8" s="29"/>
      <c r="H8" s="30"/>
      <c r="I8" s="31">
        <v>12500.0</v>
      </c>
      <c r="J8" s="32"/>
      <c r="K8" s="33"/>
      <c r="L8" s="47">
        <v>12500.0</v>
      </c>
      <c r="M8" s="18">
        <f t="shared" si="1"/>
        <v>0</v>
      </c>
    </row>
    <row r="9">
      <c r="A9" s="41">
        <v>5.0</v>
      </c>
      <c r="B9" s="46" t="s">
        <v>395</v>
      </c>
      <c r="C9" s="46">
        <v>50871.0</v>
      </c>
      <c r="D9" s="46" t="s">
        <v>105</v>
      </c>
      <c r="E9" s="27"/>
      <c r="F9" s="28"/>
      <c r="G9" s="29"/>
      <c r="H9" s="30">
        <v>54450.0</v>
      </c>
      <c r="I9" s="31"/>
      <c r="J9" s="32"/>
      <c r="K9" s="33"/>
      <c r="L9" s="47">
        <v>54450.0</v>
      </c>
      <c r="M9" s="18">
        <f t="shared" si="1"/>
        <v>0</v>
      </c>
    </row>
    <row r="10">
      <c r="A10" s="41">
        <v>6.0</v>
      </c>
      <c r="B10" s="46" t="s">
        <v>396</v>
      </c>
      <c r="C10" s="46">
        <v>56727.0</v>
      </c>
      <c r="D10" s="46" t="s">
        <v>397</v>
      </c>
      <c r="E10" s="27"/>
      <c r="F10" s="28"/>
      <c r="G10" s="29"/>
      <c r="H10" s="30">
        <v>3700.0</v>
      </c>
      <c r="I10" s="31"/>
      <c r="J10" s="32"/>
      <c r="K10" s="33"/>
      <c r="L10" s="47">
        <v>3700.0</v>
      </c>
      <c r="M10" s="18">
        <f t="shared" si="1"/>
        <v>0</v>
      </c>
    </row>
    <row r="11">
      <c r="A11" s="41">
        <v>7.0</v>
      </c>
      <c r="B11" s="46" t="s">
        <v>398</v>
      </c>
      <c r="C11" s="46">
        <v>48910.0</v>
      </c>
      <c r="D11" s="46" t="s">
        <v>399</v>
      </c>
      <c r="E11" s="27"/>
      <c r="F11" s="28"/>
      <c r="G11" s="29"/>
      <c r="H11" s="34"/>
      <c r="I11" s="31">
        <v>16750.0</v>
      </c>
      <c r="J11" s="35"/>
      <c r="K11" s="33"/>
      <c r="L11" s="47">
        <v>16750.0</v>
      </c>
      <c r="M11" s="18">
        <f t="shared" si="1"/>
        <v>0</v>
      </c>
    </row>
    <row r="12">
      <c r="A12" s="41">
        <v>8.0</v>
      </c>
      <c r="B12" s="46" t="s">
        <v>400</v>
      </c>
      <c r="C12" s="46">
        <v>21821.0</v>
      </c>
      <c r="D12" s="46" t="s">
        <v>401</v>
      </c>
      <c r="E12" s="27"/>
      <c r="F12" s="28"/>
      <c r="G12" s="29"/>
      <c r="H12" s="30"/>
      <c r="I12" s="31"/>
      <c r="J12" s="35">
        <v>2000.0</v>
      </c>
      <c r="K12" s="33"/>
      <c r="L12" s="47">
        <v>2000.0</v>
      </c>
      <c r="M12" s="18">
        <f t="shared" si="1"/>
        <v>0</v>
      </c>
    </row>
    <row r="13">
      <c r="A13" s="41">
        <v>9.0</v>
      </c>
      <c r="B13" s="46" t="s">
        <v>402</v>
      </c>
      <c r="C13" s="46">
        <v>56683.0</v>
      </c>
      <c r="D13" s="46" t="s">
        <v>403</v>
      </c>
      <c r="E13" s="27"/>
      <c r="F13" s="28"/>
      <c r="G13" s="29"/>
      <c r="H13" s="30">
        <v>3750.0</v>
      </c>
      <c r="I13" s="31"/>
      <c r="J13" s="32"/>
      <c r="K13" s="33"/>
      <c r="L13" s="47">
        <v>3750.0</v>
      </c>
      <c r="M13" s="18">
        <f t="shared" si="1"/>
        <v>0</v>
      </c>
    </row>
    <row r="14">
      <c r="A14" s="41">
        <v>10.0</v>
      </c>
      <c r="B14" s="46" t="s">
        <v>404</v>
      </c>
      <c r="C14" s="46">
        <v>25650.0</v>
      </c>
      <c r="D14" s="46" t="s">
        <v>378</v>
      </c>
      <c r="E14" s="27"/>
      <c r="F14" s="28"/>
      <c r="G14" s="29"/>
      <c r="H14" s="30">
        <v>350.0</v>
      </c>
      <c r="I14" s="31"/>
      <c r="J14" s="32"/>
      <c r="K14" s="33"/>
      <c r="L14" s="47">
        <v>350.0</v>
      </c>
      <c r="M14" s="18">
        <f t="shared" si="1"/>
        <v>0</v>
      </c>
    </row>
    <row r="15">
      <c r="A15" s="41">
        <v>11.0</v>
      </c>
      <c r="B15" s="46" t="s">
        <v>405</v>
      </c>
      <c r="C15" s="46">
        <v>48910.0</v>
      </c>
      <c r="D15" s="46" t="s">
        <v>399</v>
      </c>
      <c r="E15" s="27"/>
      <c r="F15" s="28"/>
      <c r="G15" s="29"/>
      <c r="H15" s="30"/>
      <c r="I15" s="31">
        <v>1450.0</v>
      </c>
      <c r="J15" s="32"/>
      <c r="K15" s="33"/>
      <c r="L15" s="47">
        <v>1450.0</v>
      </c>
      <c r="M15" s="18">
        <f t="shared" si="1"/>
        <v>0</v>
      </c>
    </row>
    <row r="16">
      <c r="A16" s="41">
        <v>12.0</v>
      </c>
      <c r="B16" s="46" t="s">
        <v>406</v>
      </c>
      <c r="C16" s="46">
        <v>35354.0</v>
      </c>
      <c r="D16" s="46" t="s">
        <v>407</v>
      </c>
      <c r="E16" s="27"/>
      <c r="F16" s="28"/>
      <c r="G16" s="29"/>
      <c r="H16" s="30">
        <v>1400.0</v>
      </c>
      <c r="I16" s="31"/>
      <c r="J16" s="32"/>
      <c r="K16" s="33"/>
      <c r="L16" s="47">
        <v>1400.0</v>
      </c>
      <c r="M16" s="18">
        <f t="shared" si="1"/>
        <v>0</v>
      </c>
    </row>
    <row r="17">
      <c r="A17" s="41">
        <v>13.0</v>
      </c>
      <c r="B17" s="46" t="s">
        <v>408</v>
      </c>
      <c r="C17" s="46">
        <v>48053.0</v>
      </c>
      <c r="D17" s="46" t="s">
        <v>409</v>
      </c>
      <c r="E17" s="27"/>
      <c r="F17" s="28"/>
      <c r="G17" s="29"/>
      <c r="H17" s="30"/>
      <c r="I17" s="31"/>
      <c r="J17" s="35">
        <v>350.0</v>
      </c>
      <c r="K17" s="33"/>
      <c r="L17" s="47">
        <v>350.0</v>
      </c>
      <c r="M17" s="18">
        <f t="shared" si="1"/>
        <v>0</v>
      </c>
    </row>
    <row r="18">
      <c r="A18" s="41">
        <v>14.0</v>
      </c>
      <c r="B18" s="46" t="s">
        <v>410</v>
      </c>
      <c r="C18" s="46">
        <v>21818.0</v>
      </c>
      <c r="D18" s="46" t="s">
        <v>69</v>
      </c>
      <c r="E18" s="27"/>
      <c r="F18" s="28"/>
      <c r="G18" s="29"/>
      <c r="H18" s="30"/>
      <c r="I18" s="31"/>
      <c r="J18" s="35">
        <v>500.0</v>
      </c>
      <c r="K18" s="33"/>
      <c r="L18" s="47">
        <v>500.0</v>
      </c>
      <c r="M18" s="18">
        <f t="shared" si="1"/>
        <v>0</v>
      </c>
    </row>
    <row r="19">
      <c r="A19" s="41">
        <v>15.0</v>
      </c>
      <c r="B19" s="46" t="s">
        <v>411</v>
      </c>
      <c r="C19" s="46">
        <v>51976.0</v>
      </c>
      <c r="D19" s="46" t="s">
        <v>412</v>
      </c>
      <c r="E19" s="27"/>
      <c r="F19" s="37"/>
      <c r="G19" s="29"/>
      <c r="H19" s="30"/>
      <c r="I19" s="31">
        <v>21250.0</v>
      </c>
      <c r="J19" s="32"/>
      <c r="K19" s="33"/>
      <c r="L19" s="47">
        <v>21250.0</v>
      </c>
      <c r="M19" s="18">
        <f t="shared" si="1"/>
        <v>0</v>
      </c>
    </row>
    <row r="20">
      <c r="A20" s="41">
        <v>16.0</v>
      </c>
      <c r="B20" s="46" t="s">
        <v>413</v>
      </c>
      <c r="C20" s="46">
        <v>45937.0</v>
      </c>
      <c r="D20" s="46" t="s">
        <v>337</v>
      </c>
      <c r="E20" s="27"/>
      <c r="F20" s="28"/>
      <c r="G20" s="29"/>
      <c r="H20" s="30">
        <v>350.0</v>
      </c>
      <c r="I20" s="31"/>
      <c r="J20" s="32"/>
      <c r="K20" s="33"/>
      <c r="L20" s="47">
        <v>350.0</v>
      </c>
      <c r="M20" s="18">
        <f t="shared" si="1"/>
        <v>0</v>
      </c>
    </row>
    <row r="21">
      <c r="A21" s="41">
        <v>17.0</v>
      </c>
      <c r="B21" s="46" t="s">
        <v>414</v>
      </c>
      <c r="C21" s="46">
        <v>46315.0</v>
      </c>
      <c r="D21" s="46" t="s">
        <v>415</v>
      </c>
      <c r="E21" s="27"/>
      <c r="F21" s="28"/>
      <c r="G21" s="29"/>
      <c r="H21" s="30">
        <v>1250.0</v>
      </c>
      <c r="I21" s="31"/>
      <c r="J21" s="32"/>
      <c r="K21" s="33"/>
      <c r="L21" s="47">
        <v>1250.0</v>
      </c>
      <c r="M21" s="18">
        <f t="shared" si="1"/>
        <v>0</v>
      </c>
    </row>
    <row r="22">
      <c r="A22" s="41">
        <v>18.0</v>
      </c>
      <c r="B22" s="46" t="s">
        <v>416</v>
      </c>
      <c r="C22" s="46">
        <v>53593.0</v>
      </c>
      <c r="D22" s="46" t="s">
        <v>417</v>
      </c>
      <c r="E22" s="27"/>
      <c r="F22" s="28"/>
      <c r="G22" s="29"/>
      <c r="H22" s="30">
        <v>5000.0</v>
      </c>
      <c r="I22" s="31"/>
      <c r="J22" s="32"/>
      <c r="K22" s="33"/>
      <c r="L22" s="47">
        <v>5000.0</v>
      </c>
      <c r="M22" s="18">
        <f t="shared" si="1"/>
        <v>0</v>
      </c>
    </row>
    <row r="23">
      <c r="A23" s="41">
        <v>19.0</v>
      </c>
      <c r="B23" s="46" t="s">
        <v>418</v>
      </c>
      <c r="C23" s="46">
        <v>36690.0</v>
      </c>
      <c r="D23" s="46" t="s">
        <v>419</v>
      </c>
      <c r="E23" s="27"/>
      <c r="F23" s="28"/>
      <c r="G23" s="29"/>
      <c r="H23" s="30">
        <v>5000.0</v>
      </c>
      <c r="I23" s="31"/>
      <c r="J23" s="32"/>
      <c r="K23" s="33"/>
      <c r="L23" s="47">
        <v>5000.0</v>
      </c>
      <c r="M23" s="18">
        <f t="shared" si="1"/>
        <v>0</v>
      </c>
    </row>
    <row r="24">
      <c r="A24" s="41">
        <v>20.0</v>
      </c>
      <c r="B24" s="46" t="s">
        <v>420</v>
      </c>
      <c r="C24" s="46">
        <v>50436.0</v>
      </c>
      <c r="D24" s="46" t="s">
        <v>421</v>
      </c>
      <c r="E24" s="27"/>
      <c r="F24" s="28"/>
      <c r="G24" s="29"/>
      <c r="H24" s="30">
        <v>1200.0</v>
      </c>
      <c r="I24" s="31"/>
      <c r="J24" s="32"/>
      <c r="K24" s="33"/>
      <c r="L24" s="47">
        <v>1200.0</v>
      </c>
      <c r="M24" s="18">
        <f t="shared" si="1"/>
        <v>0</v>
      </c>
    </row>
    <row r="25">
      <c r="A25" s="41">
        <v>21.0</v>
      </c>
      <c r="B25" s="46" t="s">
        <v>422</v>
      </c>
      <c r="C25" s="46">
        <v>36690.0</v>
      </c>
      <c r="D25" s="46" t="s">
        <v>419</v>
      </c>
      <c r="E25" s="27"/>
      <c r="F25" s="28"/>
      <c r="G25" s="29"/>
      <c r="H25" s="30">
        <v>5000.0</v>
      </c>
      <c r="I25" s="31"/>
      <c r="J25" s="32"/>
      <c r="K25" s="33"/>
      <c r="L25" s="47">
        <v>5000.0</v>
      </c>
      <c r="M25" s="18">
        <f t="shared" si="1"/>
        <v>0</v>
      </c>
    </row>
    <row r="26">
      <c r="A26" s="41">
        <v>22.0</v>
      </c>
      <c r="B26" s="46" t="s">
        <v>423</v>
      </c>
      <c r="C26" s="46">
        <v>48306.0</v>
      </c>
      <c r="D26" s="46" t="s">
        <v>126</v>
      </c>
      <c r="E26" s="27"/>
      <c r="F26" s="37"/>
      <c r="G26" s="29"/>
      <c r="H26" s="30">
        <v>350.0</v>
      </c>
      <c r="I26" s="36"/>
      <c r="J26" s="32"/>
      <c r="K26" s="33"/>
      <c r="L26" s="47">
        <v>350.0</v>
      </c>
      <c r="M26" s="18">
        <f t="shared" si="1"/>
        <v>0</v>
      </c>
    </row>
    <row r="27">
      <c r="A27" s="41">
        <v>23.0</v>
      </c>
      <c r="B27" s="46" t="s">
        <v>424</v>
      </c>
      <c r="C27" s="46">
        <v>21384.0</v>
      </c>
      <c r="D27" s="46" t="s">
        <v>38</v>
      </c>
      <c r="E27" s="38">
        <v>4100.0</v>
      </c>
      <c r="F27" s="28"/>
      <c r="G27" s="29"/>
      <c r="H27" s="30"/>
      <c r="I27" s="36"/>
      <c r="J27" s="32"/>
      <c r="K27" s="33"/>
      <c r="L27" s="47">
        <v>4100.0</v>
      </c>
      <c r="M27" s="18">
        <f t="shared" si="1"/>
        <v>0</v>
      </c>
    </row>
    <row r="28">
      <c r="A28" s="41">
        <v>24.0</v>
      </c>
      <c r="B28" s="46" t="s">
        <v>425</v>
      </c>
      <c r="C28" s="46">
        <v>52725.0</v>
      </c>
      <c r="D28" s="46" t="s">
        <v>426</v>
      </c>
      <c r="E28" s="27"/>
      <c r="F28" s="37"/>
      <c r="G28" s="29"/>
      <c r="H28" s="30"/>
      <c r="I28" s="31">
        <v>30000.0</v>
      </c>
      <c r="J28" s="35"/>
      <c r="K28" s="33"/>
      <c r="L28" s="47">
        <v>30000.0</v>
      </c>
      <c r="M28" s="18">
        <f t="shared" si="1"/>
        <v>0</v>
      </c>
    </row>
    <row r="29">
      <c r="A29" s="41">
        <v>25.0</v>
      </c>
      <c r="B29" s="46" t="s">
        <v>427</v>
      </c>
      <c r="C29" s="46">
        <v>52645.0</v>
      </c>
      <c r="D29" s="46" t="s">
        <v>428</v>
      </c>
      <c r="E29" s="27"/>
      <c r="F29" s="28"/>
      <c r="G29" s="29"/>
      <c r="H29" s="30">
        <v>10000.0</v>
      </c>
      <c r="I29" s="31"/>
      <c r="J29" s="32"/>
      <c r="K29" s="33"/>
      <c r="L29" s="47">
        <v>10000.0</v>
      </c>
      <c r="M29" s="18">
        <f t="shared" si="1"/>
        <v>0</v>
      </c>
    </row>
    <row r="30">
      <c r="A30" s="41">
        <v>26.0</v>
      </c>
      <c r="B30" s="46" t="s">
        <v>429</v>
      </c>
      <c r="C30" s="46">
        <v>53926.0</v>
      </c>
      <c r="D30" s="46" t="s">
        <v>430</v>
      </c>
      <c r="E30" s="27"/>
      <c r="F30" s="28"/>
      <c r="G30" s="29"/>
      <c r="H30" s="34"/>
      <c r="I30" s="31">
        <v>15000.0</v>
      </c>
      <c r="J30" s="32"/>
      <c r="K30" s="33"/>
      <c r="L30" s="47">
        <v>15000.0</v>
      </c>
      <c r="M30" s="18">
        <f t="shared" si="1"/>
        <v>0</v>
      </c>
    </row>
    <row r="31">
      <c r="A31" s="41">
        <v>27.0</v>
      </c>
      <c r="B31" s="46" t="s">
        <v>431</v>
      </c>
      <c r="C31" s="46">
        <v>50007.0</v>
      </c>
      <c r="D31" s="46" t="s">
        <v>432</v>
      </c>
      <c r="E31" s="27"/>
      <c r="F31" s="28"/>
      <c r="G31" s="29"/>
      <c r="H31" s="30"/>
      <c r="I31" s="31">
        <v>5000.0</v>
      </c>
      <c r="J31" s="32"/>
      <c r="K31" s="33"/>
      <c r="L31" s="47">
        <v>5000.0</v>
      </c>
      <c r="M31" s="18">
        <f t="shared" si="1"/>
        <v>0</v>
      </c>
    </row>
    <row r="32">
      <c r="A32" s="41">
        <v>28.0</v>
      </c>
      <c r="B32" s="46" t="s">
        <v>433</v>
      </c>
      <c r="C32" s="46">
        <v>56365.0</v>
      </c>
      <c r="D32" s="46" t="s">
        <v>434</v>
      </c>
      <c r="E32" s="27"/>
      <c r="F32" s="28"/>
      <c r="G32" s="29"/>
      <c r="H32" s="30"/>
      <c r="I32" s="31">
        <v>5000.0</v>
      </c>
      <c r="J32" s="32"/>
      <c r="K32" s="33"/>
      <c r="L32" s="47">
        <v>5000.0</v>
      </c>
      <c r="M32" s="18">
        <f t="shared" si="1"/>
        <v>0</v>
      </c>
    </row>
    <row r="33">
      <c r="A33" s="41">
        <v>29.0</v>
      </c>
      <c r="B33" s="46" t="s">
        <v>435</v>
      </c>
      <c r="C33" s="46">
        <v>39588.0</v>
      </c>
      <c r="D33" s="46" t="s">
        <v>274</v>
      </c>
      <c r="E33" s="27"/>
      <c r="F33" s="28"/>
      <c r="G33" s="29"/>
      <c r="H33" s="30">
        <v>2250.0</v>
      </c>
      <c r="I33" s="31"/>
      <c r="J33" s="32"/>
      <c r="K33" s="33"/>
      <c r="L33" s="47">
        <v>2250.0</v>
      </c>
      <c r="M33" s="18">
        <f t="shared" si="1"/>
        <v>0</v>
      </c>
    </row>
    <row r="34">
      <c r="A34" s="41">
        <v>30.0</v>
      </c>
      <c r="B34" s="46" t="s">
        <v>436</v>
      </c>
      <c r="C34" s="46">
        <v>45937.0</v>
      </c>
      <c r="D34" s="46" t="s">
        <v>337</v>
      </c>
      <c r="E34" s="27"/>
      <c r="F34" s="28"/>
      <c r="G34" s="29"/>
      <c r="H34" s="30">
        <v>2500.0</v>
      </c>
      <c r="I34" s="31"/>
      <c r="J34" s="32"/>
      <c r="K34" s="33"/>
      <c r="L34" s="47">
        <v>2500.0</v>
      </c>
      <c r="M34" s="18">
        <f t="shared" si="1"/>
        <v>0</v>
      </c>
    </row>
    <row r="35">
      <c r="A35" s="41">
        <v>31.0</v>
      </c>
      <c r="B35" s="46" t="s">
        <v>437</v>
      </c>
      <c r="C35" s="46">
        <v>47179.0</v>
      </c>
      <c r="D35" s="46" t="s">
        <v>438</v>
      </c>
      <c r="E35" s="27"/>
      <c r="F35" s="28"/>
      <c r="G35" s="29"/>
      <c r="H35" s="30">
        <v>500.0</v>
      </c>
      <c r="I35" s="31"/>
      <c r="J35" s="32"/>
      <c r="K35" s="33"/>
      <c r="L35" s="47">
        <v>500.0</v>
      </c>
      <c r="M35" s="18">
        <f t="shared" si="1"/>
        <v>0</v>
      </c>
    </row>
    <row r="36">
      <c r="A36" s="41">
        <v>32.0</v>
      </c>
      <c r="B36" s="46" t="s">
        <v>439</v>
      </c>
      <c r="C36" s="46">
        <v>34920.0</v>
      </c>
      <c r="D36" s="46" t="s">
        <v>440</v>
      </c>
      <c r="E36" s="27"/>
      <c r="F36" s="28"/>
      <c r="G36" s="29"/>
      <c r="H36" s="30">
        <v>1400.0</v>
      </c>
      <c r="I36" s="31"/>
      <c r="J36" s="32"/>
      <c r="K36" s="33"/>
      <c r="L36" s="47">
        <v>1400.0</v>
      </c>
      <c r="M36" s="18">
        <f t="shared" si="1"/>
        <v>0</v>
      </c>
    </row>
    <row r="37">
      <c r="A37" s="41">
        <v>33.0</v>
      </c>
      <c r="B37" s="46" t="s">
        <v>441</v>
      </c>
      <c r="C37" s="46">
        <v>54585.0</v>
      </c>
      <c r="D37" s="46" t="s">
        <v>442</v>
      </c>
      <c r="E37" s="27"/>
      <c r="F37" s="28"/>
      <c r="G37" s="29"/>
      <c r="H37" s="30">
        <v>5000.0</v>
      </c>
      <c r="I37" s="31"/>
      <c r="J37" s="32"/>
      <c r="K37" s="33"/>
      <c r="L37" s="47">
        <v>5000.0</v>
      </c>
      <c r="M37" s="18">
        <f t="shared" si="1"/>
        <v>0</v>
      </c>
    </row>
    <row r="38">
      <c r="A38" s="41">
        <v>34.0</v>
      </c>
      <c r="B38" s="46" t="s">
        <v>443</v>
      </c>
      <c r="C38" s="46">
        <v>49194.0</v>
      </c>
      <c r="D38" s="46" t="s">
        <v>444</v>
      </c>
      <c r="E38" s="27"/>
      <c r="F38" s="28"/>
      <c r="G38" s="29"/>
      <c r="H38" s="30">
        <v>5000.0</v>
      </c>
      <c r="I38" s="31"/>
      <c r="J38" s="32"/>
      <c r="K38" s="33"/>
      <c r="L38" s="47">
        <v>5000.0</v>
      </c>
      <c r="M38" s="18">
        <f t="shared" si="1"/>
        <v>0</v>
      </c>
    </row>
    <row r="39">
      <c r="A39" s="41">
        <v>35.0</v>
      </c>
      <c r="B39" s="46" t="s">
        <v>445</v>
      </c>
      <c r="C39" s="46">
        <v>21384.0</v>
      </c>
      <c r="D39" s="46" t="s">
        <v>38</v>
      </c>
      <c r="E39" s="27"/>
      <c r="F39" s="28"/>
      <c r="G39" s="29"/>
      <c r="H39" s="30"/>
      <c r="I39" s="31"/>
      <c r="J39" s="35">
        <v>5200.0</v>
      </c>
      <c r="K39" s="33"/>
      <c r="L39" s="47">
        <v>5200.0</v>
      </c>
      <c r="M39" s="18">
        <f t="shared" si="1"/>
        <v>0</v>
      </c>
    </row>
    <row r="40">
      <c r="A40" s="41">
        <v>36.0</v>
      </c>
      <c r="B40" s="46" t="s">
        <v>446</v>
      </c>
      <c r="C40" s="46">
        <v>10320.0</v>
      </c>
      <c r="D40" s="46" t="s">
        <v>447</v>
      </c>
      <c r="E40" s="27"/>
      <c r="F40" s="28"/>
      <c r="G40" s="29"/>
      <c r="H40" s="30">
        <v>5850.0</v>
      </c>
      <c r="I40" s="36"/>
      <c r="J40" s="32"/>
      <c r="K40" s="33"/>
      <c r="L40" s="47">
        <v>5850.0</v>
      </c>
      <c r="M40" s="18">
        <f t="shared" si="1"/>
        <v>0</v>
      </c>
    </row>
    <row r="41">
      <c r="A41" s="41">
        <v>37.0</v>
      </c>
      <c r="B41" s="46" t="s">
        <v>448</v>
      </c>
      <c r="C41" s="46">
        <v>31738.0</v>
      </c>
      <c r="D41" s="46" t="s">
        <v>154</v>
      </c>
      <c r="E41" s="27"/>
      <c r="F41" s="28"/>
      <c r="G41" s="29"/>
      <c r="H41" s="30"/>
      <c r="I41" s="36"/>
      <c r="J41" s="35">
        <v>1980.0</v>
      </c>
      <c r="K41" s="33"/>
      <c r="L41" s="47">
        <v>1980.0</v>
      </c>
      <c r="M41" s="18">
        <f t="shared" si="1"/>
        <v>0</v>
      </c>
    </row>
    <row r="42">
      <c r="A42" s="41">
        <v>38.0</v>
      </c>
      <c r="B42" s="46" t="s">
        <v>449</v>
      </c>
      <c r="C42" s="46">
        <v>31738.0</v>
      </c>
      <c r="D42" s="46" t="s">
        <v>154</v>
      </c>
      <c r="E42" s="27"/>
      <c r="F42" s="28"/>
      <c r="G42" s="29"/>
      <c r="H42" s="30">
        <v>6980.0</v>
      </c>
      <c r="I42" s="36"/>
      <c r="J42" s="35">
        <v>8020.0</v>
      </c>
      <c r="K42" s="33"/>
      <c r="L42" s="47">
        <v>15000.0</v>
      </c>
      <c r="M42" s="18">
        <f t="shared" si="1"/>
        <v>0</v>
      </c>
    </row>
    <row r="43">
      <c r="A43" s="41">
        <v>39.0</v>
      </c>
      <c r="B43" s="46" t="s">
        <v>450</v>
      </c>
      <c r="C43" s="46">
        <v>52032.0</v>
      </c>
      <c r="D43" s="46" t="s">
        <v>233</v>
      </c>
      <c r="E43" s="27"/>
      <c r="F43" s="28"/>
      <c r="G43" s="29"/>
      <c r="H43" s="30">
        <v>21800.0</v>
      </c>
      <c r="I43" s="36"/>
      <c r="J43" s="32"/>
      <c r="K43" s="33"/>
      <c r="L43" s="47">
        <v>21800.0</v>
      </c>
      <c r="M43" s="18">
        <f t="shared" si="1"/>
        <v>0</v>
      </c>
    </row>
    <row r="44">
      <c r="A44" s="41">
        <v>40.0</v>
      </c>
      <c r="B44" s="46" t="s">
        <v>451</v>
      </c>
      <c r="C44" s="46">
        <v>56173.0</v>
      </c>
      <c r="D44" s="46" t="s">
        <v>181</v>
      </c>
      <c r="E44" s="27"/>
      <c r="F44" s="28"/>
      <c r="G44" s="29"/>
      <c r="H44" s="30"/>
      <c r="I44" s="31">
        <v>1400.0</v>
      </c>
      <c r="J44" s="32"/>
      <c r="K44" s="33"/>
      <c r="L44" s="47">
        <v>1400.0</v>
      </c>
      <c r="M44" s="18">
        <f t="shared" si="1"/>
        <v>0</v>
      </c>
    </row>
    <row r="45">
      <c r="A45" s="41">
        <v>41.0</v>
      </c>
      <c r="B45" s="46" t="s">
        <v>452</v>
      </c>
      <c r="C45" s="46">
        <v>10255.0</v>
      </c>
      <c r="D45" s="46" t="s">
        <v>453</v>
      </c>
      <c r="E45" s="27"/>
      <c r="F45" s="28"/>
      <c r="G45" s="29"/>
      <c r="H45" s="30"/>
      <c r="I45" s="31">
        <v>3600.0</v>
      </c>
      <c r="J45" s="32"/>
      <c r="K45" s="33"/>
      <c r="L45" s="47">
        <v>3600.0</v>
      </c>
      <c r="M45" s="18">
        <f t="shared" si="1"/>
        <v>0</v>
      </c>
    </row>
    <row r="46">
      <c r="A46" s="41">
        <v>42.0</v>
      </c>
      <c r="B46" s="46" t="s">
        <v>454</v>
      </c>
      <c r="C46" s="46">
        <v>52211.0</v>
      </c>
      <c r="D46" s="46" t="s">
        <v>455</v>
      </c>
      <c r="E46" s="27"/>
      <c r="F46" s="37">
        <v>5000.0</v>
      </c>
      <c r="G46" s="29"/>
      <c r="H46" s="30"/>
      <c r="I46" s="31"/>
      <c r="J46" s="32"/>
      <c r="K46" s="33"/>
      <c r="L46" s="47">
        <v>5000.0</v>
      </c>
      <c r="M46" s="18">
        <f t="shared" si="1"/>
        <v>0</v>
      </c>
    </row>
    <row r="47">
      <c r="A47" s="41">
        <v>43.0</v>
      </c>
      <c r="B47" s="46" t="s">
        <v>456</v>
      </c>
      <c r="C47" s="46">
        <v>52884.0</v>
      </c>
      <c r="D47" s="46" t="s">
        <v>457</v>
      </c>
      <c r="E47" s="27"/>
      <c r="F47" s="37"/>
      <c r="G47" s="29"/>
      <c r="H47" s="30"/>
      <c r="I47" s="31">
        <v>3600.0</v>
      </c>
      <c r="J47" s="32"/>
      <c r="K47" s="33"/>
      <c r="L47" s="47">
        <v>3600.0</v>
      </c>
      <c r="M47" s="18">
        <f t="shared" si="1"/>
        <v>0</v>
      </c>
    </row>
    <row r="48">
      <c r="A48" s="41">
        <v>44.0</v>
      </c>
      <c r="B48" s="46" t="s">
        <v>458</v>
      </c>
      <c r="C48" s="46">
        <v>54280.0</v>
      </c>
      <c r="D48" s="46" t="s">
        <v>459</v>
      </c>
      <c r="E48" s="27"/>
      <c r="F48" s="28"/>
      <c r="G48" s="29"/>
      <c r="H48" s="30"/>
      <c r="I48" s="31">
        <v>3600.0</v>
      </c>
      <c r="J48" s="32"/>
      <c r="K48" s="33"/>
      <c r="L48" s="47">
        <v>3600.0</v>
      </c>
      <c r="M48" s="18">
        <f t="shared" si="1"/>
        <v>0</v>
      </c>
    </row>
    <row r="49">
      <c r="A49" s="41">
        <v>45.0</v>
      </c>
      <c r="B49" s="46" t="s">
        <v>460</v>
      </c>
      <c r="C49" s="46">
        <v>10255.0</v>
      </c>
      <c r="D49" s="46" t="s">
        <v>453</v>
      </c>
      <c r="E49" s="27"/>
      <c r="F49" s="28"/>
      <c r="G49" s="29"/>
      <c r="H49" s="30"/>
      <c r="I49" s="31">
        <v>7000.0</v>
      </c>
      <c r="J49" s="32"/>
      <c r="K49" s="33"/>
      <c r="L49" s="47">
        <v>7000.0</v>
      </c>
      <c r="M49" s="18">
        <f t="shared" si="1"/>
        <v>0</v>
      </c>
    </row>
    <row r="50">
      <c r="A50" s="41">
        <v>46.0</v>
      </c>
      <c r="B50" s="46" t="s">
        <v>461</v>
      </c>
      <c r="C50" s="46">
        <v>35245.0</v>
      </c>
      <c r="D50" s="46" t="s">
        <v>34</v>
      </c>
      <c r="E50" s="27"/>
      <c r="F50" s="28"/>
      <c r="G50" s="29"/>
      <c r="H50" s="30">
        <v>15000.0</v>
      </c>
      <c r="I50" s="31"/>
      <c r="J50" s="32"/>
      <c r="K50" s="33"/>
      <c r="L50" s="47">
        <v>15000.0</v>
      </c>
      <c r="M50" s="18">
        <f t="shared" si="1"/>
        <v>0</v>
      </c>
    </row>
    <row r="51">
      <c r="A51" s="41">
        <v>47.0</v>
      </c>
      <c r="B51" s="46" t="s">
        <v>462</v>
      </c>
      <c r="C51" s="46">
        <v>22341.0</v>
      </c>
      <c r="D51" s="46" t="s">
        <v>293</v>
      </c>
      <c r="E51" s="27"/>
      <c r="F51" s="28"/>
      <c r="G51" s="29"/>
      <c r="H51" s="30">
        <v>5150.0</v>
      </c>
      <c r="I51" s="31"/>
      <c r="J51" s="32"/>
      <c r="K51" s="33"/>
      <c r="L51" s="47">
        <v>5150.0</v>
      </c>
      <c r="M51" s="18">
        <f t="shared" si="1"/>
        <v>0</v>
      </c>
    </row>
    <row r="52">
      <c r="A52" s="41">
        <v>48.0</v>
      </c>
      <c r="B52" s="46" t="s">
        <v>463</v>
      </c>
      <c r="C52" s="46">
        <v>35245.0</v>
      </c>
      <c r="D52" s="46" t="s">
        <v>34</v>
      </c>
      <c r="E52" s="27"/>
      <c r="F52" s="28"/>
      <c r="G52" s="39">
        <v>10000.0</v>
      </c>
      <c r="H52" s="30"/>
      <c r="I52" s="36"/>
      <c r="J52" s="32"/>
      <c r="K52" s="33"/>
      <c r="L52" s="47">
        <v>10000.0</v>
      </c>
      <c r="M52" s="18">
        <f t="shared" si="1"/>
        <v>0</v>
      </c>
    </row>
    <row r="53">
      <c r="A53" s="41">
        <v>49.0</v>
      </c>
      <c r="B53" s="46" t="s">
        <v>464</v>
      </c>
      <c r="C53" s="46">
        <v>50821.0</v>
      </c>
      <c r="D53" s="46" t="s">
        <v>465</v>
      </c>
      <c r="E53" s="27"/>
      <c r="F53" s="37"/>
      <c r="G53" s="29"/>
      <c r="H53" s="30">
        <v>1250.0</v>
      </c>
      <c r="I53" s="31"/>
      <c r="J53" s="32"/>
      <c r="K53" s="33"/>
      <c r="L53" s="47">
        <v>1250.0</v>
      </c>
      <c r="M53" s="18">
        <f t="shared" si="1"/>
        <v>0</v>
      </c>
    </row>
    <row r="54">
      <c r="A54" s="41">
        <v>50.0</v>
      </c>
      <c r="B54" s="46" t="s">
        <v>466</v>
      </c>
      <c r="C54" s="46">
        <v>52487.0</v>
      </c>
      <c r="D54" s="46" t="s">
        <v>467</v>
      </c>
      <c r="E54" s="27"/>
      <c r="F54" s="28"/>
      <c r="G54" s="29"/>
      <c r="H54" s="30">
        <v>5000.0</v>
      </c>
      <c r="I54" s="31"/>
      <c r="J54" s="32"/>
      <c r="K54" s="33"/>
      <c r="L54" s="47">
        <v>5000.0</v>
      </c>
      <c r="M54" s="18">
        <f t="shared" si="1"/>
        <v>0</v>
      </c>
    </row>
    <row r="55">
      <c r="A55" s="41">
        <v>51.0</v>
      </c>
      <c r="B55" s="46" t="s">
        <v>468</v>
      </c>
      <c r="C55" s="46">
        <v>50916.0</v>
      </c>
      <c r="D55" s="46" t="s">
        <v>469</v>
      </c>
      <c r="E55" s="27"/>
      <c r="F55" s="28"/>
      <c r="G55" s="29"/>
      <c r="H55" s="30">
        <v>1150.0</v>
      </c>
      <c r="I55" s="31"/>
      <c r="J55" s="32"/>
      <c r="K55" s="33"/>
      <c r="L55" s="47">
        <v>1150.0</v>
      </c>
      <c r="M55" s="18">
        <f t="shared" si="1"/>
        <v>0</v>
      </c>
    </row>
    <row r="56">
      <c r="A56" s="41">
        <v>52.0</v>
      </c>
      <c r="B56" s="46" t="s">
        <v>470</v>
      </c>
      <c r="C56" s="46">
        <v>53665.0</v>
      </c>
      <c r="D56" s="46" t="s">
        <v>471</v>
      </c>
      <c r="E56" s="27"/>
      <c r="F56" s="28"/>
      <c r="G56" s="29"/>
      <c r="H56" s="30">
        <v>5000.0</v>
      </c>
      <c r="I56" s="31"/>
      <c r="J56" s="32"/>
      <c r="K56" s="33"/>
      <c r="L56" s="47">
        <v>5000.0</v>
      </c>
      <c r="M56" s="18">
        <f t="shared" si="1"/>
        <v>0</v>
      </c>
    </row>
    <row r="57">
      <c r="A57" s="41">
        <v>53.0</v>
      </c>
      <c r="B57" s="46" t="s">
        <v>472</v>
      </c>
      <c r="C57" s="46">
        <v>56683.0</v>
      </c>
      <c r="D57" s="46" t="s">
        <v>403</v>
      </c>
      <c r="E57" s="27"/>
      <c r="F57" s="28"/>
      <c r="G57" s="29"/>
      <c r="H57" s="30">
        <v>450.0</v>
      </c>
      <c r="I57" s="31"/>
      <c r="J57" s="32"/>
      <c r="K57" s="33"/>
      <c r="L57" s="47">
        <v>450.0</v>
      </c>
      <c r="M57" s="18">
        <f t="shared" si="1"/>
        <v>0</v>
      </c>
    </row>
    <row r="58">
      <c r="A58" s="41">
        <v>54.0</v>
      </c>
      <c r="B58" s="46" t="s">
        <v>473</v>
      </c>
      <c r="C58" s="46">
        <v>10271.0</v>
      </c>
      <c r="D58" s="46" t="s">
        <v>474</v>
      </c>
      <c r="E58" s="27"/>
      <c r="F58" s="28"/>
      <c r="G58" s="29"/>
      <c r="H58" s="30"/>
      <c r="I58" s="31">
        <v>5000.0</v>
      </c>
      <c r="J58" s="32"/>
      <c r="K58" s="33"/>
      <c r="L58" s="47">
        <v>5000.0</v>
      </c>
      <c r="M58" s="18">
        <f t="shared" si="1"/>
        <v>0</v>
      </c>
    </row>
    <row r="59">
      <c r="A59" s="41">
        <v>55.0</v>
      </c>
      <c r="B59" s="46" t="s">
        <v>475</v>
      </c>
      <c r="C59" s="46">
        <v>43375.0</v>
      </c>
      <c r="D59" s="46" t="s">
        <v>328</v>
      </c>
      <c r="E59" s="27"/>
      <c r="F59" s="28"/>
      <c r="G59" s="29"/>
      <c r="H59" s="30">
        <v>40300.0</v>
      </c>
      <c r="I59" s="31"/>
      <c r="J59" s="32"/>
      <c r="K59" s="33"/>
      <c r="L59" s="47">
        <v>40300.0</v>
      </c>
      <c r="M59" s="18">
        <f t="shared" si="1"/>
        <v>0</v>
      </c>
    </row>
    <row r="60">
      <c r="A60" s="41">
        <v>56.0</v>
      </c>
      <c r="B60" s="46" t="s">
        <v>476</v>
      </c>
      <c r="C60" s="46">
        <v>52885.0</v>
      </c>
      <c r="D60" s="46" t="s">
        <v>477</v>
      </c>
      <c r="E60" s="27"/>
      <c r="F60" s="28"/>
      <c r="G60" s="29"/>
      <c r="H60" s="30"/>
      <c r="I60" s="31">
        <v>34500.0</v>
      </c>
      <c r="J60" s="32"/>
      <c r="K60" s="33"/>
      <c r="L60" s="47">
        <v>34500.0</v>
      </c>
      <c r="M60" s="18">
        <f t="shared" si="1"/>
        <v>0</v>
      </c>
    </row>
    <row r="61">
      <c r="A61" s="41">
        <v>57.0</v>
      </c>
      <c r="B61" s="46" t="s">
        <v>478</v>
      </c>
      <c r="C61" s="46">
        <v>50595.0</v>
      </c>
      <c r="D61" s="46" t="s">
        <v>158</v>
      </c>
      <c r="E61" s="27"/>
      <c r="F61" s="28"/>
      <c r="G61" s="29"/>
      <c r="H61" s="30">
        <v>15000.0</v>
      </c>
      <c r="I61" s="31"/>
      <c r="J61" s="32"/>
      <c r="K61" s="33"/>
      <c r="L61" s="47">
        <v>15000.0</v>
      </c>
      <c r="M61" s="18">
        <f t="shared" si="1"/>
        <v>0</v>
      </c>
    </row>
    <row r="62">
      <c r="A62" s="41">
        <v>58.0</v>
      </c>
      <c r="B62" s="46" t="s">
        <v>479</v>
      </c>
      <c r="C62" s="46">
        <v>25650.0</v>
      </c>
      <c r="D62" s="46" t="s">
        <v>378</v>
      </c>
      <c r="E62" s="27"/>
      <c r="F62" s="28"/>
      <c r="G62" s="29"/>
      <c r="H62" s="30"/>
      <c r="I62" s="31"/>
      <c r="J62" s="35">
        <v>350.0</v>
      </c>
      <c r="K62" s="33"/>
      <c r="L62" s="47">
        <v>350.0</v>
      </c>
      <c r="M62" s="18">
        <f t="shared" si="1"/>
        <v>0</v>
      </c>
    </row>
    <row r="63">
      <c r="A63" s="41">
        <v>59.0</v>
      </c>
      <c r="B63" s="46" t="s">
        <v>480</v>
      </c>
      <c r="C63" s="46">
        <v>12102.0</v>
      </c>
      <c r="D63" s="46" t="s">
        <v>345</v>
      </c>
      <c r="E63" s="27"/>
      <c r="F63" s="28"/>
      <c r="G63" s="29"/>
      <c r="H63" s="30">
        <v>856.0</v>
      </c>
      <c r="I63" s="31"/>
      <c r="J63" s="32"/>
      <c r="K63" s="33"/>
      <c r="L63" s="47">
        <v>856.0</v>
      </c>
      <c r="M63" s="18">
        <f t="shared" si="1"/>
        <v>0</v>
      </c>
    </row>
    <row r="64">
      <c r="A64" s="41">
        <v>60.0</v>
      </c>
      <c r="B64" s="46" t="s">
        <v>481</v>
      </c>
      <c r="C64" s="46">
        <v>37642.0</v>
      </c>
      <c r="D64" s="46" t="s">
        <v>482</v>
      </c>
      <c r="E64" s="38"/>
      <c r="F64" s="37">
        <v>27500.0</v>
      </c>
      <c r="G64" s="29"/>
      <c r="H64" s="30"/>
      <c r="I64" s="31"/>
      <c r="J64" s="32"/>
      <c r="K64" s="33"/>
      <c r="L64" s="47">
        <v>27500.0</v>
      </c>
      <c r="M64" s="18">
        <f t="shared" si="1"/>
        <v>0</v>
      </c>
    </row>
    <row r="65">
      <c r="A65" s="41">
        <v>61.0</v>
      </c>
      <c r="B65" s="46" t="s">
        <v>483</v>
      </c>
      <c r="C65" s="46">
        <v>16295.0</v>
      </c>
      <c r="D65" s="46" t="s">
        <v>484</v>
      </c>
      <c r="E65" s="27"/>
      <c r="F65" s="28"/>
      <c r="G65" s="29"/>
      <c r="H65" s="30">
        <v>5150.0</v>
      </c>
      <c r="I65" s="31"/>
      <c r="J65" s="32"/>
      <c r="K65" s="33"/>
      <c r="L65" s="47">
        <v>5150.0</v>
      </c>
      <c r="M65" s="18">
        <f t="shared" si="1"/>
        <v>0</v>
      </c>
    </row>
    <row r="66">
      <c r="A66" s="41">
        <v>62.0</v>
      </c>
      <c r="B66" s="46" t="s">
        <v>485</v>
      </c>
      <c r="C66" s="46">
        <v>48631.0</v>
      </c>
      <c r="D66" s="46" t="s">
        <v>118</v>
      </c>
      <c r="E66" s="27"/>
      <c r="F66" s="28"/>
      <c r="G66" s="29"/>
      <c r="H66" s="30">
        <v>1600.0</v>
      </c>
      <c r="I66" s="36"/>
      <c r="J66" s="32"/>
      <c r="K66" s="33"/>
      <c r="L66" s="47">
        <v>1600.0</v>
      </c>
      <c r="M66" s="18">
        <f t="shared" si="1"/>
        <v>0</v>
      </c>
    </row>
    <row r="67">
      <c r="A67" s="41">
        <v>63.0</v>
      </c>
      <c r="B67" s="46" t="s">
        <v>486</v>
      </c>
      <c r="C67" s="46">
        <v>10250.0</v>
      </c>
      <c r="D67" s="46" t="s">
        <v>107</v>
      </c>
      <c r="E67" s="27"/>
      <c r="F67" s="28"/>
      <c r="G67" s="29"/>
      <c r="H67" s="30">
        <v>1600.0</v>
      </c>
      <c r="I67" s="36"/>
      <c r="J67" s="32"/>
      <c r="K67" s="33"/>
      <c r="L67" s="47">
        <v>1600.0</v>
      </c>
      <c r="M67" s="18">
        <f t="shared" si="1"/>
        <v>0</v>
      </c>
    </row>
    <row r="68">
      <c r="A68" s="41">
        <v>64.0</v>
      </c>
      <c r="B68" s="46" t="s">
        <v>487</v>
      </c>
      <c r="C68" s="46">
        <v>36903.0</v>
      </c>
      <c r="D68" s="46" t="s">
        <v>488</v>
      </c>
      <c r="E68" s="27"/>
      <c r="F68" s="37"/>
      <c r="G68" s="29"/>
      <c r="H68" s="30">
        <v>2400.0</v>
      </c>
      <c r="I68" s="31">
        <v>2850.0</v>
      </c>
      <c r="J68" s="32"/>
      <c r="K68" s="33"/>
      <c r="L68" s="47">
        <v>5250.0</v>
      </c>
      <c r="M68" s="18">
        <f t="shared" si="1"/>
        <v>0</v>
      </c>
    </row>
    <row r="69">
      <c r="A69" s="41">
        <v>65.0</v>
      </c>
      <c r="B69" s="46" t="s">
        <v>489</v>
      </c>
      <c r="C69" s="46">
        <v>13133.0</v>
      </c>
      <c r="D69" s="46" t="s">
        <v>490</v>
      </c>
      <c r="E69" s="27"/>
      <c r="F69" s="28"/>
      <c r="G69" s="29"/>
      <c r="H69" s="30"/>
      <c r="I69" s="31">
        <v>5000.0</v>
      </c>
      <c r="J69" s="32"/>
      <c r="K69" s="33"/>
      <c r="L69" s="47">
        <v>5000.0</v>
      </c>
      <c r="M69" s="18">
        <f t="shared" si="1"/>
        <v>0</v>
      </c>
    </row>
    <row r="70">
      <c r="A70" s="41">
        <v>66.0</v>
      </c>
      <c r="B70" s="46" t="s">
        <v>491</v>
      </c>
      <c r="C70" s="46">
        <v>13133.0</v>
      </c>
      <c r="D70" s="46" t="s">
        <v>490</v>
      </c>
      <c r="E70" s="27"/>
      <c r="F70" s="28"/>
      <c r="G70" s="29"/>
      <c r="H70" s="30"/>
      <c r="I70" s="31">
        <v>15000.0</v>
      </c>
      <c r="J70" s="32"/>
      <c r="K70" s="33"/>
      <c r="L70" s="47">
        <v>15000.0</v>
      </c>
      <c r="M70" s="18">
        <f t="shared" si="1"/>
        <v>0</v>
      </c>
    </row>
    <row r="71">
      <c r="A71" s="41">
        <v>67.0</v>
      </c>
      <c r="B71" s="46" t="s">
        <v>492</v>
      </c>
      <c r="C71" s="46">
        <v>50596.0</v>
      </c>
      <c r="D71" s="46" t="s">
        <v>493</v>
      </c>
      <c r="E71" s="38"/>
      <c r="F71" s="28"/>
      <c r="G71" s="29"/>
      <c r="H71" s="30">
        <v>10400.0</v>
      </c>
      <c r="I71" s="31"/>
      <c r="J71" s="32"/>
      <c r="K71" s="33"/>
      <c r="L71" s="47">
        <v>10400.0</v>
      </c>
      <c r="M71" s="18">
        <f t="shared" si="1"/>
        <v>0</v>
      </c>
    </row>
    <row r="72">
      <c r="A72" s="41">
        <v>68.0</v>
      </c>
      <c r="B72" s="46" t="s">
        <v>494</v>
      </c>
      <c r="C72" s="46">
        <v>39588.0</v>
      </c>
      <c r="D72" s="46" t="s">
        <v>274</v>
      </c>
      <c r="E72" s="38"/>
      <c r="F72" s="37"/>
      <c r="G72" s="29"/>
      <c r="H72" s="30">
        <v>3600.0</v>
      </c>
      <c r="I72" s="36"/>
      <c r="J72" s="32"/>
      <c r="K72" s="33"/>
      <c r="L72" s="47">
        <v>3600.0</v>
      </c>
      <c r="M72" s="18">
        <f t="shared" si="1"/>
        <v>0</v>
      </c>
    </row>
    <row r="73">
      <c r="A73" s="41">
        <v>69.0</v>
      </c>
      <c r="B73" s="46" t="s">
        <v>495</v>
      </c>
      <c r="C73" s="46">
        <v>50596.0</v>
      </c>
      <c r="D73" s="46" t="s">
        <v>493</v>
      </c>
      <c r="E73" s="27"/>
      <c r="F73" s="28"/>
      <c r="G73" s="29"/>
      <c r="H73" s="30">
        <v>10000.0</v>
      </c>
      <c r="I73" s="31"/>
      <c r="J73" s="32"/>
      <c r="K73" s="33"/>
      <c r="L73" s="47">
        <v>10000.0</v>
      </c>
      <c r="M73" s="18">
        <f t="shared" si="1"/>
        <v>0</v>
      </c>
    </row>
    <row r="74">
      <c r="A74" s="41">
        <v>70.0</v>
      </c>
      <c r="B74" s="46" t="s">
        <v>496</v>
      </c>
      <c r="C74" s="46">
        <v>48631.0</v>
      </c>
      <c r="D74" s="46" t="s">
        <v>118</v>
      </c>
      <c r="E74" s="27"/>
      <c r="F74" s="28"/>
      <c r="G74" s="29"/>
      <c r="H74" s="30">
        <v>7500.0</v>
      </c>
      <c r="I74" s="31"/>
      <c r="J74" s="32"/>
      <c r="K74" s="33"/>
      <c r="L74" s="47">
        <v>7500.0</v>
      </c>
      <c r="M74" s="18">
        <f t="shared" si="1"/>
        <v>0</v>
      </c>
    </row>
    <row r="75">
      <c r="A75" s="41">
        <v>71.0</v>
      </c>
      <c r="B75" s="46" t="s">
        <v>497</v>
      </c>
      <c r="C75" s="46">
        <v>50591.0</v>
      </c>
      <c r="D75" s="46" t="s">
        <v>498</v>
      </c>
      <c r="E75" s="27"/>
      <c r="F75" s="28"/>
      <c r="G75" s="29"/>
      <c r="H75" s="30">
        <v>500.0</v>
      </c>
      <c r="I75" s="31"/>
      <c r="J75" s="32"/>
      <c r="K75" s="33"/>
      <c r="L75" s="47">
        <v>500.0</v>
      </c>
      <c r="M75" s="18">
        <f t="shared" si="1"/>
        <v>0</v>
      </c>
    </row>
    <row r="76">
      <c r="A76" s="41">
        <v>72.0</v>
      </c>
      <c r="B76" s="46" t="s">
        <v>499</v>
      </c>
      <c r="C76" s="46">
        <v>56980.0</v>
      </c>
      <c r="D76" s="46" t="s">
        <v>500</v>
      </c>
      <c r="E76" s="27"/>
      <c r="F76" s="28"/>
      <c r="G76" s="29"/>
      <c r="H76" s="30">
        <v>500.0</v>
      </c>
      <c r="I76" s="31"/>
      <c r="J76" s="32"/>
      <c r="K76" s="33"/>
      <c r="L76" s="47">
        <v>500.0</v>
      </c>
      <c r="M76" s="18">
        <f t="shared" si="1"/>
        <v>0</v>
      </c>
    </row>
    <row r="77">
      <c r="A77" s="41">
        <v>73.0</v>
      </c>
      <c r="B77" s="46" t="s">
        <v>501</v>
      </c>
      <c r="C77" s="46">
        <v>43113.0</v>
      </c>
      <c r="D77" s="46" t="s">
        <v>354</v>
      </c>
      <c r="E77" s="27"/>
      <c r="F77" s="28"/>
      <c r="G77" s="29"/>
      <c r="H77" s="30"/>
      <c r="I77" s="31">
        <v>100.0</v>
      </c>
      <c r="J77" s="32"/>
      <c r="K77" s="33"/>
      <c r="L77" s="47">
        <v>100.0</v>
      </c>
      <c r="M77" s="18">
        <f t="shared" si="1"/>
        <v>0</v>
      </c>
    </row>
    <row r="78">
      <c r="A78" s="41">
        <v>74.0</v>
      </c>
      <c r="B78" s="46" t="s">
        <v>502</v>
      </c>
      <c r="C78" s="46">
        <v>50221.0</v>
      </c>
      <c r="D78" s="46" t="s">
        <v>252</v>
      </c>
      <c r="E78" s="27"/>
      <c r="F78" s="28"/>
      <c r="G78" s="29"/>
      <c r="H78" s="30">
        <v>419.0</v>
      </c>
      <c r="I78" s="31"/>
      <c r="J78" s="32"/>
      <c r="K78" s="33"/>
      <c r="L78" s="47">
        <v>419.0</v>
      </c>
      <c r="M78" s="18">
        <f t="shared" si="1"/>
        <v>0</v>
      </c>
    </row>
    <row r="79">
      <c r="A79" s="41">
        <v>75.0</v>
      </c>
      <c r="B79" s="46" t="s">
        <v>503</v>
      </c>
      <c r="C79" s="46">
        <v>36879.0</v>
      </c>
      <c r="D79" s="46" t="s">
        <v>504</v>
      </c>
      <c r="E79" s="27"/>
      <c r="F79" s="28"/>
      <c r="G79" s="29"/>
      <c r="H79" s="30"/>
      <c r="I79" s="31">
        <v>2500.0</v>
      </c>
      <c r="J79" s="32"/>
      <c r="K79" s="33"/>
      <c r="L79" s="47">
        <v>2500.0</v>
      </c>
      <c r="M79" s="18">
        <f t="shared" si="1"/>
        <v>0</v>
      </c>
    </row>
    <row r="80">
      <c r="A80" s="41">
        <v>76.0</v>
      </c>
      <c r="B80" s="46" t="s">
        <v>505</v>
      </c>
      <c r="C80" s="46">
        <v>47787.0</v>
      </c>
      <c r="D80" s="46" t="s">
        <v>506</v>
      </c>
      <c r="E80" s="27"/>
      <c r="F80" s="28"/>
      <c r="G80" s="29"/>
      <c r="H80" s="30">
        <v>10000.0</v>
      </c>
      <c r="I80" s="31"/>
      <c r="J80" s="32"/>
      <c r="K80" s="33"/>
      <c r="L80" s="47">
        <v>10000.0</v>
      </c>
      <c r="M80" s="18">
        <f t="shared" si="1"/>
        <v>0</v>
      </c>
    </row>
    <row r="81">
      <c r="A81" s="41">
        <v>77.0</v>
      </c>
      <c r="B81" s="46" t="s">
        <v>507</v>
      </c>
      <c r="C81" s="46">
        <v>48136.0</v>
      </c>
      <c r="D81" s="46" t="s">
        <v>508</v>
      </c>
      <c r="E81" s="27"/>
      <c r="F81" s="28"/>
      <c r="G81" s="29"/>
      <c r="H81" s="30">
        <v>25000.0</v>
      </c>
      <c r="I81" s="31"/>
      <c r="J81" s="32"/>
      <c r="K81" s="33"/>
      <c r="L81" s="47">
        <v>25000.0</v>
      </c>
      <c r="M81" s="18">
        <f t="shared" si="1"/>
        <v>0</v>
      </c>
    </row>
    <row r="82">
      <c r="A82" s="41">
        <v>78.0</v>
      </c>
      <c r="B82" s="46" t="s">
        <v>509</v>
      </c>
      <c r="C82" s="46">
        <v>35245.0</v>
      </c>
      <c r="D82" s="46" t="s">
        <v>34</v>
      </c>
      <c r="E82" s="27"/>
      <c r="F82" s="28"/>
      <c r="G82" s="29"/>
      <c r="H82" s="30">
        <v>25000.0</v>
      </c>
      <c r="I82" s="31"/>
      <c r="J82" s="32"/>
      <c r="K82" s="33"/>
      <c r="L82" s="47">
        <v>25000.0</v>
      </c>
      <c r="M82" s="18">
        <f t="shared" si="1"/>
        <v>0</v>
      </c>
    </row>
    <row r="83">
      <c r="A83" s="41">
        <v>79.0</v>
      </c>
      <c r="B83" s="46" t="s">
        <v>510</v>
      </c>
      <c r="C83" s="46">
        <v>54401.0</v>
      </c>
      <c r="D83" s="46" t="s">
        <v>511</v>
      </c>
      <c r="E83" s="27"/>
      <c r="F83" s="28"/>
      <c r="G83" s="29"/>
      <c r="H83" s="30">
        <v>5000.0</v>
      </c>
      <c r="I83" s="31"/>
      <c r="J83" s="32"/>
      <c r="K83" s="33"/>
      <c r="L83" s="47">
        <v>5000.0</v>
      </c>
      <c r="M83" s="18">
        <f t="shared" si="1"/>
        <v>0</v>
      </c>
    </row>
    <row r="84">
      <c r="A84" s="41">
        <v>80.0</v>
      </c>
      <c r="B84" s="46" t="s">
        <v>512</v>
      </c>
      <c r="C84" s="46">
        <v>54401.0</v>
      </c>
      <c r="D84" s="46" t="s">
        <v>511</v>
      </c>
      <c r="E84" s="27"/>
      <c r="F84" s="28"/>
      <c r="G84" s="29"/>
      <c r="H84" s="30">
        <v>2500.0</v>
      </c>
      <c r="I84" s="31"/>
      <c r="J84" s="32"/>
      <c r="K84" s="33"/>
      <c r="L84" s="47">
        <v>2500.0</v>
      </c>
      <c r="M84" s="18">
        <f t="shared" si="1"/>
        <v>0</v>
      </c>
    </row>
    <row r="85">
      <c r="A85" s="41">
        <v>81.0</v>
      </c>
      <c r="B85" s="46" t="s">
        <v>513</v>
      </c>
      <c r="C85" s="46">
        <v>37642.0</v>
      </c>
      <c r="D85" s="46" t="s">
        <v>482</v>
      </c>
      <c r="E85" s="27"/>
      <c r="F85" s="28"/>
      <c r="G85" s="29"/>
      <c r="H85" s="30">
        <v>0.0</v>
      </c>
      <c r="I85" s="31"/>
      <c r="J85" s="32"/>
      <c r="K85" s="33"/>
      <c r="L85" s="47">
        <v>15000.0</v>
      </c>
      <c r="M85" s="18">
        <f t="shared" si="1"/>
        <v>-15000</v>
      </c>
    </row>
    <row r="86">
      <c r="A86" s="41">
        <v>82.0</v>
      </c>
      <c r="B86" s="46" t="s">
        <v>514</v>
      </c>
      <c r="C86" s="46">
        <v>21384.0</v>
      </c>
      <c r="D86" s="46" t="s">
        <v>38</v>
      </c>
      <c r="E86" s="27"/>
      <c r="F86" s="28"/>
      <c r="G86" s="29"/>
      <c r="H86" s="30"/>
      <c r="I86" s="31"/>
      <c r="J86" s="35">
        <v>700.0</v>
      </c>
      <c r="K86" s="33"/>
      <c r="L86" s="47">
        <v>700.0</v>
      </c>
      <c r="M86" s="18">
        <f t="shared" si="1"/>
        <v>0</v>
      </c>
    </row>
    <row r="87">
      <c r="A87" s="41">
        <v>83.0</v>
      </c>
      <c r="B87" s="46" t="s">
        <v>515</v>
      </c>
      <c r="C87" s="46">
        <v>57481.0</v>
      </c>
      <c r="D87" s="46" t="s">
        <v>516</v>
      </c>
      <c r="E87" s="27"/>
      <c r="F87" s="28"/>
      <c r="G87" s="29"/>
      <c r="H87" s="30">
        <v>7500.0</v>
      </c>
      <c r="I87" s="31"/>
      <c r="J87" s="32"/>
      <c r="K87" s="33"/>
      <c r="L87" s="47">
        <v>7500.0</v>
      </c>
      <c r="M87" s="18">
        <f t="shared" si="1"/>
        <v>0</v>
      </c>
    </row>
    <row r="88">
      <c r="A88" s="41">
        <v>84.0</v>
      </c>
      <c r="B88" s="46" t="s">
        <v>517</v>
      </c>
      <c r="C88" s="46">
        <v>57481.0</v>
      </c>
      <c r="D88" s="46" t="s">
        <v>516</v>
      </c>
      <c r="E88" s="27"/>
      <c r="F88" s="28"/>
      <c r="G88" s="29"/>
      <c r="H88" s="30">
        <v>300.0</v>
      </c>
      <c r="I88" s="31"/>
      <c r="J88" s="32"/>
      <c r="K88" s="33"/>
      <c r="L88" s="47">
        <v>300.0</v>
      </c>
      <c r="M88" s="18">
        <f t="shared" si="1"/>
        <v>0</v>
      </c>
    </row>
    <row r="89">
      <c r="A89" s="41">
        <v>85.0</v>
      </c>
      <c r="B89" s="46" t="s">
        <v>518</v>
      </c>
      <c r="C89" s="46">
        <v>51848.0</v>
      </c>
      <c r="D89" s="46" t="s">
        <v>519</v>
      </c>
      <c r="E89" s="27"/>
      <c r="F89" s="28"/>
      <c r="G89" s="29"/>
      <c r="H89" s="30"/>
      <c r="I89" s="31">
        <v>7500.0</v>
      </c>
      <c r="J89" s="32"/>
      <c r="K89" s="33"/>
      <c r="L89" s="47">
        <v>7500.0</v>
      </c>
      <c r="M89" s="18">
        <f t="shared" si="1"/>
        <v>0</v>
      </c>
    </row>
    <row r="90">
      <c r="A90" s="41">
        <v>86.0</v>
      </c>
      <c r="B90" s="46" t="s">
        <v>520</v>
      </c>
      <c r="C90" s="46">
        <v>51848.0</v>
      </c>
      <c r="D90" s="46" t="s">
        <v>519</v>
      </c>
      <c r="E90" s="27"/>
      <c r="F90" s="28"/>
      <c r="G90" s="29"/>
      <c r="H90" s="30"/>
      <c r="I90" s="31">
        <v>5150.0</v>
      </c>
      <c r="J90" s="32"/>
      <c r="K90" s="33"/>
      <c r="L90" s="47">
        <v>5150.0</v>
      </c>
      <c r="M90" s="18">
        <f t="shared" si="1"/>
        <v>0</v>
      </c>
    </row>
    <row r="91">
      <c r="A91" s="41">
        <v>87.0</v>
      </c>
      <c r="B91" s="46" t="s">
        <v>521</v>
      </c>
      <c r="C91" s="46">
        <v>53455.0</v>
      </c>
      <c r="D91" s="46" t="s">
        <v>65</v>
      </c>
      <c r="E91" s="27"/>
      <c r="F91" s="28"/>
      <c r="G91" s="29"/>
      <c r="H91" s="30"/>
      <c r="I91" s="31">
        <v>1000.0</v>
      </c>
      <c r="J91" s="32"/>
      <c r="K91" s="33"/>
      <c r="L91" s="47">
        <v>1000.0</v>
      </c>
      <c r="M91" s="18">
        <f t="shared" si="1"/>
        <v>0</v>
      </c>
    </row>
    <row r="92">
      <c r="A92" s="41">
        <v>88.0</v>
      </c>
      <c r="B92" s="46" t="s">
        <v>522</v>
      </c>
      <c r="C92" s="46">
        <v>55041.0</v>
      </c>
      <c r="D92" s="46" t="s">
        <v>523</v>
      </c>
      <c r="E92" s="27"/>
      <c r="F92" s="28"/>
      <c r="G92" s="29"/>
      <c r="H92" s="30"/>
      <c r="I92" s="31">
        <v>5150.0</v>
      </c>
      <c r="J92" s="32"/>
      <c r="K92" s="33"/>
      <c r="L92" s="47">
        <v>5150.0</v>
      </c>
      <c r="M92" s="18">
        <f t="shared" si="1"/>
        <v>0</v>
      </c>
    </row>
    <row r="93">
      <c r="A93" s="41">
        <v>89.0</v>
      </c>
      <c r="B93" s="46" t="s">
        <v>524</v>
      </c>
      <c r="C93" s="46">
        <v>51208.0</v>
      </c>
      <c r="D93" s="46" t="s">
        <v>525</v>
      </c>
      <c r="E93" s="27"/>
      <c r="F93" s="28"/>
      <c r="G93" s="29"/>
      <c r="H93" s="30"/>
      <c r="I93" s="31">
        <v>17000.0</v>
      </c>
      <c r="J93" s="32"/>
      <c r="K93" s="33"/>
      <c r="L93" s="47">
        <v>17000.0</v>
      </c>
      <c r="M93" s="18">
        <f t="shared" si="1"/>
        <v>0</v>
      </c>
    </row>
    <row r="94">
      <c r="A94" s="41">
        <v>90.0</v>
      </c>
      <c r="B94" s="46" t="s">
        <v>526</v>
      </c>
      <c r="C94" s="46">
        <v>57001.0</v>
      </c>
      <c r="D94" s="46" t="s">
        <v>527</v>
      </c>
      <c r="E94" s="27"/>
      <c r="F94" s="28"/>
      <c r="G94" s="29"/>
      <c r="H94" s="30">
        <v>0.0</v>
      </c>
      <c r="I94" s="31"/>
      <c r="J94" s="32"/>
      <c r="K94" s="33"/>
      <c r="L94" s="47">
        <v>15000.0</v>
      </c>
      <c r="M94" s="18">
        <f t="shared" si="1"/>
        <v>-15000</v>
      </c>
    </row>
    <row r="95">
      <c r="A95" s="41">
        <v>91.0</v>
      </c>
      <c r="B95" s="46" t="s">
        <v>528</v>
      </c>
      <c r="C95" s="46">
        <v>48854.0</v>
      </c>
      <c r="D95" s="46" t="s">
        <v>301</v>
      </c>
      <c r="E95" s="27"/>
      <c r="F95" s="28"/>
      <c r="G95" s="29"/>
      <c r="H95" s="30">
        <v>2500.0</v>
      </c>
      <c r="I95" s="31"/>
      <c r="J95" s="32"/>
      <c r="K95" s="33"/>
      <c r="L95" s="47">
        <v>2500.0</v>
      </c>
      <c r="M95" s="18">
        <f t="shared" si="1"/>
        <v>0</v>
      </c>
    </row>
    <row r="96">
      <c r="A96" s="41">
        <v>92.0</v>
      </c>
      <c r="B96" s="46" t="s">
        <v>529</v>
      </c>
      <c r="C96" s="46">
        <v>56391.0</v>
      </c>
      <c r="D96" s="46" t="s">
        <v>530</v>
      </c>
      <c r="E96" s="27"/>
      <c r="F96" s="28"/>
      <c r="G96" s="29"/>
      <c r="H96" s="30">
        <v>3850.0</v>
      </c>
      <c r="I96" s="31"/>
      <c r="J96" s="32"/>
      <c r="K96" s="33"/>
      <c r="L96" s="47">
        <v>3850.0</v>
      </c>
      <c r="M96" s="18">
        <f t="shared" si="1"/>
        <v>0</v>
      </c>
    </row>
    <row r="97">
      <c r="A97" s="41">
        <v>93.0</v>
      </c>
      <c r="B97" s="46" t="s">
        <v>531</v>
      </c>
      <c r="C97" s="46">
        <v>56392.0</v>
      </c>
      <c r="D97" s="46" t="s">
        <v>532</v>
      </c>
      <c r="E97" s="27"/>
      <c r="F97" s="28"/>
      <c r="G97" s="29"/>
      <c r="H97" s="30">
        <v>7550.0</v>
      </c>
      <c r="I97" s="31">
        <v>2500.0</v>
      </c>
      <c r="J97" s="32"/>
      <c r="K97" s="33"/>
      <c r="L97" s="47">
        <v>10050.0</v>
      </c>
      <c r="M97" s="18">
        <f t="shared" si="1"/>
        <v>0</v>
      </c>
    </row>
    <row r="98">
      <c r="A98" s="41">
        <v>94.0</v>
      </c>
      <c r="B98" s="46" t="s">
        <v>533</v>
      </c>
      <c r="C98" s="46">
        <v>21818.0</v>
      </c>
      <c r="D98" s="46" t="s">
        <v>69</v>
      </c>
      <c r="E98" s="27"/>
      <c r="F98" s="28"/>
      <c r="G98" s="29"/>
      <c r="H98" s="30"/>
      <c r="I98" s="31"/>
      <c r="J98" s="35">
        <v>39250.0</v>
      </c>
      <c r="K98" s="33"/>
      <c r="L98" s="47">
        <v>39250.0</v>
      </c>
      <c r="M98" s="18">
        <f t="shared" si="1"/>
        <v>0</v>
      </c>
    </row>
    <row r="99">
      <c r="A99" s="41">
        <v>95.0</v>
      </c>
      <c r="B99" s="46" t="s">
        <v>534</v>
      </c>
      <c r="C99" s="46">
        <v>57487.0</v>
      </c>
      <c r="D99" s="46" t="s">
        <v>535</v>
      </c>
      <c r="E99" s="27"/>
      <c r="F99" s="37">
        <v>27000.0</v>
      </c>
      <c r="G99" s="29"/>
      <c r="H99" s="30"/>
      <c r="I99" s="31"/>
      <c r="J99" s="32"/>
      <c r="K99" s="33"/>
      <c r="L99" s="47">
        <v>27000.0</v>
      </c>
      <c r="M99" s="18">
        <f t="shared" si="1"/>
        <v>0</v>
      </c>
    </row>
    <row r="100">
      <c r="A100" s="41">
        <v>96.0</v>
      </c>
      <c r="B100" s="46" t="s">
        <v>536</v>
      </c>
      <c r="C100" s="46">
        <v>47509.0</v>
      </c>
      <c r="D100" s="46" t="s">
        <v>537</v>
      </c>
      <c r="E100" s="27"/>
      <c r="F100" s="37"/>
      <c r="G100" s="39">
        <v>5000.0</v>
      </c>
      <c r="H100" s="30"/>
      <c r="I100" s="31"/>
      <c r="J100" s="32"/>
      <c r="K100" s="33"/>
      <c r="L100" s="47">
        <v>5000.0</v>
      </c>
      <c r="M100" s="18">
        <f t="shared" si="1"/>
        <v>0</v>
      </c>
    </row>
    <row r="101">
      <c r="A101" s="41">
        <v>97.0</v>
      </c>
      <c r="B101" s="46" t="s">
        <v>538</v>
      </c>
      <c r="C101" s="46">
        <v>35245.0</v>
      </c>
      <c r="D101" s="46" t="s">
        <v>34</v>
      </c>
      <c r="E101" s="27"/>
      <c r="F101" s="28"/>
      <c r="G101" s="39">
        <v>35000.0</v>
      </c>
      <c r="H101" s="30"/>
      <c r="I101" s="31"/>
      <c r="J101" s="32"/>
      <c r="K101" s="33"/>
      <c r="L101" s="47">
        <v>35000.0</v>
      </c>
      <c r="M101" s="18">
        <f t="shared" si="1"/>
        <v>0</v>
      </c>
    </row>
    <row r="102">
      <c r="A102" s="41">
        <v>98.0</v>
      </c>
      <c r="B102" s="46" t="s">
        <v>539</v>
      </c>
      <c r="C102" s="46">
        <v>50342.0</v>
      </c>
      <c r="D102" s="46" t="s">
        <v>146</v>
      </c>
      <c r="E102" s="27"/>
      <c r="F102" s="28"/>
      <c r="G102" s="39">
        <v>350.0</v>
      </c>
      <c r="H102" s="30"/>
      <c r="I102" s="31"/>
      <c r="J102" s="32"/>
      <c r="K102" s="33"/>
      <c r="L102" s="47">
        <v>350.0</v>
      </c>
      <c r="M102" s="18">
        <f t="shared" si="1"/>
        <v>0</v>
      </c>
    </row>
    <row r="103">
      <c r="A103" s="41">
        <v>99.0</v>
      </c>
      <c r="B103" s="46" t="s">
        <v>540</v>
      </c>
      <c r="C103" s="46">
        <v>49953.0</v>
      </c>
      <c r="D103" s="46" t="s">
        <v>242</v>
      </c>
      <c r="E103" s="27"/>
      <c r="F103" s="28"/>
      <c r="G103" s="39">
        <v>20350.0</v>
      </c>
      <c r="H103" s="30"/>
      <c r="I103" s="31"/>
      <c r="J103" s="32"/>
      <c r="K103" s="33"/>
      <c r="L103" s="47">
        <v>20350.0</v>
      </c>
      <c r="M103" s="18">
        <f t="shared" si="1"/>
        <v>0</v>
      </c>
    </row>
    <row r="104">
      <c r="A104" s="41">
        <v>100.0</v>
      </c>
      <c r="B104" s="46" t="s">
        <v>541</v>
      </c>
      <c r="C104" s="46">
        <v>30894.0</v>
      </c>
      <c r="D104" s="46" t="s">
        <v>542</v>
      </c>
      <c r="E104" s="27"/>
      <c r="F104" s="28"/>
      <c r="G104" s="29"/>
      <c r="H104" s="30"/>
      <c r="I104" s="31"/>
      <c r="J104" s="35">
        <v>33500.0</v>
      </c>
      <c r="K104" s="33"/>
      <c r="L104" s="47">
        <v>33500.0</v>
      </c>
      <c r="M104" s="18">
        <f t="shared" si="1"/>
        <v>0</v>
      </c>
    </row>
    <row r="105">
      <c r="A105" s="41">
        <v>101.0</v>
      </c>
      <c r="B105" s="46" t="s">
        <v>543</v>
      </c>
      <c r="C105" s="46">
        <v>50221.0</v>
      </c>
      <c r="D105" s="46" t="s">
        <v>252</v>
      </c>
      <c r="E105" s="27"/>
      <c r="F105" s="28"/>
      <c r="G105" s="39">
        <v>2500.0</v>
      </c>
      <c r="H105" s="30"/>
      <c r="I105" s="31"/>
      <c r="J105" s="32"/>
      <c r="K105" s="33"/>
      <c r="L105" s="47">
        <v>2500.0</v>
      </c>
      <c r="M105" s="18">
        <f t="shared" si="1"/>
        <v>0</v>
      </c>
    </row>
    <row r="106">
      <c r="A106" s="41">
        <v>102.0</v>
      </c>
      <c r="B106" s="46" t="s">
        <v>544</v>
      </c>
      <c r="C106" s="46">
        <v>43380.0</v>
      </c>
      <c r="D106" s="46" t="s">
        <v>61</v>
      </c>
      <c r="E106" s="27"/>
      <c r="F106" s="28"/>
      <c r="G106" s="39">
        <v>25000.0</v>
      </c>
      <c r="H106" s="30"/>
      <c r="I106" s="31"/>
      <c r="J106" s="32"/>
      <c r="K106" s="33"/>
      <c r="L106" s="47">
        <v>25000.0</v>
      </c>
      <c r="M106" s="18">
        <f t="shared" si="1"/>
        <v>0</v>
      </c>
    </row>
    <row r="107">
      <c r="A107" s="41">
        <v>103.0</v>
      </c>
      <c r="B107" s="46" t="s">
        <v>545</v>
      </c>
      <c r="C107" s="46">
        <v>50342.0</v>
      </c>
      <c r="D107" s="46" t="s">
        <v>146</v>
      </c>
      <c r="E107" s="27"/>
      <c r="F107" s="28"/>
      <c r="G107" s="39">
        <v>10450.0</v>
      </c>
      <c r="H107" s="30"/>
      <c r="I107" s="31"/>
      <c r="J107" s="32"/>
      <c r="K107" s="33"/>
      <c r="L107" s="47">
        <v>10450.0</v>
      </c>
      <c r="M107" s="18">
        <f t="shared" si="1"/>
        <v>0</v>
      </c>
    </row>
    <row r="108">
      <c r="A108" s="41">
        <v>104.0</v>
      </c>
      <c r="B108" s="46" t="s">
        <v>546</v>
      </c>
      <c r="C108" s="46">
        <v>50342.0</v>
      </c>
      <c r="D108" s="46" t="s">
        <v>146</v>
      </c>
      <c r="E108" s="27"/>
      <c r="F108" s="28"/>
      <c r="G108" s="39">
        <v>50.0</v>
      </c>
      <c r="H108" s="30"/>
      <c r="I108" s="31"/>
      <c r="J108" s="32"/>
      <c r="K108" s="33"/>
      <c r="L108" s="47">
        <v>50.0</v>
      </c>
      <c r="M108" s="18">
        <f t="shared" si="1"/>
        <v>0</v>
      </c>
    </row>
    <row r="109">
      <c r="A109" s="41">
        <v>105.0</v>
      </c>
      <c r="B109" s="46" t="s">
        <v>547</v>
      </c>
      <c r="C109" s="46">
        <v>50222.0</v>
      </c>
      <c r="D109" s="46" t="s">
        <v>47</v>
      </c>
      <c r="E109" s="27"/>
      <c r="F109" s="28"/>
      <c r="G109" s="39">
        <v>25000.0</v>
      </c>
      <c r="H109" s="30"/>
      <c r="I109" s="31"/>
      <c r="J109" s="32"/>
      <c r="K109" s="33"/>
      <c r="L109" s="47">
        <v>25000.0</v>
      </c>
      <c r="M109" s="18">
        <f t="shared" si="1"/>
        <v>0</v>
      </c>
    </row>
    <row r="110">
      <c r="A110" s="41">
        <v>106.0</v>
      </c>
      <c r="B110" s="46" t="s">
        <v>548</v>
      </c>
      <c r="C110" s="46">
        <v>47509.0</v>
      </c>
      <c r="D110" s="46" t="s">
        <v>537</v>
      </c>
      <c r="E110" s="27"/>
      <c r="F110" s="28"/>
      <c r="G110" s="39">
        <v>5000.0</v>
      </c>
      <c r="H110" s="30"/>
      <c r="I110" s="31"/>
      <c r="J110" s="32"/>
      <c r="K110" s="33"/>
      <c r="L110" s="47">
        <v>5000.0</v>
      </c>
      <c r="M110" s="18">
        <f t="shared" si="1"/>
        <v>0</v>
      </c>
    </row>
    <row r="111">
      <c r="A111" s="41"/>
      <c r="B111" s="45"/>
      <c r="C111" s="45"/>
      <c r="D111" s="44"/>
      <c r="E111" s="22">
        <f t="shared" ref="E111:J111" si="2">SUM(E5:E110)</f>
        <v>4100</v>
      </c>
      <c r="F111" s="22">
        <f t="shared" si="2"/>
        <v>59500</v>
      </c>
      <c r="G111" s="22">
        <f t="shared" si="2"/>
        <v>138700</v>
      </c>
      <c r="H111" s="22">
        <f t="shared" si="2"/>
        <v>375305</v>
      </c>
      <c r="I111" s="22">
        <f t="shared" si="2"/>
        <v>229840</v>
      </c>
      <c r="J111" s="22">
        <f t="shared" si="2"/>
        <v>91850</v>
      </c>
      <c r="K111" s="22">
        <f>SUM(K24:K110)</f>
        <v>0</v>
      </c>
      <c r="L111" s="22">
        <f t="shared" ref="L111:M111" si="3">SUM(L5:L110)</f>
        <v>929295</v>
      </c>
      <c r="M111" s="18">
        <f t="shared" si="3"/>
        <v>-30000</v>
      </c>
    </row>
    <row r="112">
      <c r="A112" s="23"/>
      <c r="B112" s="23"/>
      <c r="C112" s="23"/>
      <c r="D112" s="23"/>
      <c r="E112" s="24">
        <f>SUM(K111:M111)</f>
        <v>899295</v>
      </c>
      <c r="F112" s="6"/>
      <c r="G112" s="6"/>
      <c r="H112" s="6"/>
      <c r="I112" s="6"/>
      <c r="J112" s="6"/>
      <c r="K112" s="7"/>
      <c r="L112" s="25"/>
      <c r="M112" s="23"/>
    </row>
    <row r="113">
      <c r="L113" s="40" t="s">
        <v>254</v>
      </c>
    </row>
  </sheetData>
  <mergeCells count="14">
    <mergeCell ref="F3:G3"/>
    <mergeCell ref="H3:I3"/>
    <mergeCell ref="J3:J4"/>
    <mergeCell ref="K3:K4"/>
    <mergeCell ref="E112:K112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5"/>
    <col customWidth="1" min="2" max="2" width="24.75"/>
    <col customWidth="1" min="4" max="4" width="43.25"/>
    <col customWidth="1" min="5" max="5" width="9.5"/>
  </cols>
  <sheetData>
    <row r="1">
      <c r="A1" s="1" t="s">
        <v>549</v>
      </c>
    </row>
    <row r="2">
      <c r="A2" s="2" t="s">
        <v>1</v>
      </c>
      <c r="B2" s="3" t="s">
        <v>2</v>
      </c>
      <c r="C2" s="2" t="s">
        <v>3</v>
      </c>
      <c r="D2" s="4" t="s">
        <v>4</v>
      </c>
      <c r="E2" s="5" t="s">
        <v>5</v>
      </c>
      <c r="F2" s="6"/>
      <c r="G2" s="6"/>
      <c r="H2" s="6"/>
      <c r="I2" s="6"/>
      <c r="J2" s="6"/>
      <c r="K2" s="6"/>
      <c r="L2" s="6"/>
      <c r="M2" s="7"/>
    </row>
    <row r="3">
      <c r="A3" s="8"/>
      <c r="B3" s="8"/>
      <c r="C3" s="8"/>
      <c r="D3" s="8"/>
      <c r="E3" s="2" t="s">
        <v>6</v>
      </c>
      <c r="F3" s="5" t="s">
        <v>7</v>
      </c>
      <c r="G3" s="7"/>
      <c r="H3" s="5" t="s">
        <v>8</v>
      </c>
      <c r="I3" s="7"/>
      <c r="J3" s="2" t="s">
        <v>9</v>
      </c>
      <c r="K3" s="4" t="s">
        <v>10</v>
      </c>
      <c r="L3" s="2" t="s">
        <v>11</v>
      </c>
      <c r="M3" s="2" t="s">
        <v>12</v>
      </c>
    </row>
    <row r="4">
      <c r="A4" s="9"/>
      <c r="B4" s="9"/>
      <c r="C4" s="9"/>
      <c r="D4" s="9"/>
      <c r="E4" s="9"/>
      <c r="F4" s="10" t="s">
        <v>13</v>
      </c>
      <c r="G4" s="10" t="s">
        <v>14</v>
      </c>
      <c r="H4" s="10" t="s">
        <v>15</v>
      </c>
      <c r="I4" s="11" t="s">
        <v>16</v>
      </c>
      <c r="J4" s="9"/>
      <c r="K4" s="9"/>
      <c r="L4" s="9"/>
      <c r="M4" s="9"/>
    </row>
    <row r="5">
      <c r="A5" s="41">
        <v>1.0</v>
      </c>
      <c r="B5" s="26" t="s">
        <v>550</v>
      </c>
      <c r="C5" s="26">
        <v>10001.0</v>
      </c>
      <c r="D5" s="26" t="s">
        <v>218</v>
      </c>
      <c r="E5" s="38">
        <v>100.0</v>
      </c>
      <c r="F5" s="28"/>
      <c r="G5" s="29"/>
      <c r="H5" s="30"/>
      <c r="I5" s="31"/>
      <c r="J5" s="32"/>
      <c r="K5" s="33"/>
      <c r="L5" s="17">
        <v>100.0</v>
      </c>
      <c r="M5" s="18">
        <f t="shared" ref="M5:M87" si="1">SUM(E5+F5+G5+H5+I5+J5+K5-L5)</f>
        <v>0</v>
      </c>
    </row>
    <row r="6">
      <c r="A6" s="41">
        <v>2.0</v>
      </c>
      <c r="B6" s="26" t="s">
        <v>551</v>
      </c>
      <c r="C6" s="26">
        <v>43870.0</v>
      </c>
      <c r="D6" s="26" t="s">
        <v>552</v>
      </c>
      <c r="E6" s="27"/>
      <c r="F6" s="28"/>
      <c r="G6" s="29"/>
      <c r="H6" s="30">
        <v>34500.0</v>
      </c>
      <c r="I6" s="31"/>
      <c r="J6" s="35"/>
      <c r="K6" s="33"/>
      <c r="L6" s="17">
        <v>34500.0</v>
      </c>
      <c r="M6" s="18">
        <f t="shared" si="1"/>
        <v>0</v>
      </c>
    </row>
    <row r="7">
      <c r="A7" s="41">
        <v>3.0</v>
      </c>
      <c r="B7" s="26" t="s">
        <v>553</v>
      </c>
      <c r="C7" s="26">
        <v>48072.0</v>
      </c>
      <c r="D7" s="26" t="s">
        <v>554</v>
      </c>
      <c r="E7" s="27"/>
      <c r="F7" s="28"/>
      <c r="G7" s="29"/>
      <c r="H7" s="30">
        <v>3550.0</v>
      </c>
      <c r="I7" s="31"/>
      <c r="J7" s="32"/>
      <c r="K7" s="33"/>
      <c r="L7" s="17">
        <v>3550.0</v>
      </c>
      <c r="M7" s="18">
        <f t="shared" si="1"/>
        <v>0</v>
      </c>
    </row>
    <row r="8">
      <c r="A8" s="41">
        <v>4.0</v>
      </c>
      <c r="B8" s="26" t="s">
        <v>555</v>
      </c>
      <c r="C8" s="26">
        <v>54099.0</v>
      </c>
      <c r="D8" s="26" t="s">
        <v>556</v>
      </c>
      <c r="E8" s="27"/>
      <c r="F8" s="28"/>
      <c r="G8" s="29"/>
      <c r="H8" s="30">
        <v>15000.0</v>
      </c>
      <c r="I8" s="31"/>
      <c r="J8" s="32"/>
      <c r="K8" s="33"/>
      <c r="L8" s="17">
        <v>15000.0</v>
      </c>
      <c r="M8" s="18">
        <f t="shared" si="1"/>
        <v>0</v>
      </c>
    </row>
    <row r="9">
      <c r="A9" s="41">
        <v>5.0</v>
      </c>
      <c r="B9" s="26" t="s">
        <v>557</v>
      </c>
      <c r="C9" s="26">
        <v>47574.0</v>
      </c>
      <c r="D9" s="26" t="s">
        <v>558</v>
      </c>
      <c r="E9" s="27"/>
      <c r="F9" s="28"/>
      <c r="G9" s="29"/>
      <c r="H9" s="30">
        <v>1250.0</v>
      </c>
      <c r="I9" s="31"/>
      <c r="J9" s="32"/>
      <c r="K9" s="33"/>
      <c r="L9" s="17">
        <v>1250.0</v>
      </c>
      <c r="M9" s="18">
        <f t="shared" si="1"/>
        <v>0</v>
      </c>
    </row>
    <row r="10">
      <c r="A10" s="41">
        <v>6.0</v>
      </c>
      <c r="B10" s="26" t="s">
        <v>559</v>
      </c>
      <c r="C10" s="26">
        <v>49918.0</v>
      </c>
      <c r="D10" s="26" t="s">
        <v>114</v>
      </c>
      <c r="E10" s="27"/>
      <c r="F10" s="28"/>
      <c r="G10" s="29"/>
      <c r="H10" s="30"/>
      <c r="I10" s="31">
        <v>1750.0</v>
      </c>
      <c r="J10" s="32"/>
      <c r="K10" s="33"/>
      <c r="L10" s="17">
        <v>1750.0</v>
      </c>
      <c r="M10" s="18">
        <f t="shared" si="1"/>
        <v>0</v>
      </c>
    </row>
    <row r="11">
      <c r="A11" s="41">
        <v>7.0</v>
      </c>
      <c r="B11" s="26" t="s">
        <v>560</v>
      </c>
      <c r="C11" s="26">
        <v>10250.0</v>
      </c>
      <c r="D11" s="26" t="s">
        <v>107</v>
      </c>
      <c r="E11" s="27"/>
      <c r="F11" s="28"/>
      <c r="G11" s="29"/>
      <c r="H11" s="34"/>
      <c r="I11" s="31">
        <v>1250.0</v>
      </c>
      <c r="J11" s="35"/>
      <c r="K11" s="33"/>
      <c r="L11" s="17">
        <v>1250.0</v>
      </c>
      <c r="M11" s="18">
        <f t="shared" si="1"/>
        <v>0</v>
      </c>
    </row>
    <row r="12">
      <c r="A12" s="41">
        <v>8.0</v>
      </c>
      <c r="B12" s="26" t="s">
        <v>561</v>
      </c>
      <c r="C12" s="26">
        <v>53942.0</v>
      </c>
      <c r="D12" s="26" t="s">
        <v>562</v>
      </c>
      <c r="E12" s="27"/>
      <c r="F12" s="28"/>
      <c r="G12" s="29"/>
      <c r="H12" s="30">
        <v>20000.0</v>
      </c>
      <c r="I12" s="31"/>
      <c r="J12" s="35"/>
      <c r="K12" s="33"/>
      <c r="L12" s="17">
        <v>20000.0</v>
      </c>
      <c r="M12" s="18">
        <f t="shared" si="1"/>
        <v>0</v>
      </c>
    </row>
    <row r="13">
      <c r="A13" s="41">
        <v>9.0</v>
      </c>
      <c r="B13" s="26" t="s">
        <v>563</v>
      </c>
      <c r="C13" s="26">
        <v>48305.0</v>
      </c>
      <c r="D13" s="26" t="s">
        <v>564</v>
      </c>
      <c r="E13" s="27"/>
      <c r="F13" s="28"/>
      <c r="G13" s="29"/>
      <c r="H13" s="30">
        <v>1250.0</v>
      </c>
      <c r="I13" s="31"/>
      <c r="J13" s="32"/>
      <c r="K13" s="33"/>
      <c r="L13" s="17">
        <v>1250.0</v>
      </c>
      <c r="M13" s="18">
        <f t="shared" si="1"/>
        <v>0</v>
      </c>
    </row>
    <row r="14">
      <c r="A14" s="41">
        <v>10.0</v>
      </c>
      <c r="B14" s="26" t="s">
        <v>565</v>
      </c>
      <c r="C14" s="26">
        <v>52647.0</v>
      </c>
      <c r="D14" s="26" t="s">
        <v>322</v>
      </c>
      <c r="E14" s="27"/>
      <c r="F14" s="28"/>
      <c r="G14" s="29"/>
      <c r="H14" s="30">
        <v>15000.0</v>
      </c>
      <c r="I14" s="31"/>
      <c r="J14" s="32"/>
      <c r="K14" s="33"/>
      <c r="L14" s="17">
        <v>15000.0</v>
      </c>
      <c r="M14" s="18">
        <f t="shared" si="1"/>
        <v>0</v>
      </c>
    </row>
    <row r="15">
      <c r="A15" s="41">
        <v>11.0</v>
      </c>
      <c r="B15" s="26" t="s">
        <v>566</v>
      </c>
      <c r="C15" s="26">
        <v>50595.0</v>
      </c>
      <c r="D15" s="26" t="s">
        <v>158</v>
      </c>
      <c r="E15" s="27"/>
      <c r="F15" s="28"/>
      <c r="G15" s="29"/>
      <c r="H15" s="30">
        <v>29077.0</v>
      </c>
      <c r="I15" s="31"/>
      <c r="J15" s="32"/>
      <c r="K15" s="33"/>
      <c r="L15" s="17">
        <v>29077.0</v>
      </c>
      <c r="M15" s="18">
        <f t="shared" si="1"/>
        <v>0</v>
      </c>
    </row>
    <row r="16">
      <c r="A16" s="41">
        <v>12.0</v>
      </c>
      <c r="B16" s="26" t="s">
        <v>567</v>
      </c>
      <c r="C16" s="26">
        <v>10683.0</v>
      </c>
      <c r="D16" s="26" t="s">
        <v>568</v>
      </c>
      <c r="E16" s="27"/>
      <c r="F16" s="28"/>
      <c r="G16" s="29"/>
      <c r="H16" s="30">
        <v>1550.0</v>
      </c>
      <c r="I16" s="31"/>
      <c r="J16" s="32"/>
      <c r="K16" s="33"/>
      <c r="L16" s="17">
        <v>1550.0</v>
      </c>
      <c r="M16" s="18">
        <f t="shared" si="1"/>
        <v>0</v>
      </c>
    </row>
    <row r="17">
      <c r="A17" s="41">
        <v>13.0</v>
      </c>
      <c r="B17" s="26" t="s">
        <v>569</v>
      </c>
      <c r="C17" s="26">
        <v>48910.0</v>
      </c>
      <c r="D17" s="26" t="s">
        <v>399</v>
      </c>
      <c r="E17" s="27"/>
      <c r="F17" s="28"/>
      <c r="G17" s="29"/>
      <c r="H17" s="30">
        <v>2650.0</v>
      </c>
      <c r="I17" s="31"/>
      <c r="J17" s="35"/>
      <c r="K17" s="33"/>
      <c r="L17" s="17">
        <v>2650.0</v>
      </c>
      <c r="M17" s="18">
        <f t="shared" si="1"/>
        <v>0</v>
      </c>
    </row>
    <row r="18">
      <c r="A18" s="41">
        <v>14.0</v>
      </c>
      <c r="B18" s="26" t="s">
        <v>570</v>
      </c>
      <c r="C18" s="26">
        <v>44886.0</v>
      </c>
      <c r="D18" s="26" t="s">
        <v>571</v>
      </c>
      <c r="E18" s="27"/>
      <c r="F18" s="28"/>
      <c r="G18" s="29"/>
      <c r="H18" s="30">
        <v>5000.0</v>
      </c>
      <c r="I18" s="31"/>
      <c r="J18" s="35"/>
      <c r="K18" s="33"/>
      <c r="L18" s="17">
        <v>5000.0</v>
      </c>
      <c r="M18" s="18">
        <f t="shared" si="1"/>
        <v>0</v>
      </c>
    </row>
    <row r="19">
      <c r="A19" s="41">
        <v>15.0</v>
      </c>
      <c r="B19" s="26" t="s">
        <v>572</v>
      </c>
      <c r="C19" s="26">
        <v>52320.0</v>
      </c>
      <c r="D19" s="26" t="s">
        <v>573</v>
      </c>
      <c r="E19" s="27"/>
      <c r="F19" s="37"/>
      <c r="G19" s="29"/>
      <c r="H19" s="30">
        <v>5000.0</v>
      </c>
      <c r="I19" s="31"/>
      <c r="J19" s="32"/>
      <c r="K19" s="33"/>
      <c r="L19" s="17">
        <v>5000.0</v>
      </c>
      <c r="M19" s="18">
        <f t="shared" si="1"/>
        <v>0</v>
      </c>
    </row>
    <row r="20">
      <c r="A20" s="41">
        <v>16.0</v>
      </c>
      <c r="B20" s="26" t="s">
        <v>574</v>
      </c>
      <c r="C20" s="26">
        <v>40494.0</v>
      </c>
      <c r="D20" s="26" t="s">
        <v>575</v>
      </c>
      <c r="E20" s="38">
        <v>14100.0</v>
      </c>
      <c r="F20" s="28"/>
      <c r="G20" s="29"/>
      <c r="H20" s="30">
        <v>4300.0</v>
      </c>
      <c r="I20" s="31"/>
      <c r="J20" s="32"/>
      <c r="K20" s="33"/>
      <c r="L20" s="17">
        <v>18400.0</v>
      </c>
      <c r="M20" s="18">
        <f t="shared" si="1"/>
        <v>0</v>
      </c>
    </row>
    <row r="21">
      <c r="A21" s="41">
        <v>17.0</v>
      </c>
      <c r="B21" s="26" t="s">
        <v>576</v>
      </c>
      <c r="C21" s="26">
        <v>46562.0</v>
      </c>
      <c r="D21" s="26" t="s">
        <v>577</v>
      </c>
      <c r="E21" s="27"/>
      <c r="F21" s="28"/>
      <c r="G21" s="29"/>
      <c r="H21" s="30">
        <v>5000.0</v>
      </c>
      <c r="I21" s="31"/>
      <c r="J21" s="32"/>
      <c r="K21" s="33"/>
      <c r="L21" s="17">
        <v>5000.0</v>
      </c>
      <c r="M21" s="18">
        <f t="shared" si="1"/>
        <v>0</v>
      </c>
    </row>
    <row r="22">
      <c r="A22" s="41">
        <v>18.0</v>
      </c>
      <c r="B22" s="26" t="s">
        <v>578</v>
      </c>
      <c r="C22" s="26">
        <v>48136.0</v>
      </c>
      <c r="D22" s="26" t="s">
        <v>508</v>
      </c>
      <c r="E22" s="27"/>
      <c r="F22" s="28"/>
      <c r="G22" s="29"/>
      <c r="H22" s="30">
        <v>5000.0</v>
      </c>
      <c r="I22" s="31"/>
      <c r="J22" s="32"/>
      <c r="K22" s="33"/>
      <c r="L22" s="17">
        <v>5000.0</v>
      </c>
      <c r="M22" s="18">
        <f t="shared" si="1"/>
        <v>0</v>
      </c>
    </row>
    <row r="23">
      <c r="A23" s="41">
        <v>19.0</v>
      </c>
      <c r="B23" s="26" t="s">
        <v>579</v>
      </c>
      <c r="C23" s="26">
        <v>46562.0</v>
      </c>
      <c r="D23" s="26" t="s">
        <v>577</v>
      </c>
      <c r="E23" s="27"/>
      <c r="F23" s="28"/>
      <c r="G23" s="29"/>
      <c r="H23" s="30">
        <v>300.0</v>
      </c>
      <c r="I23" s="31"/>
      <c r="J23" s="32"/>
      <c r="K23" s="33"/>
      <c r="L23" s="17">
        <v>300.0</v>
      </c>
      <c r="M23" s="18">
        <f t="shared" si="1"/>
        <v>0</v>
      </c>
    </row>
    <row r="24">
      <c r="A24" s="41">
        <v>20.0</v>
      </c>
      <c r="B24" s="26" t="s">
        <v>580</v>
      </c>
      <c r="C24" s="26">
        <v>46562.0</v>
      </c>
      <c r="D24" s="26" t="s">
        <v>577</v>
      </c>
      <c r="E24" s="27"/>
      <c r="F24" s="28"/>
      <c r="G24" s="29"/>
      <c r="H24" s="30">
        <v>250.0</v>
      </c>
      <c r="I24" s="31"/>
      <c r="J24" s="32"/>
      <c r="K24" s="33"/>
      <c r="L24" s="17">
        <v>250.0</v>
      </c>
      <c r="M24" s="18">
        <f t="shared" si="1"/>
        <v>0</v>
      </c>
    </row>
    <row r="25">
      <c r="A25" s="41">
        <v>21.0</v>
      </c>
      <c r="B25" s="26" t="s">
        <v>581</v>
      </c>
      <c r="C25" s="26">
        <v>26831.0</v>
      </c>
      <c r="D25" s="26" t="s">
        <v>315</v>
      </c>
      <c r="E25" s="27"/>
      <c r="F25" s="28"/>
      <c r="G25" s="29"/>
      <c r="H25" s="30"/>
      <c r="I25" s="31">
        <v>8750.0</v>
      </c>
      <c r="J25" s="32"/>
      <c r="K25" s="33"/>
      <c r="L25" s="17">
        <v>8750.0</v>
      </c>
      <c r="M25" s="18">
        <f t="shared" si="1"/>
        <v>0</v>
      </c>
    </row>
    <row r="26">
      <c r="A26" s="41">
        <v>22.0</v>
      </c>
      <c r="B26" s="26" t="s">
        <v>582</v>
      </c>
      <c r="C26" s="26">
        <v>50871.0</v>
      </c>
      <c r="D26" s="26" t="s">
        <v>105</v>
      </c>
      <c r="E26" s="27"/>
      <c r="F26" s="37"/>
      <c r="G26" s="29"/>
      <c r="H26" s="30">
        <v>55000.0</v>
      </c>
      <c r="I26" s="36"/>
      <c r="J26" s="32"/>
      <c r="K26" s="33"/>
      <c r="L26" s="17">
        <v>55000.0</v>
      </c>
      <c r="M26" s="18">
        <f t="shared" si="1"/>
        <v>0</v>
      </c>
    </row>
    <row r="27">
      <c r="A27" s="41">
        <v>23.0</v>
      </c>
      <c r="B27" s="26" t="s">
        <v>583</v>
      </c>
      <c r="C27" s="26">
        <v>48631.0</v>
      </c>
      <c r="D27" s="26" t="s">
        <v>118</v>
      </c>
      <c r="E27" s="38"/>
      <c r="F27" s="28"/>
      <c r="G27" s="29"/>
      <c r="H27" s="30">
        <v>10000.0</v>
      </c>
      <c r="I27" s="36"/>
      <c r="J27" s="32"/>
      <c r="K27" s="33"/>
      <c r="L27" s="17">
        <v>10000.0</v>
      </c>
      <c r="M27" s="18">
        <f t="shared" si="1"/>
        <v>0</v>
      </c>
    </row>
    <row r="28">
      <c r="A28" s="41">
        <v>24.0</v>
      </c>
      <c r="B28" s="26" t="s">
        <v>584</v>
      </c>
      <c r="C28" s="26">
        <v>49194.0</v>
      </c>
      <c r="D28" s="26" t="s">
        <v>444</v>
      </c>
      <c r="E28" s="27"/>
      <c r="F28" s="37"/>
      <c r="G28" s="29"/>
      <c r="H28" s="30">
        <v>5150.0</v>
      </c>
      <c r="I28" s="31"/>
      <c r="J28" s="35"/>
      <c r="K28" s="33"/>
      <c r="L28" s="17">
        <v>5150.0</v>
      </c>
      <c r="M28" s="18">
        <f t="shared" si="1"/>
        <v>0</v>
      </c>
    </row>
    <row r="29">
      <c r="A29" s="41">
        <v>25.0</v>
      </c>
      <c r="B29" s="26" t="s">
        <v>585</v>
      </c>
      <c r="C29" s="26">
        <v>48631.0</v>
      </c>
      <c r="D29" s="26" t="s">
        <v>118</v>
      </c>
      <c r="E29" s="27"/>
      <c r="F29" s="28"/>
      <c r="G29" s="29"/>
      <c r="H29" s="30">
        <v>3000.0</v>
      </c>
      <c r="I29" s="31"/>
      <c r="J29" s="32"/>
      <c r="K29" s="33"/>
      <c r="L29" s="17">
        <v>3000.0</v>
      </c>
      <c r="M29" s="18">
        <f t="shared" si="1"/>
        <v>0</v>
      </c>
    </row>
    <row r="30">
      <c r="A30" s="41">
        <v>26.0</v>
      </c>
      <c r="B30" s="26" t="s">
        <v>586</v>
      </c>
      <c r="C30" s="26">
        <v>13781.0</v>
      </c>
      <c r="D30" s="26" t="s">
        <v>278</v>
      </c>
      <c r="E30" s="27"/>
      <c r="F30" s="28"/>
      <c r="G30" s="29"/>
      <c r="H30" s="30">
        <v>37500.0</v>
      </c>
      <c r="I30" s="31"/>
      <c r="J30" s="32"/>
      <c r="K30" s="33"/>
      <c r="L30" s="17">
        <v>37500.0</v>
      </c>
      <c r="M30" s="18">
        <f t="shared" si="1"/>
        <v>0</v>
      </c>
    </row>
    <row r="31">
      <c r="A31" s="41">
        <v>27.0</v>
      </c>
      <c r="B31" s="26" t="s">
        <v>587</v>
      </c>
      <c r="C31" s="26">
        <v>52647.0</v>
      </c>
      <c r="D31" s="26" t="s">
        <v>322</v>
      </c>
      <c r="E31" s="27"/>
      <c r="F31" s="37">
        <v>5000.0</v>
      </c>
      <c r="G31" s="29"/>
      <c r="H31" s="30"/>
      <c r="I31" s="31"/>
      <c r="J31" s="32"/>
      <c r="K31" s="33"/>
      <c r="L31" s="17">
        <v>5000.0</v>
      </c>
      <c r="M31" s="18">
        <f t="shared" si="1"/>
        <v>0</v>
      </c>
    </row>
    <row r="32">
      <c r="A32" s="41">
        <v>28.0</v>
      </c>
      <c r="B32" s="26" t="s">
        <v>588</v>
      </c>
      <c r="C32" s="26">
        <v>56745.0</v>
      </c>
      <c r="D32" s="26" t="s">
        <v>589</v>
      </c>
      <c r="E32" s="27"/>
      <c r="F32" s="28"/>
      <c r="G32" s="29"/>
      <c r="H32" s="30">
        <v>780.0</v>
      </c>
      <c r="I32" s="31"/>
      <c r="J32" s="32"/>
      <c r="K32" s="33"/>
      <c r="L32" s="17">
        <v>780.0</v>
      </c>
      <c r="M32" s="18">
        <f t="shared" si="1"/>
        <v>0</v>
      </c>
    </row>
    <row r="33">
      <c r="A33" s="41">
        <v>29.0</v>
      </c>
      <c r="B33" s="26" t="s">
        <v>590</v>
      </c>
      <c r="C33" s="26">
        <v>21821.0</v>
      </c>
      <c r="D33" s="26" t="s">
        <v>401</v>
      </c>
      <c r="E33" s="27"/>
      <c r="F33" s="28"/>
      <c r="G33" s="29"/>
      <c r="H33" s="30">
        <v>15000.0</v>
      </c>
      <c r="I33" s="31"/>
      <c r="J33" s="32"/>
      <c r="K33" s="33"/>
      <c r="L33" s="17">
        <v>15000.0</v>
      </c>
      <c r="M33" s="18">
        <f t="shared" si="1"/>
        <v>0</v>
      </c>
    </row>
    <row r="34">
      <c r="A34" s="41">
        <v>30.0</v>
      </c>
      <c r="B34" s="26" t="s">
        <v>591</v>
      </c>
      <c r="C34" s="26">
        <v>21384.0</v>
      </c>
      <c r="D34" s="26" t="s">
        <v>38</v>
      </c>
      <c r="E34" s="27"/>
      <c r="F34" s="28"/>
      <c r="G34" s="29"/>
      <c r="H34" s="30"/>
      <c r="I34" s="31"/>
      <c r="J34" s="35">
        <v>1450.0</v>
      </c>
      <c r="K34" s="33"/>
      <c r="L34" s="17">
        <v>1450.0</v>
      </c>
      <c r="M34" s="18">
        <f t="shared" si="1"/>
        <v>0</v>
      </c>
    </row>
    <row r="35">
      <c r="A35" s="41">
        <v>31.0</v>
      </c>
      <c r="B35" s="26" t="s">
        <v>592</v>
      </c>
      <c r="C35" s="26">
        <v>50253.0</v>
      </c>
      <c r="D35" s="26" t="s">
        <v>593</v>
      </c>
      <c r="E35" s="27"/>
      <c r="F35" s="28"/>
      <c r="G35" s="29"/>
      <c r="H35" s="30">
        <v>5000.0</v>
      </c>
      <c r="I35" s="31"/>
      <c r="J35" s="32"/>
      <c r="K35" s="33"/>
      <c r="L35" s="17">
        <v>5000.0</v>
      </c>
      <c r="M35" s="18">
        <f t="shared" si="1"/>
        <v>0</v>
      </c>
    </row>
    <row r="36">
      <c r="A36" s="41">
        <v>32.0</v>
      </c>
      <c r="B36" s="26" t="s">
        <v>594</v>
      </c>
      <c r="C36" s="26">
        <v>48699.0</v>
      </c>
      <c r="D36" s="26" t="s">
        <v>595</v>
      </c>
      <c r="E36" s="27"/>
      <c r="F36" s="28"/>
      <c r="G36" s="29"/>
      <c r="H36" s="30">
        <v>2500.0</v>
      </c>
      <c r="I36" s="31"/>
      <c r="J36" s="32"/>
      <c r="K36" s="33"/>
      <c r="L36" s="17">
        <v>2500.0</v>
      </c>
      <c r="M36" s="18">
        <f t="shared" si="1"/>
        <v>0</v>
      </c>
    </row>
    <row r="37">
      <c r="A37" s="41">
        <v>33.0</v>
      </c>
      <c r="B37" s="26" t="s">
        <v>596</v>
      </c>
      <c r="C37" s="26">
        <v>48716.0</v>
      </c>
      <c r="D37" s="26" t="s">
        <v>597</v>
      </c>
      <c r="E37" s="27"/>
      <c r="F37" s="28"/>
      <c r="G37" s="29"/>
      <c r="H37" s="30">
        <v>5000.0</v>
      </c>
      <c r="I37" s="31"/>
      <c r="J37" s="32"/>
      <c r="K37" s="33"/>
      <c r="L37" s="17">
        <v>5000.0</v>
      </c>
      <c r="M37" s="18">
        <f t="shared" si="1"/>
        <v>0</v>
      </c>
    </row>
    <row r="38">
      <c r="A38" s="41">
        <v>34.0</v>
      </c>
      <c r="B38" s="26" t="s">
        <v>598</v>
      </c>
      <c r="C38" s="26">
        <v>43134.0</v>
      </c>
      <c r="D38" s="26" t="s">
        <v>599</v>
      </c>
      <c r="E38" s="27"/>
      <c r="F38" s="28"/>
      <c r="G38" s="29"/>
      <c r="H38" s="30">
        <v>900.0</v>
      </c>
      <c r="I38" s="31"/>
      <c r="J38" s="32"/>
      <c r="K38" s="33"/>
      <c r="L38" s="17">
        <v>900.0</v>
      </c>
      <c r="M38" s="18">
        <f t="shared" si="1"/>
        <v>0</v>
      </c>
    </row>
    <row r="39">
      <c r="A39" s="41">
        <v>35.0</v>
      </c>
      <c r="B39" s="26" t="s">
        <v>600</v>
      </c>
      <c r="C39" s="26">
        <v>45937.0</v>
      </c>
      <c r="D39" s="26" t="s">
        <v>337</v>
      </c>
      <c r="E39" s="27"/>
      <c r="F39" s="28"/>
      <c r="G39" s="29"/>
      <c r="H39" s="30">
        <v>350.0</v>
      </c>
      <c r="I39" s="31"/>
      <c r="J39" s="35"/>
      <c r="K39" s="33"/>
      <c r="L39" s="17">
        <v>350.0</v>
      </c>
      <c r="M39" s="18">
        <f t="shared" si="1"/>
        <v>0</v>
      </c>
    </row>
    <row r="40">
      <c r="A40" s="41">
        <v>36.0</v>
      </c>
      <c r="B40" s="26" t="s">
        <v>601</v>
      </c>
      <c r="C40" s="26">
        <v>52032.0</v>
      </c>
      <c r="D40" s="26" t="s">
        <v>233</v>
      </c>
      <c r="E40" s="27"/>
      <c r="F40" s="28"/>
      <c r="G40" s="29"/>
      <c r="H40" s="30">
        <v>15000.0</v>
      </c>
      <c r="I40" s="36"/>
      <c r="J40" s="32"/>
      <c r="K40" s="33"/>
      <c r="L40" s="17">
        <v>15000.0</v>
      </c>
      <c r="M40" s="18">
        <f t="shared" si="1"/>
        <v>0</v>
      </c>
    </row>
    <row r="41">
      <c r="A41" s="41">
        <v>37.0</v>
      </c>
      <c r="B41" s="26" t="s">
        <v>602</v>
      </c>
      <c r="C41" s="26">
        <v>30895.0</v>
      </c>
      <c r="D41" s="26" t="s">
        <v>603</v>
      </c>
      <c r="E41" s="27"/>
      <c r="F41" s="28"/>
      <c r="G41" s="29"/>
      <c r="H41" s="30">
        <v>10000.0</v>
      </c>
      <c r="I41" s="36"/>
      <c r="J41" s="35"/>
      <c r="K41" s="33"/>
      <c r="L41" s="17">
        <v>10000.0</v>
      </c>
      <c r="M41" s="18">
        <f t="shared" si="1"/>
        <v>0</v>
      </c>
    </row>
    <row r="42">
      <c r="A42" s="41">
        <v>38.0</v>
      </c>
      <c r="B42" s="26" t="s">
        <v>604</v>
      </c>
      <c r="C42" s="26">
        <v>50538.0</v>
      </c>
      <c r="D42" s="26" t="s">
        <v>605</v>
      </c>
      <c r="E42" s="27"/>
      <c r="F42" s="28"/>
      <c r="G42" s="29"/>
      <c r="H42" s="30">
        <v>1400.0</v>
      </c>
      <c r="I42" s="36"/>
      <c r="J42" s="35"/>
      <c r="K42" s="33"/>
      <c r="L42" s="17">
        <v>1400.0</v>
      </c>
      <c r="M42" s="18">
        <f t="shared" si="1"/>
        <v>0</v>
      </c>
    </row>
    <row r="43">
      <c r="A43" s="41">
        <v>39.0</v>
      </c>
      <c r="B43" s="26" t="s">
        <v>606</v>
      </c>
      <c r="C43" s="26">
        <v>36918.0</v>
      </c>
      <c r="D43" s="26" t="s">
        <v>607</v>
      </c>
      <c r="E43" s="27"/>
      <c r="F43" s="28"/>
      <c r="G43" s="29"/>
      <c r="H43" s="30">
        <v>5000.0</v>
      </c>
      <c r="I43" s="36"/>
      <c r="J43" s="32"/>
      <c r="K43" s="33"/>
      <c r="L43" s="17">
        <v>5000.0</v>
      </c>
      <c r="M43" s="18">
        <f t="shared" si="1"/>
        <v>0</v>
      </c>
    </row>
    <row r="44">
      <c r="A44" s="41">
        <v>40.0</v>
      </c>
      <c r="B44" s="26" t="s">
        <v>608</v>
      </c>
      <c r="C44" s="26">
        <v>26005.0</v>
      </c>
      <c r="D44" s="26" t="s">
        <v>86</v>
      </c>
      <c r="E44" s="27"/>
      <c r="F44" s="28"/>
      <c r="G44" s="29"/>
      <c r="H44" s="30">
        <v>4000.0</v>
      </c>
      <c r="I44" s="31"/>
      <c r="J44" s="32"/>
      <c r="K44" s="33"/>
      <c r="L44" s="17">
        <v>4000.0</v>
      </c>
      <c r="M44" s="18">
        <f t="shared" si="1"/>
        <v>0</v>
      </c>
    </row>
    <row r="45">
      <c r="A45" s="41">
        <v>41.0</v>
      </c>
      <c r="B45" s="26" t="s">
        <v>609</v>
      </c>
      <c r="C45" s="26">
        <v>24751.0</v>
      </c>
      <c r="D45" s="26" t="s">
        <v>610</v>
      </c>
      <c r="E45" s="27"/>
      <c r="F45" s="28"/>
      <c r="G45" s="29"/>
      <c r="H45" s="30">
        <v>5000.0</v>
      </c>
      <c r="I45" s="31"/>
      <c r="J45" s="32"/>
      <c r="K45" s="33"/>
      <c r="L45" s="17">
        <v>5000.0</v>
      </c>
      <c r="M45" s="18">
        <f t="shared" si="1"/>
        <v>0</v>
      </c>
    </row>
    <row r="46">
      <c r="A46" s="41">
        <v>42.0</v>
      </c>
      <c r="B46" s="26" t="s">
        <v>611</v>
      </c>
      <c r="C46" s="26">
        <v>48631.0</v>
      </c>
      <c r="D46" s="26" t="s">
        <v>118</v>
      </c>
      <c r="E46" s="27"/>
      <c r="F46" s="37"/>
      <c r="G46" s="29"/>
      <c r="H46" s="30">
        <v>350.0</v>
      </c>
      <c r="I46" s="31"/>
      <c r="J46" s="32"/>
      <c r="K46" s="33"/>
      <c r="L46" s="17">
        <v>350.0</v>
      </c>
      <c r="M46" s="18">
        <f t="shared" si="1"/>
        <v>0</v>
      </c>
    </row>
    <row r="47">
      <c r="A47" s="41">
        <v>43.0</v>
      </c>
      <c r="B47" s="26" t="s">
        <v>612</v>
      </c>
      <c r="C47" s="26">
        <v>47181.0</v>
      </c>
      <c r="D47" s="26" t="s">
        <v>613</v>
      </c>
      <c r="E47" s="27"/>
      <c r="F47" s="37"/>
      <c r="G47" s="29"/>
      <c r="H47" s="30">
        <v>12500.0</v>
      </c>
      <c r="I47" s="31"/>
      <c r="J47" s="32"/>
      <c r="K47" s="33"/>
      <c r="L47" s="17">
        <v>12500.0</v>
      </c>
      <c r="M47" s="18">
        <f t="shared" si="1"/>
        <v>0</v>
      </c>
    </row>
    <row r="48">
      <c r="A48" s="41">
        <v>44.0</v>
      </c>
      <c r="B48" s="26" t="s">
        <v>614</v>
      </c>
      <c r="C48" s="26">
        <v>52032.0</v>
      </c>
      <c r="D48" s="26" t="s">
        <v>233</v>
      </c>
      <c r="E48" s="27"/>
      <c r="F48" s="28"/>
      <c r="G48" s="29"/>
      <c r="H48" s="30">
        <v>350.0</v>
      </c>
      <c r="I48" s="31"/>
      <c r="J48" s="32"/>
      <c r="K48" s="33"/>
      <c r="L48" s="17">
        <v>350.0</v>
      </c>
      <c r="M48" s="18">
        <f t="shared" si="1"/>
        <v>0</v>
      </c>
    </row>
    <row r="49">
      <c r="A49" s="41">
        <v>45.0</v>
      </c>
      <c r="B49" s="26" t="s">
        <v>615</v>
      </c>
      <c r="C49" s="26">
        <v>29621.0</v>
      </c>
      <c r="D49" s="26" t="s">
        <v>174</v>
      </c>
      <c r="E49" s="27"/>
      <c r="F49" s="28"/>
      <c r="G49" s="29"/>
      <c r="H49" s="30"/>
      <c r="I49" s="31">
        <v>34500.0</v>
      </c>
      <c r="J49" s="32"/>
      <c r="K49" s="33"/>
      <c r="L49" s="17">
        <v>34500.0</v>
      </c>
      <c r="M49" s="18">
        <f t="shared" si="1"/>
        <v>0</v>
      </c>
    </row>
    <row r="50">
      <c r="A50" s="41">
        <v>46.0</v>
      </c>
      <c r="B50" s="26" t="s">
        <v>616</v>
      </c>
      <c r="C50" s="26">
        <v>10271.0</v>
      </c>
      <c r="D50" s="26" t="s">
        <v>474</v>
      </c>
      <c r="E50" s="27"/>
      <c r="F50" s="28"/>
      <c r="G50" s="29"/>
      <c r="H50" s="30"/>
      <c r="I50" s="31">
        <v>1000.0</v>
      </c>
      <c r="J50" s="32"/>
      <c r="K50" s="33"/>
      <c r="L50" s="17">
        <v>1000.0</v>
      </c>
      <c r="M50" s="18">
        <f t="shared" si="1"/>
        <v>0</v>
      </c>
    </row>
    <row r="51">
      <c r="A51" s="41">
        <v>47.0</v>
      </c>
      <c r="B51" s="26" t="s">
        <v>617</v>
      </c>
      <c r="C51" s="26">
        <v>50557.0</v>
      </c>
      <c r="D51" s="26" t="s">
        <v>94</v>
      </c>
      <c r="E51" s="27"/>
      <c r="F51" s="28"/>
      <c r="G51" s="29"/>
      <c r="H51" s="30">
        <v>700.0</v>
      </c>
      <c r="I51" s="31"/>
      <c r="J51" s="32"/>
      <c r="K51" s="33"/>
      <c r="L51" s="17">
        <v>700.0</v>
      </c>
      <c r="M51" s="18">
        <f t="shared" si="1"/>
        <v>0</v>
      </c>
    </row>
    <row r="52">
      <c r="A52" s="41">
        <v>48.0</v>
      </c>
      <c r="B52" s="26" t="s">
        <v>618</v>
      </c>
      <c r="C52" s="26">
        <v>35245.0</v>
      </c>
      <c r="D52" s="26" t="s">
        <v>34</v>
      </c>
      <c r="E52" s="27"/>
      <c r="F52" s="28"/>
      <c r="G52" s="39"/>
      <c r="H52" s="30">
        <v>1445.0</v>
      </c>
      <c r="I52" s="36"/>
      <c r="J52" s="32"/>
      <c r="K52" s="33"/>
      <c r="L52" s="17">
        <v>1445.0</v>
      </c>
      <c r="M52" s="18">
        <f t="shared" si="1"/>
        <v>0</v>
      </c>
    </row>
    <row r="53">
      <c r="A53" s="41">
        <v>49.0</v>
      </c>
      <c r="B53" s="26" t="s">
        <v>619</v>
      </c>
      <c r="C53" s="26">
        <v>26350.0</v>
      </c>
      <c r="D53" s="26" t="s">
        <v>620</v>
      </c>
      <c r="E53" s="27"/>
      <c r="F53" s="37"/>
      <c r="G53" s="29"/>
      <c r="H53" s="30"/>
      <c r="I53" s="31">
        <v>2650.0</v>
      </c>
      <c r="J53" s="32"/>
      <c r="K53" s="33"/>
      <c r="L53" s="17">
        <v>2650.0</v>
      </c>
      <c r="M53" s="18">
        <f t="shared" si="1"/>
        <v>0</v>
      </c>
    </row>
    <row r="54">
      <c r="A54" s="41">
        <v>50.0</v>
      </c>
      <c r="B54" s="26" t="s">
        <v>621</v>
      </c>
      <c r="C54" s="26">
        <v>26831.0</v>
      </c>
      <c r="D54" s="26" t="s">
        <v>315</v>
      </c>
      <c r="E54" s="27"/>
      <c r="F54" s="28"/>
      <c r="G54" s="29"/>
      <c r="H54" s="30">
        <v>10000.0</v>
      </c>
      <c r="I54" s="31"/>
      <c r="J54" s="32"/>
      <c r="K54" s="33"/>
      <c r="L54" s="17">
        <v>10000.0</v>
      </c>
      <c r="M54" s="18">
        <f t="shared" si="1"/>
        <v>0</v>
      </c>
    </row>
    <row r="55">
      <c r="A55" s="41">
        <v>51.0</v>
      </c>
      <c r="B55" s="26" t="s">
        <v>622</v>
      </c>
      <c r="C55" s="26">
        <v>45937.0</v>
      </c>
      <c r="D55" s="26" t="s">
        <v>337</v>
      </c>
      <c r="E55" s="27"/>
      <c r="F55" s="28"/>
      <c r="G55" s="29"/>
      <c r="H55" s="30">
        <v>300.0</v>
      </c>
      <c r="I55" s="31"/>
      <c r="J55" s="32"/>
      <c r="K55" s="33"/>
      <c r="L55" s="17">
        <v>300.0</v>
      </c>
      <c r="M55" s="18">
        <f t="shared" si="1"/>
        <v>0</v>
      </c>
    </row>
    <row r="56">
      <c r="A56" s="41">
        <v>52.0</v>
      </c>
      <c r="B56" s="26" t="s">
        <v>623</v>
      </c>
      <c r="C56" s="26">
        <v>51040.0</v>
      </c>
      <c r="D56" s="26" t="s">
        <v>196</v>
      </c>
      <c r="E56" s="27"/>
      <c r="F56" s="37">
        <v>550.0</v>
      </c>
      <c r="G56" s="29"/>
      <c r="H56" s="30"/>
      <c r="I56" s="31"/>
      <c r="J56" s="32"/>
      <c r="K56" s="33"/>
      <c r="L56" s="17">
        <v>550.0</v>
      </c>
      <c r="M56" s="18">
        <f t="shared" si="1"/>
        <v>0</v>
      </c>
    </row>
    <row r="57">
      <c r="A57" s="41">
        <v>53.0</v>
      </c>
      <c r="B57" s="26" t="s">
        <v>624</v>
      </c>
      <c r="C57" s="26">
        <v>48967.0</v>
      </c>
      <c r="D57" s="26" t="s">
        <v>88</v>
      </c>
      <c r="E57" s="27"/>
      <c r="F57" s="28"/>
      <c r="G57" s="29"/>
      <c r="H57" s="30">
        <v>10000.0</v>
      </c>
      <c r="I57" s="31"/>
      <c r="J57" s="32"/>
      <c r="K57" s="33"/>
      <c r="L57" s="17">
        <v>10000.0</v>
      </c>
      <c r="M57" s="18">
        <f t="shared" si="1"/>
        <v>0</v>
      </c>
    </row>
    <row r="58">
      <c r="A58" s="41">
        <v>54.0</v>
      </c>
      <c r="B58" s="26" t="s">
        <v>625</v>
      </c>
      <c r="C58" s="26">
        <v>22332.0</v>
      </c>
      <c r="D58" s="26" t="s">
        <v>138</v>
      </c>
      <c r="E58" s="27"/>
      <c r="F58" s="28"/>
      <c r="G58" s="29"/>
      <c r="H58" s="30"/>
      <c r="I58" s="31"/>
      <c r="J58" s="35">
        <v>0.0</v>
      </c>
      <c r="K58" s="33"/>
      <c r="L58" s="17">
        <v>300.0</v>
      </c>
      <c r="M58" s="18">
        <f t="shared" si="1"/>
        <v>-300</v>
      </c>
    </row>
    <row r="59">
      <c r="A59" s="41">
        <v>55.0</v>
      </c>
      <c r="B59" s="26" t="s">
        <v>626</v>
      </c>
      <c r="C59" s="26">
        <v>47179.0</v>
      </c>
      <c r="D59" s="26" t="s">
        <v>438</v>
      </c>
      <c r="E59" s="27"/>
      <c r="F59" s="28"/>
      <c r="G59" s="29"/>
      <c r="H59" s="30"/>
      <c r="I59" s="31">
        <v>10000.0</v>
      </c>
      <c r="J59" s="32"/>
      <c r="K59" s="33"/>
      <c r="L59" s="17">
        <v>10000.0</v>
      </c>
      <c r="M59" s="18">
        <f t="shared" si="1"/>
        <v>0</v>
      </c>
    </row>
    <row r="60">
      <c r="A60" s="41">
        <v>56.0</v>
      </c>
      <c r="B60" s="26" t="s">
        <v>627</v>
      </c>
      <c r="C60" s="26">
        <v>47787.0</v>
      </c>
      <c r="D60" s="26" t="s">
        <v>506</v>
      </c>
      <c r="E60" s="27"/>
      <c r="F60" s="28"/>
      <c r="G60" s="29"/>
      <c r="H60" s="30">
        <v>10000.0</v>
      </c>
      <c r="I60" s="31"/>
      <c r="J60" s="32"/>
      <c r="K60" s="33"/>
      <c r="L60" s="17">
        <v>10000.0</v>
      </c>
      <c r="M60" s="18">
        <f t="shared" si="1"/>
        <v>0</v>
      </c>
    </row>
    <row r="61">
      <c r="A61" s="41">
        <v>57.0</v>
      </c>
      <c r="B61" s="26" t="s">
        <v>628</v>
      </c>
      <c r="C61" s="26">
        <v>22332.0</v>
      </c>
      <c r="D61" s="26" t="s">
        <v>138</v>
      </c>
      <c r="E61" s="38">
        <v>7500.0</v>
      </c>
      <c r="F61" s="37">
        <v>6000.0</v>
      </c>
      <c r="G61" s="29"/>
      <c r="H61" s="30">
        <v>5030.0</v>
      </c>
      <c r="I61" s="31"/>
      <c r="J61" s="32"/>
      <c r="K61" s="33"/>
      <c r="L61" s="17">
        <v>18530.0</v>
      </c>
      <c r="M61" s="18">
        <f t="shared" si="1"/>
        <v>0</v>
      </c>
    </row>
    <row r="62">
      <c r="A62" s="41">
        <v>58.0</v>
      </c>
      <c r="B62" s="26" t="s">
        <v>629</v>
      </c>
      <c r="C62" s="26">
        <v>57493.0</v>
      </c>
      <c r="D62" s="26" t="s">
        <v>630</v>
      </c>
      <c r="E62" s="27"/>
      <c r="F62" s="28"/>
      <c r="G62" s="29"/>
      <c r="H62" s="30"/>
      <c r="I62" s="31">
        <v>27000.0</v>
      </c>
      <c r="J62" s="35"/>
      <c r="K62" s="33"/>
      <c r="L62" s="17">
        <v>27000.0</v>
      </c>
      <c r="M62" s="18">
        <f t="shared" si="1"/>
        <v>0</v>
      </c>
    </row>
    <row r="63">
      <c r="A63" s="41">
        <v>59.0</v>
      </c>
      <c r="B63" s="26" t="s">
        <v>631</v>
      </c>
      <c r="C63" s="26">
        <v>21818.0</v>
      </c>
      <c r="D63" s="26" t="s">
        <v>69</v>
      </c>
      <c r="E63" s="27"/>
      <c r="F63" s="28"/>
      <c r="G63" s="29"/>
      <c r="H63" s="30"/>
      <c r="I63" s="31"/>
      <c r="J63" s="35">
        <v>2500.0</v>
      </c>
      <c r="K63" s="33"/>
      <c r="L63" s="17">
        <v>2500.0</v>
      </c>
      <c r="M63" s="18">
        <f t="shared" si="1"/>
        <v>0</v>
      </c>
    </row>
    <row r="64">
      <c r="A64" s="41">
        <v>60.0</v>
      </c>
      <c r="B64" s="26" t="s">
        <v>632</v>
      </c>
      <c r="C64" s="26">
        <v>36555.0</v>
      </c>
      <c r="D64" s="26" t="s">
        <v>172</v>
      </c>
      <c r="E64" s="38"/>
      <c r="F64" s="37"/>
      <c r="G64" s="29"/>
      <c r="H64" s="30">
        <v>2500.0</v>
      </c>
      <c r="I64" s="31"/>
      <c r="J64" s="32"/>
      <c r="K64" s="33"/>
      <c r="L64" s="17">
        <v>2500.0</v>
      </c>
      <c r="M64" s="18">
        <f t="shared" si="1"/>
        <v>0</v>
      </c>
    </row>
    <row r="65">
      <c r="A65" s="41">
        <v>61.0</v>
      </c>
      <c r="B65" s="26" t="s">
        <v>633</v>
      </c>
      <c r="C65" s="26">
        <v>41079.0</v>
      </c>
      <c r="D65" s="26" t="s">
        <v>634</v>
      </c>
      <c r="E65" s="27"/>
      <c r="F65" s="28"/>
      <c r="G65" s="29"/>
      <c r="H65" s="30">
        <v>10000.0</v>
      </c>
      <c r="I65" s="31"/>
      <c r="J65" s="32"/>
      <c r="K65" s="33"/>
      <c r="L65" s="17">
        <v>10000.0</v>
      </c>
      <c r="M65" s="18">
        <f t="shared" si="1"/>
        <v>0</v>
      </c>
    </row>
    <row r="66">
      <c r="A66" s="41">
        <v>62.0</v>
      </c>
      <c r="B66" s="26" t="s">
        <v>635</v>
      </c>
      <c r="C66" s="26">
        <v>36928.0</v>
      </c>
      <c r="D66" s="26" t="s">
        <v>258</v>
      </c>
      <c r="E66" s="27"/>
      <c r="F66" s="28"/>
      <c r="G66" s="29"/>
      <c r="H66" s="30">
        <v>3600.0</v>
      </c>
      <c r="I66" s="36"/>
      <c r="J66" s="32"/>
      <c r="K66" s="33"/>
      <c r="L66" s="17">
        <v>3600.0</v>
      </c>
      <c r="M66" s="18">
        <f t="shared" si="1"/>
        <v>0</v>
      </c>
    </row>
    <row r="67">
      <c r="A67" s="41">
        <v>63.0</v>
      </c>
      <c r="B67" s="26" t="s">
        <v>636</v>
      </c>
      <c r="C67" s="26">
        <v>52611.0</v>
      </c>
      <c r="D67" s="26" t="s">
        <v>637</v>
      </c>
      <c r="E67" s="27"/>
      <c r="F67" s="28"/>
      <c r="G67" s="29"/>
      <c r="H67" s="30">
        <v>3600.0</v>
      </c>
      <c r="I67" s="36"/>
      <c r="J67" s="32"/>
      <c r="K67" s="33"/>
      <c r="L67" s="17">
        <v>3600.0</v>
      </c>
      <c r="M67" s="18">
        <f t="shared" si="1"/>
        <v>0</v>
      </c>
    </row>
    <row r="68">
      <c r="A68" s="41">
        <v>64.0</v>
      </c>
      <c r="B68" s="26" t="s">
        <v>638</v>
      </c>
      <c r="C68" s="26">
        <v>50221.0</v>
      </c>
      <c r="D68" s="26" t="s">
        <v>252</v>
      </c>
      <c r="E68" s="27"/>
      <c r="F68" s="37"/>
      <c r="G68" s="29"/>
      <c r="H68" s="30">
        <v>277.0</v>
      </c>
      <c r="I68" s="31"/>
      <c r="J68" s="32"/>
      <c r="K68" s="33"/>
      <c r="L68" s="17">
        <v>277.0</v>
      </c>
      <c r="M68" s="18">
        <f t="shared" si="1"/>
        <v>0</v>
      </c>
    </row>
    <row r="69">
      <c r="A69" s="41">
        <v>65.0</v>
      </c>
      <c r="B69" s="26" t="s">
        <v>639</v>
      </c>
      <c r="C69" s="26">
        <v>49825.0</v>
      </c>
      <c r="D69" s="26" t="s">
        <v>640</v>
      </c>
      <c r="E69" s="27"/>
      <c r="F69" s="28"/>
      <c r="G69" s="29"/>
      <c r="H69" s="30"/>
      <c r="I69" s="31">
        <v>5000.0</v>
      </c>
      <c r="J69" s="32"/>
      <c r="K69" s="33"/>
      <c r="L69" s="17">
        <v>5000.0</v>
      </c>
      <c r="M69" s="18">
        <f t="shared" si="1"/>
        <v>0</v>
      </c>
    </row>
    <row r="70">
      <c r="A70" s="41">
        <v>66.0</v>
      </c>
      <c r="B70" s="26" t="s">
        <v>641</v>
      </c>
      <c r="C70" s="26">
        <v>49825.0</v>
      </c>
      <c r="D70" s="26" t="s">
        <v>640</v>
      </c>
      <c r="E70" s="27"/>
      <c r="F70" s="28"/>
      <c r="G70" s="29"/>
      <c r="H70" s="30"/>
      <c r="I70" s="31">
        <v>3700.0</v>
      </c>
      <c r="J70" s="32"/>
      <c r="K70" s="33"/>
      <c r="L70" s="17">
        <v>3700.0</v>
      </c>
      <c r="M70" s="18">
        <f t="shared" si="1"/>
        <v>0</v>
      </c>
    </row>
    <row r="71">
      <c r="A71" s="41">
        <v>67.0</v>
      </c>
      <c r="B71" s="26" t="s">
        <v>642</v>
      </c>
      <c r="C71" s="26">
        <v>50436.0</v>
      </c>
      <c r="D71" s="26" t="s">
        <v>421</v>
      </c>
      <c r="E71" s="38"/>
      <c r="F71" s="28"/>
      <c r="G71" s="29"/>
      <c r="H71" s="30">
        <v>900.0</v>
      </c>
      <c r="I71" s="31"/>
      <c r="J71" s="32"/>
      <c r="K71" s="33"/>
      <c r="L71" s="17">
        <v>900.0</v>
      </c>
      <c r="M71" s="18">
        <f t="shared" si="1"/>
        <v>0</v>
      </c>
    </row>
    <row r="72">
      <c r="A72" s="41">
        <v>68.0</v>
      </c>
      <c r="B72" s="26" t="s">
        <v>643</v>
      </c>
      <c r="C72" s="26">
        <v>52611.0</v>
      </c>
      <c r="D72" s="26" t="s">
        <v>637</v>
      </c>
      <c r="E72" s="38"/>
      <c r="F72" s="37"/>
      <c r="G72" s="29"/>
      <c r="H72" s="30">
        <v>7500.0</v>
      </c>
      <c r="I72" s="36"/>
      <c r="J72" s="32"/>
      <c r="K72" s="33"/>
      <c r="L72" s="17">
        <v>7500.0</v>
      </c>
      <c r="M72" s="18">
        <f t="shared" si="1"/>
        <v>0</v>
      </c>
    </row>
    <row r="73">
      <c r="A73" s="41">
        <v>69.0</v>
      </c>
      <c r="B73" s="26" t="s">
        <v>644</v>
      </c>
      <c r="C73" s="26">
        <v>52611.0</v>
      </c>
      <c r="D73" s="26" t="s">
        <v>637</v>
      </c>
      <c r="E73" s="27"/>
      <c r="F73" s="28"/>
      <c r="G73" s="29"/>
      <c r="H73" s="30">
        <v>5000.0</v>
      </c>
      <c r="I73" s="31"/>
      <c r="J73" s="32"/>
      <c r="K73" s="33"/>
      <c r="L73" s="17">
        <v>5000.0</v>
      </c>
      <c r="M73" s="18">
        <f t="shared" si="1"/>
        <v>0</v>
      </c>
    </row>
    <row r="74">
      <c r="A74" s="41">
        <v>70.0</v>
      </c>
      <c r="B74" s="26" t="s">
        <v>645</v>
      </c>
      <c r="C74" s="26">
        <v>33763.0</v>
      </c>
      <c r="D74" s="26" t="s">
        <v>646</v>
      </c>
      <c r="E74" s="27"/>
      <c r="F74" s="28"/>
      <c r="G74" s="29"/>
      <c r="H74" s="30"/>
      <c r="I74" s="31">
        <v>5900.0</v>
      </c>
      <c r="J74" s="32"/>
      <c r="K74" s="33"/>
      <c r="L74" s="17">
        <v>5900.0</v>
      </c>
      <c r="M74" s="18">
        <f t="shared" si="1"/>
        <v>0</v>
      </c>
    </row>
    <row r="75">
      <c r="A75" s="41">
        <v>71.0</v>
      </c>
      <c r="B75" s="26" t="s">
        <v>647</v>
      </c>
      <c r="C75" s="26">
        <v>10001.0</v>
      </c>
      <c r="D75" s="26" t="s">
        <v>218</v>
      </c>
      <c r="E75" s="38">
        <v>100.0</v>
      </c>
      <c r="F75" s="28"/>
      <c r="G75" s="29"/>
      <c r="H75" s="30"/>
      <c r="I75" s="31"/>
      <c r="J75" s="32"/>
      <c r="K75" s="33"/>
      <c r="L75" s="17">
        <v>100.0</v>
      </c>
      <c r="M75" s="18">
        <f t="shared" si="1"/>
        <v>0</v>
      </c>
    </row>
    <row r="76">
      <c r="A76" s="41">
        <v>72.0</v>
      </c>
      <c r="B76" s="26" t="s">
        <v>648</v>
      </c>
      <c r="C76" s="26">
        <v>10001.0</v>
      </c>
      <c r="D76" s="26" t="s">
        <v>218</v>
      </c>
      <c r="E76" s="27"/>
      <c r="F76" s="28"/>
      <c r="G76" s="29"/>
      <c r="H76" s="30">
        <v>10000.0</v>
      </c>
      <c r="I76" s="31"/>
      <c r="J76" s="32"/>
      <c r="K76" s="33"/>
      <c r="L76" s="17">
        <v>10000.0</v>
      </c>
      <c r="M76" s="18">
        <f t="shared" si="1"/>
        <v>0</v>
      </c>
    </row>
    <row r="77">
      <c r="A77" s="41">
        <v>73.0</v>
      </c>
      <c r="B77" s="26" t="s">
        <v>649</v>
      </c>
      <c r="C77" s="26">
        <v>36918.0</v>
      </c>
      <c r="D77" s="26" t="s">
        <v>607</v>
      </c>
      <c r="E77" s="27"/>
      <c r="F77" s="28"/>
      <c r="G77" s="29"/>
      <c r="H77" s="30">
        <v>3800.0</v>
      </c>
      <c r="I77" s="31"/>
      <c r="J77" s="32"/>
      <c r="K77" s="33"/>
      <c r="L77" s="17">
        <v>3800.0</v>
      </c>
      <c r="M77" s="18">
        <f t="shared" si="1"/>
        <v>0</v>
      </c>
    </row>
    <row r="78">
      <c r="A78" s="41">
        <v>74.0</v>
      </c>
      <c r="B78" s="26" t="s">
        <v>650</v>
      </c>
      <c r="C78" s="26">
        <v>56676.0</v>
      </c>
      <c r="D78" s="26" t="s">
        <v>651</v>
      </c>
      <c r="E78" s="27"/>
      <c r="F78" s="28"/>
      <c r="G78" s="29"/>
      <c r="H78" s="30">
        <v>300.0</v>
      </c>
      <c r="I78" s="31"/>
      <c r="J78" s="32"/>
      <c r="K78" s="33"/>
      <c r="L78" s="17">
        <v>300.0</v>
      </c>
      <c r="M78" s="18">
        <f t="shared" si="1"/>
        <v>0</v>
      </c>
    </row>
    <row r="79">
      <c r="A79" s="41">
        <v>75.0</v>
      </c>
      <c r="B79" s="26" t="s">
        <v>652</v>
      </c>
      <c r="C79" s="26">
        <v>50596.0</v>
      </c>
      <c r="D79" s="26" t="s">
        <v>493</v>
      </c>
      <c r="E79" s="27"/>
      <c r="F79" s="28"/>
      <c r="G79" s="29"/>
      <c r="H79" s="30">
        <v>69000.0</v>
      </c>
      <c r="I79" s="31"/>
      <c r="J79" s="32"/>
      <c r="K79" s="33"/>
      <c r="L79" s="17">
        <v>69000.0</v>
      </c>
      <c r="M79" s="18">
        <f t="shared" si="1"/>
        <v>0</v>
      </c>
    </row>
    <row r="80">
      <c r="A80" s="41">
        <v>76.0</v>
      </c>
      <c r="B80" s="26" t="s">
        <v>653</v>
      </c>
      <c r="C80" s="26">
        <v>10006.0</v>
      </c>
      <c r="D80" s="26" t="s">
        <v>654</v>
      </c>
      <c r="E80" s="27"/>
      <c r="F80" s="28"/>
      <c r="G80" s="29"/>
      <c r="H80" s="30">
        <v>15000.0</v>
      </c>
      <c r="I80" s="31"/>
      <c r="J80" s="32"/>
      <c r="K80" s="33"/>
      <c r="L80" s="17">
        <v>15000.0</v>
      </c>
      <c r="M80" s="18">
        <f t="shared" si="1"/>
        <v>0</v>
      </c>
    </row>
    <row r="81">
      <c r="A81" s="41">
        <v>77.0</v>
      </c>
      <c r="B81" s="26" t="s">
        <v>655</v>
      </c>
      <c r="C81" s="26">
        <v>51166.0</v>
      </c>
      <c r="D81" s="26" t="s">
        <v>370</v>
      </c>
      <c r="E81" s="27"/>
      <c r="F81" s="37"/>
      <c r="G81" s="48">
        <v>5000.0</v>
      </c>
      <c r="H81" s="30"/>
      <c r="I81" s="31"/>
      <c r="J81" s="32"/>
      <c r="K81" s="33"/>
      <c r="L81" s="17">
        <v>5000.0</v>
      </c>
      <c r="M81" s="18">
        <f t="shared" si="1"/>
        <v>0</v>
      </c>
    </row>
    <row r="82">
      <c r="A82" s="41">
        <v>78.0</v>
      </c>
      <c r="B82" s="26" t="s">
        <v>656</v>
      </c>
      <c r="C82" s="26">
        <v>50342.0</v>
      </c>
      <c r="D82" s="26" t="s">
        <v>146</v>
      </c>
      <c r="E82" s="27"/>
      <c r="F82" s="37"/>
      <c r="G82" s="49">
        <v>10000.0</v>
      </c>
      <c r="H82" s="30"/>
      <c r="I82" s="31"/>
      <c r="J82" s="32"/>
      <c r="K82" s="33"/>
      <c r="L82" s="17">
        <v>10000.0</v>
      </c>
      <c r="M82" s="18">
        <f t="shared" si="1"/>
        <v>0</v>
      </c>
    </row>
    <row r="83">
      <c r="A83" s="41">
        <v>79.0</v>
      </c>
      <c r="B83" s="26" t="s">
        <v>657</v>
      </c>
      <c r="C83" s="26">
        <v>50342.0</v>
      </c>
      <c r="D83" s="26" t="s">
        <v>146</v>
      </c>
      <c r="E83" s="27"/>
      <c r="F83" s="37"/>
      <c r="G83" s="49">
        <v>300.0</v>
      </c>
      <c r="H83" s="30"/>
      <c r="I83" s="31"/>
      <c r="J83" s="32"/>
      <c r="K83" s="33"/>
      <c r="L83" s="17">
        <v>300.0</v>
      </c>
      <c r="M83" s="18">
        <f t="shared" si="1"/>
        <v>0</v>
      </c>
    </row>
    <row r="84">
      <c r="A84" s="41">
        <v>80.0</v>
      </c>
      <c r="B84" s="26" t="s">
        <v>658</v>
      </c>
      <c r="C84" s="26">
        <v>51017.0</v>
      </c>
      <c r="D84" s="26" t="s">
        <v>659</v>
      </c>
      <c r="E84" s="27"/>
      <c r="F84" s="37"/>
      <c r="G84" s="49">
        <v>7450.0</v>
      </c>
      <c r="H84" s="30"/>
      <c r="I84" s="31"/>
      <c r="J84" s="32"/>
      <c r="K84" s="33"/>
      <c r="L84" s="17">
        <v>7450.0</v>
      </c>
      <c r="M84" s="18">
        <f t="shared" si="1"/>
        <v>0</v>
      </c>
    </row>
    <row r="85">
      <c r="A85" s="41">
        <v>81.0</v>
      </c>
      <c r="B85" s="26" t="s">
        <v>660</v>
      </c>
      <c r="C85" s="26">
        <v>50261.0</v>
      </c>
      <c r="D85" s="26" t="s">
        <v>247</v>
      </c>
      <c r="E85" s="27"/>
      <c r="F85" s="37"/>
      <c r="G85" s="49">
        <v>2650.0</v>
      </c>
      <c r="H85" s="30"/>
      <c r="I85" s="31"/>
      <c r="J85" s="32"/>
      <c r="K85" s="33"/>
      <c r="L85" s="17">
        <v>2650.0</v>
      </c>
      <c r="M85" s="18">
        <f t="shared" si="1"/>
        <v>0</v>
      </c>
    </row>
    <row r="86">
      <c r="A86" s="41">
        <v>82.0</v>
      </c>
      <c r="B86" s="26" t="s">
        <v>661</v>
      </c>
      <c r="C86" s="26">
        <v>55179.0</v>
      </c>
      <c r="D86" s="26" t="s">
        <v>662</v>
      </c>
      <c r="E86" s="27"/>
      <c r="F86" s="37"/>
      <c r="G86" s="49">
        <v>18200.0</v>
      </c>
      <c r="H86" s="30"/>
      <c r="I86" s="31"/>
      <c r="J86" s="35"/>
      <c r="K86" s="33"/>
      <c r="L86" s="17">
        <v>18200.0</v>
      </c>
      <c r="M86" s="18">
        <f t="shared" si="1"/>
        <v>0</v>
      </c>
    </row>
    <row r="87">
      <c r="A87" s="41">
        <v>83.0</v>
      </c>
      <c r="B87" s="26" t="s">
        <v>663</v>
      </c>
      <c r="C87" s="26">
        <v>42046.0</v>
      </c>
      <c r="D87" s="26" t="s">
        <v>24</v>
      </c>
      <c r="E87" s="27"/>
      <c r="F87" s="37"/>
      <c r="G87" s="49">
        <v>50100.0</v>
      </c>
      <c r="H87" s="30"/>
      <c r="I87" s="31"/>
      <c r="J87" s="32"/>
      <c r="K87" s="33"/>
      <c r="L87" s="17">
        <v>50100.0</v>
      </c>
      <c r="M87" s="18">
        <f t="shared" si="1"/>
        <v>0</v>
      </c>
    </row>
    <row r="88">
      <c r="A88" s="41"/>
      <c r="B88" s="45"/>
      <c r="C88" s="45"/>
      <c r="D88" s="44"/>
      <c r="E88" s="22">
        <f t="shared" ref="E88:J88" si="2">SUM(E5:E87)</f>
        <v>21800</v>
      </c>
      <c r="F88" s="22">
        <f t="shared" si="2"/>
        <v>11550</v>
      </c>
      <c r="G88" s="22">
        <f t="shared" si="2"/>
        <v>93700</v>
      </c>
      <c r="H88" s="22">
        <f t="shared" si="2"/>
        <v>511409</v>
      </c>
      <c r="I88" s="22">
        <f t="shared" si="2"/>
        <v>101500</v>
      </c>
      <c r="J88" s="22">
        <f t="shared" si="2"/>
        <v>3950</v>
      </c>
      <c r="K88" s="22">
        <f>SUM(K24:K87)</f>
        <v>0</v>
      </c>
      <c r="L88" s="22">
        <f t="shared" ref="L88:M88" si="3">SUM(L5:L87)</f>
        <v>744209</v>
      </c>
      <c r="M88" s="18">
        <f t="shared" si="3"/>
        <v>-300</v>
      </c>
    </row>
    <row r="89">
      <c r="A89" s="23"/>
      <c r="B89" s="23"/>
      <c r="C89" s="23"/>
      <c r="D89" s="23"/>
      <c r="E89" s="24">
        <f>SUM(K88:M88)</f>
        <v>743909</v>
      </c>
      <c r="F89" s="6"/>
      <c r="G89" s="6"/>
      <c r="H89" s="6"/>
      <c r="I89" s="6"/>
      <c r="J89" s="6"/>
      <c r="K89" s="7"/>
      <c r="L89" s="25"/>
      <c r="M89" s="23"/>
    </row>
    <row r="90">
      <c r="L90" s="40" t="s">
        <v>254</v>
      </c>
    </row>
  </sheetData>
  <mergeCells count="14">
    <mergeCell ref="F3:G3"/>
    <mergeCell ref="H3:I3"/>
    <mergeCell ref="J3:J4"/>
    <mergeCell ref="K3:K4"/>
    <mergeCell ref="E89:K89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5"/>
    <col customWidth="1" min="2" max="2" width="24.75"/>
    <col customWidth="1" min="4" max="4" width="43.25"/>
    <col customWidth="1" min="5" max="5" width="9.5"/>
  </cols>
  <sheetData>
    <row r="1">
      <c r="A1" s="1" t="s">
        <v>664</v>
      </c>
    </row>
    <row r="2">
      <c r="A2" s="2" t="s">
        <v>1</v>
      </c>
      <c r="B2" s="3" t="s">
        <v>2</v>
      </c>
      <c r="C2" s="2" t="s">
        <v>3</v>
      </c>
      <c r="D2" s="4" t="s">
        <v>4</v>
      </c>
      <c r="E2" s="5" t="s">
        <v>5</v>
      </c>
      <c r="F2" s="6"/>
      <c r="G2" s="6"/>
      <c r="H2" s="6"/>
      <c r="I2" s="6"/>
      <c r="J2" s="6"/>
      <c r="K2" s="6"/>
      <c r="L2" s="6"/>
      <c r="M2" s="7"/>
    </row>
    <row r="3">
      <c r="A3" s="8"/>
      <c r="B3" s="8"/>
      <c r="C3" s="8"/>
      <c r="D3" s="8"/>
      <c r="E3" s="2" t="s">
        <v>6</v>
      </c>
      <c r="F3" s="5" t="s">
        <v>7</v>
      </c>
      <c r="G3" s="7"/>
      <c r="H3" s="5" t="s">
        <v>8</v>
      </c>
      <c r="I3" s="7"/>
      <c r="J3" s="2" t="s">
        <v>9</v>
      </c>
      <c r="K3" s="4" t="s">
        <v>10</v>
      </c>
      <c r="L3" s="2" t="s">
        <v>11</v>
      </c>
      <c r="M3" s="2" t="s">
        <v>12</v>
      </c>
    </row>
    <row r="4">
      <c r="A4" s="9"/>
      <c r="B4" s="9"/>
      <c r="C4" s="9"/>
      <c r="D4" s="9"/>
      <c r="E4" s="9"/>
      <c r="F4" s="10" t="s">
        <v>13</v>
      </c>
      <c r="G4" s="10" t="s">
        <v>14</v>
      </c>
      <c r="H4" s="10" t="s">
        <v>15</v>
      </c>
      <c r="I4" s="11" t="s">
        <v>16</v>
      </c>
      <c r="J4" s="9"/>
      <c r="K4" s="9"/>
      <c r="L4" s="9"/>
      <c r="M4" s="9"/>
    </row>
    <row r="5">
      <c r="A5" s="41">
        <v>1.0</v>
      </c>
      <c r="B5" s="46" t="s">
        <v>665</v>
      </c>
      <c r="C5" s="46">
        <v>57456.0</v>
      </c>
      <c r="D5" s="46" t="s">
        <v>666</v>
      </c>
      <c r="E5" s="38"/>
      <c r="F5" s="28"/>
      <c r="G5" s="29"/>
      <c r="H5" s="30"/>
      <c r="I5" s="31"/>
      <c r="J5" s="32"/>
      <c r="K5" s="50">
        <v>27000.0</v>
      </c>
      <c r="L5" s="47">
        <v>27000.0</v>
      </c>
      <c r="M5" s="18">
        <f t="shared" ref="M5:M73" si="1">SUM(E5+F5+G5+H5+I5+J5+K5-L5)</f>
        <v>0</v>
      </c>
    </row>
    <row r="6">
      <c r="A6" s="41">
        <v>2.0</v>
      </c>
      <c r="B6" s="46" t="s">
        <v>667</v>
      </c>
      <c r="C6" s="46">
        <v>55447.0</v>
      </c>
      <c r="D6" s="46" t="s">
        <v>668</v>
      </c>
      <c r="E6" s="27"/>
      <c r="F6" s="28"/>
      <c r="G6" s="29"/>
      <c r="H6" s="30">
        <v>300.0</v>
      </c>
      <c r="I6" s="31"/>
      <c r="J6" s="35"/>
      <c r="K6" s="33"/>
      <c r="L6" s="47">
        <v>300.0</v>
      </c>
      <c r="M6" s="18">
        <f t="shared" si="1"/>
        <v>0</v>
      </c>
    </row>
    <row r="7">
      <c r="A7" s="41">
        <v>3.0</v>
      </c>
      <c r="B7" s="46" t="s">
        <v>669</v>
      </c>
      <c r="C7" s="46">
        <v>57497.0</v>
      </c>
      <c r="D7" s="46" t="s">
        <v>670</v>
      </c>
      <c r="E7" s="27"/>
      <c r="F7" s="28"/>
      <c r="G7" s="29"/>
      <c r="H7" s="30">
        <v>27000.0</v>
      </c>
      <c r="I7" s="31"/>
      <c r="J7" s="32"/>
      <c r="K7" s="33"/>
      <c r="L7" s="47">
        <v>27000.0</v>
      </c>
      <c r="M7" s="18">
        <f t="shared" si="1"/>
        <v>0</v>
      </c>
    </row>
    <row r="8">
      <c r="A8" s="41">
        <v>4.0</v>
      </c>
      <c r="B8" s="46" t="s">
        <v>671</v>
      </c>
      <c r="C8" s="46">
        <v>49599.0</v>
      </c>
      <c r="D8" s="46" t="s">
        <v>672</v>
      </c>
      <c r="E8" s="27"/>
      <c r="F8" s="28"/>
      <c r="G8" s="29"/>
      <c r="H8" s="30">
        <v>5000.0</v>
      </c>
      <c r="I8" s="31"/>
      <c r="J8" s="32"/>
      <c r="K8" s="33"/>
      <c r="L8" s="47">
        <v>5000.0</v>
      </c>
      <c r="M8" s="18">
        <f t="shared" si="1"/>
        <v>0</v>
      </c>
    </row>
    <row r="9">
      <c r="A9" s="41">
        <v>5.0</v>
      </c>
      <c r="B9" s="46" t="s">
        <v>673</v>
      </c>
      <c r="C9" s="46">
        <v>46778.0</v>
      </c>
      <c r="D9" s="46" t="s">
        <v>109</v>
      </c>
      <c r="E9" s="27"/>
      <c r="F9" s="28"/>
      <c r="G9" s="29"/>
      <c r="H9" s="30"/>
      <c r="I9" s="31">
        <v>2650.0</v>
      </c>
      <c r="J9" s="32"/>
      <c r="K9" s="33"/>
      <c r="L9" s="47">
        <v>2650.0</v>
      </c>
      <c r="M9" s="18">
        <f t="shared" si="1"/>
        <v>0</v>
      </c>
    </row>
    <row r="10">
      <c r="A10" s="41">
        <v>6.0</v>
      </c>
      <c r="B10" s="46" t="s">
        <v>674</v>
      </c>
      <c r="C10" s="46">
        <v>10250.0</v>
      </c>
      <c r="D10" s="46" t="s">
        <v>107</v>
      </c>
      <c r="E10" s="27"/>
      <c r="F10" s="28"/>
      <c r="G10" s="29"/>
      <c r="H10" s="30">
        <v>50000.0</v>
      </c>
      <c r="I10" s="31"/>
      <c r="J10" s="32"/>
      <c r="K10" s="33"/>
      <c r="L10" s="47">
        <v>50000.0</v>
      </c>
      <c r="M10" s="18">
        <f t="shared" si="1"/>
        <v>0</v>
      </c>
    </row>
    <row r="11">
      <c r="A11" s="41">
        <v>7.0</v>
      </c>
      <c r="B11" s="46" t="s">
        <v>675</v>
      </c>
      <c r="C11" s="46">
        <v>24751.0</v>
      </c>
      <c r="D11" s="46" t="s">
        <v>610</v>
      </c>
      <c r="E11" s="27"/>
      <c r="F11" s="28"/>
      <c r="G11" s="29"/>
      <c r="H11" s="30">
        <v>450.0</v>
      </c>
      <c r="I11" s="31"/>
      <c r="J11" s="35"/>
      <c r="K11" s="33"/>
      <c r="L11" s="47">
        <v>450.0</v>
      </c>
      <c r="M11" s="18">
        <f t="shared" si="1"/>
        <v>0</v>
      </c>
    </row>
    <row r="12">
      <c r="A12" s="41">
        <v>8.0</v>
      </c>
      <c r="B12" s="46" t="s">
        <v>676</v>
      </c>
      <c r="C12" s="46">
        <v>55415.0</v>
      </c>
      <c r="D12" s="46" t="s">
        <v>677</v>
      </c>
      <c r="E12" s="27"/>
      <c r="F12" s="28"/>
      <c r="G12" s="29"/>
      <c r="H12" s="30">
        <v>300.0</v>
      </c>
      <c r="I12" s="31"/>
      <c r="J12" s="35"/>
      <c r="K12" s="33"/>
      <c r="L12" s="47">
        <v>300.0</v>
      </c>
      <c r="M12" s="18">
        <f t="shared" si="1"/>
        <v>0</v>
      </c>
    </row>
    <row r="13">
      <c r="A13" s="41">
        <v>9.0</v>
      </c>
      <c r="B13" s="46" t="s">
        <v>678</v>
      </c>
      <c r="C13" s="46">
        <v>19688.0</v>
      </c>
      <c r="D13" s="46" t="s">
        <v>679</v>
      </c>
      <c r="E13" s="27"/>
      <c r="F13" s="28"/>
      <c r="G13" s="29"/>
      <c r="H13" s="30"/>
      <c r="I13" s="31">
        <v>10000.0</v>
      </c>
      <c r="J13" s="32"/>
      <c r="K13" s="33"/>
      <c r="L13" s="47">
        <v>10000.0</v>
      </c>
      <c r="M13" s="18">
        <f t="shared" si="1"/>
        <v>0</v>
      </c>
    </row>
    <row r="14">
      <c r="A14" s="41">
        <v>10.0</v>
      </c>
      <c r="B14" s="46" t="s">
        <v>680</v>
      </c>
      <c r="C14" s="46">
        <v>10250.0</v>
      </c>
      <c r="D14" s="46" t="s">
        <v>107</v>
      </c>
      <c r="E14" s="27"/>
      <c r="F14" s="28"/>
      <c r="G14" s="29"/>
      <c r="H14" s="30"/>
      <c r="I14" s="31">
        <v>12800.0</v>
      </c>
      <c r="J14" s="32"/>
      <c r="K14" s="33"/>
      <c r="L14" s="47">
        <v>12800.0</v>
      </c>
      <c r="M14" s="18">
        <f t="shared" si="1"/>
        <v>0</v>
      </c>
    </row>
    <row r="15">
      <c r="A15" s="41">
        <v>11.0</v>
      </c>
      <c r="B15" s="46" t="s">
        <v>681</v>
      </c>
      <c r="C15" s="46">
        <v>50173.0</v>
      </c>
      <c r="D15" s="46" t="s">
        <v>67</v>
      </c>
      <c r="E15" s="27"/>
      <c r="F15" s="28"/>
      <c r="G15" s="29"/>
      <c r="H15" s="30"/>
      <c r="I15" s="31">
        <v>350.0</v>
      </c>
      <c r="J15" s="32"/>
      <c r="K15" s="33"/>
      <c r="L15" s="47">
        <v>350.0</v>
      </c>
      <c r="M15" s="18">
        <f t="shared" si="1"/>
        <v>0</v>
      </c>
    </row>
    <row r="16">
      <c r="A16" s="41">
        <v>12.0</v>
      </c>
      <c r="B16" s="46" t="s">
        <v>682</v>
      </c>
      <c r="C16" s="46">
        <v>50871.0</v>
      </c>
      <c r="D16" s="46" t="s">
        <v>105</v>
      </c>
      <c r="E16" s="27"/>
      <c r="F16" s="28"/>
      <c r="G16" s="29"/>
      <c r="H16" s="30">
        <v>56450.0</v>
      </c>
      <c r="I16" s="31"/>
      <c r="J16" s="32"/>
      <c r="K16" s="33"/>
      <c r="L16" s="47">
        <v>56450.0</v>
      </c>
      <c r="M16" s="18">
        <f t="shared" si="1"/>
        <v>0</v>
      </c>
    </row>
    <row r="17">
      <c r="A17" s="41">
        <v>13.0</v>
      </c>
      <c r="B17" s="46" t="s">
        <v>683</v>
      </c>
      <c r="C17" s="46">
        <v>51797.0</v>
      </c>
      <c r="D17" s="46" t="s">
        <v>684</v>
      </c>
      <c r="E17" s="27"/>
      <c r="F17" s="28"/>
      <c r="G17" s="29"/>
      <c r="H17" s="30"/>
      <c r="I17" s="31">
        <v>5000.0</v>
      </c>
      <c r="J17" s="35"/>
      <c r="K17" s="33"/>
      <c r="L17" s="47">
        <v>5000.0</v>
      </c>
      <c r="M17" s="18">
        <f t="shared" si="1"/>
        <v>0</v>
      </c>
    </row>
    <row r="18">
      <c r="A18" s="41">
        <v>14.0</v>
      </c>
      <c r="B18" s="46" t="s">
        <v>685</v>
      </c>
      <c r="C18" s="46">
        <v>51797.0</v>
      </c>
      <c r="D18" s="46" t="s">
        <v>684</v>
      </c>
      <c r="E18" s="27"/>
      <c r="F18" s="28"/>
      <c r="G18" s="29"/>
      <c r="H18" s="30"/>
      <c r="I18" s="31">
        <v>5000.0</v>
      </c>
      <c r="J18" s="35"/>
      <c r="K18" s="33"/>
      <c r="L18" s="47">
        <v>5000.0</v>
      </c>
      <c r="M18" s="18">
        <f t="shared" si="1"/>
        <v>0</v>
      </c>
    </row>
    <row r="19">
      <c r="A19" s="41">
        <v>15.0</v>
      </c>
      <c r="B19" s="46" t="s">
        <v>686</v>
      </c>
      <c r="C19" s="46">
        <v>49864.0</v>
      </c>
      <c r="D19" s="46" t="s">
        <v>687</v>
      </c>
      <c r="E19" s="27"/>
      <c r="F19" s="37"/>
      <c r="G19" s="29"/>
      <c r="H19" s="30">
        <v>10000.0</v>
      </c>
      <c r="I19" s="31"/>
      <c r="J19" s="32"/>
      <c r="K19" s="33"/>
      <c r="L19" s="47">
        <v>10000.0</v>
      </c>
      <c r="M19" s="18">
        <f t="shared" si="1"/>
        <v>0</v>
      </c>
    </row>
    <row r="20">
      <c r="A20" s="41">
        <v>16.0</v>
      </c>
      <c r="B20" s="46" t="s">
        <v>688</v>
      </c>
      <c r="C20" s="46">
        <v>48631.0</v>
      </c>
      <c r="D20" s="46" t="s">
        <v>118</v>
      </c>
      <c r="E20" s="38"/>
      <c r="F20" s="28"/>
      <c r="G20" s="29"/>
      <c r="H20" s="30">
        <v>8550.0</v>
      </c>
      <c r="I20" s="31"/>
      <c r="J20" s="32"/>
      <c r="K20" s="33"/>
      <c r="L20" s="47">
        <v>8550.0</v>
      </c>
      <c r="M20" s="18">
        <f t="shared" si="1"/>
        <v>0</v>
      </c>
    </row>
    <row r="21">
      <c r="A21" s="41">
        <v>17.0</v>
      </c>
      <c r="B21" s="46" t="s">
        <v>689</v>
      </c>
      <c r="C21" s="46">
        <v>10001.0</v>
      </c>
      <c r="D21" s="46" t="s">
        <v>218</v>
      </c>
      <c r="E21" s="27"/>
      <c r="F21" s="28"/>
      <c r="G21" s="29"/>
      <c r="H21" s="30"/>
      <c r="I21" s="31">
        <v>5150.0</v>
      </c>
      <c r="J21" s="32"/>
      <c r="K21" s="33"/>
      <c r="L21" s="47">
        <v>5150.0</v>
      </c>
      <c r="M21" s="18">
        <f t="shared" si="1"/>
        <v>0</v>
      </c>
    </row>
    <row r="22">
      <c r="A22" s="41">
        <v>18.0</v>
      </c>
      <c r="B22" s="46" t="s">
        <v>690</v>
      </c>
      <c r="C22" s="46">
        <v>53298.0</v>
      </c>
      <c r="D22" s="46" t="s">
        <v>691</v>
      </c>
      <c r="E22" s="27"/>
      <c r="F22" s="28"/>
      <c r="G22" s="29"/>
      <c r="H22" s="30"/>
      <c r="I22" s="31">
        <v>10000.0</v>
      </c>
      <c r="J22" s="32"/>
      <c r="K22" s="33"/>
      <c r="L22" s="47">
        <v>10000.0</v>
      </c>
      <c r="M22" s="18">
        <f t="shared" si="1"/>
        <v>0</v>
      </c>
    </row>
    <row r="23">
      <c r="A23" s="41">
        <v>19.0</v>
      </c>
      <c r="B23" s="46" t="s">
        <v>692</v>
      </c>
      <c r="C23" s="46">
        <v>48141.0</v>
      </c>
      <c r="D23" s="46" t="s">
        <v>693</v>
      </c>
      <c r="E23" s="27"/>
      <c r="F23" s="28"/>
      <c r="G23" s="29"/>
      <c r="H23" s="30">
        <v>2650.0</v>
      </c>
      <c r="I23" s="31"/>
      <c r="J23" s="32"/>
      <c r="K23" s="33"/>
      <c r="L23" s="47">
        <v>2650.0</v>
      </c>
      <c r="M23" s="18">
        <f t="shared" si="1"/>
        <v>0</v>
      </c>
    </row>
    <row r="24">
      <c r="A24" s="41">
        <v>20.0</v>
      </c>
      <c r="B24" s="46" t="s">
        <v>694</v>
      </c>
      <c r="C24" s="46">
        <v>52826.0</v>
      </c>
      <c r="D24" s="46" t="s">
        <v>695</v>
      </c>
      <c r="E24" s="27"/>
      <c r="F24" s="28"/>
      <c r="G24" s="29"/>
      <c r="H24" s="30"/>
      <c r="I24" s="31">
        <v>25000.0</v>
      </c>
      <c r="J24" s="32"/>
      <c r="K24" s="33"/>
      <c r="L24" s="47">
        <v>25000.0</v>
      </c>
      <c r="M24" s="18">
        <f t="shared" si="1"/>
        <v>0</v>
      </c>
    </row>
    <row r="25">
      <c r="A25" s="41">
        <v>21.0</v>
      </c>
      <c r="B25" s="46" t="s">
        <v>696</v>
      </c>
      <c r="C25" s="46">
        <v>36555.0</v>
      </c>
      <c r="D25" s="46" t="s">
        <v>172</v>
      </c>
      <c r="E25" s="27"/>
      <c r="F25" s="28"/>
      <c r="G25" s="29"/>
      <c r="H25" s="30">
        <v>15000.0</v>
      </c>
      <c r="I25" s="31"/>
      <c r="J25" s="32"/>
      <c r="K25" s="33"/>
      <c r="L25" s="47">
        <v>15000.0</v>
      </c>
      <c r="M25" s="18">
        <f t="shared" si="1"/>
        <v>0</v>
      </c>
    </row>
    <row r="26">
      <c r="A26" s="41">
        <v>22.0</v>
      </c>
      <c r="B26" s="46" t="s">
        <v>697</v>
      </c>
      <c r="C26" s="46">
        <v>52602.0</v>
      </c>
      <c r="D26" s="46" t="s">
        <v>698</v>
      </c>
      <c r="E26" s="27"/>
      <c r="F26" s="37"/>
      <c r="G26" s="29"/>
      <c r="H26" s="30">
        <v>8100.0</v>
      </c>
      <c r="I26" s="36"/>
      <c r="J26" s="32"/>
      <c r="K26" s="33"/>
      <c r="L26" s="47">
        <v>8100.0</v>
      </c>
      <c r="M26" s="18">
        <f t="shared" si="1"/>
        <v>0</v>
      </c>
    </row>
    <row r="27">
      <c r="A27" s="41">
        <v>23.0</v>
      </c>
      <c r="B27" s="46" t="s">
        <v>699</v>
      </c>
      <c r="C27" s="46">
        <v>49918.0</v>
      </c>
      <c r="D27" s="46" t="s">
        <v>114</v>
      </c>
      <c r="E27" s="38"/>
      <c r="F27" s="28"/>
      <c r="G27" s="29"/>
      <c r="H27" s="30"/>
      <c r="I27" s="31">
        <v>1750.0</v>
      </c>
      <c r="J27" s="32"/>
      <c r="K27" s="33"/>
      <c r="L27" s="47">
        <v>1750.0</v>
      </c>
      <c r="M27" s="18">
        <f t="shared" si="1"/>
        <v>0</v>
      </c>
    </row>
    <row r="28">
      <c r="A28" s="41">
        <v>24.0</v>
      </c>
      <c r="B28" s="46" t="s">
        <v>700</v>
      </c>
      <c r="C28" s="46">
        <v>51876.0</v>
      </c>
      <c r="D28" s="46" t="s">
        <v>74</v>
      </c>
      <c r="E28" s="27"/>
      <c r="F28" s="37"/>
      <c r="G28" s="29"/>
      <c r="H28" s="30">
        <v>5000.0</v>
      </c>
      <c r="I28" s="31"/>
      <c r="J28" s="35"/>
      <c r="K28" s="33"/>
      <c r="L28" s="47">
        <v>5000.0</v>
      </c>
      <c r="M28" s="18">
        <f t="shared" si="1"/>
        <v>0</v>
      </c>
    </row>
    <row r="29">
      <c r="A29" s="41">
        <v>25.0</v>
      </c>
      <c r="B29" s="46" t="s">
        <v>701</v>
      </c>
      <c r="C29" s="46">
        <v>33065.0</v>
      </c>
      <c r="D29" s="46" t="s">
        <v>36</v>
      </c>
      <c r="E29" s="27"/>
      <c r="F29" s="28"/>
      <c r="G29" s="29"/>
      <c r="H29" s="30">
        <v>5500.0</v>
      </c>
      <c r="I29" s="31"/>
      <c r="J29" s="32"/>
      <c r="K29" s="33"/>
      <c r="L29" s="47">
        <v>5500.0</v>
      </c>
      <c r="M29" s="18">
        <f t="shared" si="1"/>
        <v>0</v>
      </c>
    </row>
    <row r="30">
      <c r="A30" s="41">
        <v>26.0</v>
      </c>
      <c r="B30" s="46" t="s">
        <v>702</v>
      </c>
      <c r="C30" s="46">
        <v>51876.0</v>
      </c>
      <c r="D30" s="46" t="s">
        <v>74</v>
      </c>
      <c r="E30" s="27"/>
      <c r="F30" s="28"/>
      <c r="G30" s="29"/>
      <c r="H30" s="30">
        <v>10550.0</v>
      </c>
      <c r="I30" s="31"/>
      <c r="J30" s="32"/>
      <c r="K30" s="33"/>
      <c r="L30" s="47">
        <v>10550.0</v>
      </c>
      <c r="M30" s="18">
        <f t="shared" si="1"/>
        <v>0</v>
      </c>
    </row>
    <row r="31">
      <c r="A31" s="41">
        <v>27.0</v>
      </c>
      <c r="B31" s="46" t="s">
        <v>703</v>
      </c>
      <c r="C31" s="46">
        <v>57124.0</v>
      </c>
      <c r="D31" s="46" t="s">
        <v>704</v>
      </c>
      <c r="E31" s="27"/>
      <c r="F31" s="37"/>
      <c r="G31" s="29"/>
      <c r="H31" s="30"/>
      <c r="I31" s="31">
        <v>1280.0</v>
      </c>
      <c r="J31" s="32"/>
      <c r="K31" s="33"/>
      <c r="L31" s="47">
        <v>1280.0</v>
      </c>
      <c r="M31" s="18">
        <f t="shared" si="1"/>
        <v>0</v>
      </c>
    </row>
    <row r="32">
      <c r="A32" s="41">
        <v>28.0</v>
      </c>
      <c r="B32" s="46" t="s">
        <v>705</v>
      </c>
      <c r="C32" s="46">
        <v>22341.0</v>
      </c>
      <c r="D32" s="46" t="s">
        <v>293</v>
      </c>
      <c r="E32" s="27"/>
      <c r="F32" s="28"/>
      <c r="G32" s="29"/>
      <c r="H32" s="30">
        <v>1550.0</v>
      </c>
      <c r="I32" s="31"/>
      <c r="J32" s="32"/>
      <c r="K32" s="33"/>
      <c r="L32" s="47">
        <v>1550.0</v>
      </c>
      <c r="M32" s="18">
        <f t="shared" si="1"/>
        <v>0</v>
      </c>
    </row>
    <row r="33">
      <c r="A33" s="41">
        <v>29.0</v>
      </c>
      <c r="B33" s="46" t="s">
        <v>706</v>
      </c>
      <c r="C33" s="46">
        <v>45096.0</v>
      </c>
      <c r="D33" s="46" t="s">
        <v>290</v>
      </c>
      <c r="E33" s="27"/>
      <c r="F33" s="28"/>
      <c r="G33" s="29"/>
      <c r="H33" s="30">
        <v>10000.0</v>
      </c>
      <c r="I33" s="31"/>
      <c r="J33" s="32"/>
      <c r="K33" s="33"/>
      <c r="L33" s="47">
        <v>10000.0</v>
      </c>
      <c r="M33" s="18">
        <f t="shared" si="1"/>
        <v>0</v>
      </c>
    </row>
    <row r="34">
      <c r="A34" s="41">
        <v>30.0</v>
      </c>
      <c r="B34" s="46" t="s">
        <v>707</v>
      </c>
      <c r="C34" s="46">
        <v>50595.0</v>
      </c>
      <c r="D34" s="46" t="s">
        <v>158</v>
      </c>
      <c r="E34" s="27"/>
      <c r="F34" s="28"/>
      <c r="G34" s="29"/>
      <c r="H34" s="30">
        <v>25000.0</v>
      </c>
      <c r="I34" s="31"/>
      <c r="J34" s="35"/>
      <c r="K34" s="33"/>
      <c r="L34" s="47">
        <v>25000.0</v>
      </c>
      <c r="M34" s="18">
        <f t="shared" si="1"/>
        <v>0</v>
      </c>
    </row>
    <row r="35">
      <c r="A35" s="41">
        <v>31.0</v>
      </c>
      <c r="B35" s="46" t="s">
        <v>708</v>
      </c>
      <c r="C35" s="46">
        <v>49682.0</v>
      </c>
      <c r="D35" s="46" t="s">
        <v>709</v>
      </c>
      <c r="E35" s="27"/>
      <c r="F35" s="28"/>
      <c r="G35" s="29"/>
      <c r="H35" s="30">
        <v>350.0</v>
      </c>
      <c r="I35" s="31"/>
      <c r="J35" s="32"/>
      <c r="K35" s="33"/>
      <c r="L35" s="47">
        <v>350.0</v>
      </c>
      <c r="M35" s="18">
        <f t="shared" si="1"/>
        <v>0</v>
      </c>
    </row>
    <row r="36">
      <c r="A36" s="41">
        <v>32.0</v>
      </c>
      <c r="B36" s="46" t="s">
        <v>710</v>
      </c>
      <c r="C36" s="46">
        <v>45096.0</v>
      </c>
      <c r="D36" s="46" t="s">
        <v>290</v>
      </c>
      <c r="E36" s="27"/>
      <c r="F36" s="28"/>
      <c r="G36" s="29"/>
      <c r="H36" s="30">
        <v>290.0</v>
      </c>
      <c r="I36" s="31"/>
      <c r="J36" s="32"/>
      <c r="K36" s="33"/>
      <c r="L36" s="47">
        <v>290.0</v>
      </c>
      <c r="M36" s="18">
        <f t="shared" si="1"/>
        <v>0</v>
      </c>
    </row>
    <row r="37">
      <c r="A37" s="41">
        <v>33.0</v>
      </c>
      <c r="B37" s="46" t="s">
        <v>711</v>
      </c>
      <c r="C37" s="46">
        <v>49203.0</v>
      </c>
      <c r="D37" s="46" t="s">
        <v>712</v>
      </c>
      <c r="E37" s="27"/>
      <c r="F37" s="28"/>
      <c r="G37" s="29"/>
      <c r="H37" s="30"/>
      <c r="I37" s="31">
        <v>11600.0</v>
      </c>
      <c r="J37" s="32"/>
      <c r="K37" s="33"/>
      <c r="L37" s="47">
        <v>11600.0</v>
      </c>
      <c r="M37" s="18">
        <f t="shared" si="1"/>
        <v>0</v>
      </c>
    </row>
    <row r="38">
      <c r="A38" s="41">
        <v>34.0</v>
      </c>
      <c r="B38" s="46" t="s">
        <v>713</v>
      </c>
      <c r="C38" s="46">
        <v>51051.0</v>
      </c>
      <c r="D38" s="46" t="s">
        <v>714</v>
      </c>
      <c r="E38" s="27"/>
      <c r="F38" s="28"/>
      <c r="G38" s="29"/>
      <c r="H38" s="30">
        <v>15600.0</v>
      </c>
      <c r="I38" s="31"/>
      <c r="J38" s="32"/>
      <c r="K38" s="33"/>
      <c r="L38" s="47">
        <v>15600.0</v>
      </c>
      <c r="M38" s="18">
        <f t="shared" si="1"/>
        <v>0</v>
      </c>
    </row>
    <row r="39">
      <c r="A39" s="41">
        <v>35.0</v>
      </c>
      <c r="B39" s="46" t="s">
        <v>715</v>
      </c>
      <c r="C39" s="46">
        <v>48973.0</v>
      </c>
      <c r="D39" s="46" t="s">
        <v>716</v>
      </c>
      <c r="E39" s="27"/>
      <c r="F39" s="28"/>
      <c r="G39" s="29"/>
      <c r="H39" s="30">
        <v>3600.0</v>
      </c>
      <c r="I39" s="31"/>
      <c r="J39" s="35"/>
      <c r="K39" s="33"/>
      <c r="L39" s="47">
        <v>3600.0</v>
      </c>
      <c r="M39" s="18">
        <f t="shared" si="1"/>
        <v>0</v>
      </c>
    </row>
    <row r="40">
      <c r="A40" s="41">
        <v>36.0</v>
      </c>
      <c r="B40" s="46" t="s">
        <v>717</v>
      </c>
      <c r="C40" s="46">
        <v>52044.0</v>
      </c>
      <c r="D40" s="46" t="s">
        <v>718</v>
      </c>
      <c r="E40" s="27"/>
      <c r="F40" s="28"/>
      <c r="G40" s="29"/>
      <c r="H40" s="30">
        <v>5000.0</v>
      </c>
      <c r="I40" s="36"/>
      <c r="J40" s="32"/>
      <c r="K40" s="33"/>
      <c r="L40" s="47">
        <v>5000.0</v>
      </c>
      <c r="M40" s="18">
        <f t="shared" si="1"/>
        <v>0</v>
      </c>
    </row>
    <row r="41">
      <c r="A41" s="41">
        <v>37.0</v>
      </c>
      <c r="B41" s="46" t="s">
        <v>719</v>
      </c>
      <c r="C41" s="46">
        <v>52882.0</v>
      </c>
      <c r="D41" s="46" t="s">
        <v>720</v>
      </c>
      <c r="E41" s="27"/>
      <c r="F41" s="28"/>
      <c r="G41" s="29"/>
      <c r="H41" s="30"/>
      <c r="I41" s="31">
        <v>12500.0</v>
      </c>
      <c r="J41" s="35"/>
      <c r="K41" s="33"/>
      <c r="L41" s="47">
        <v>12500.0</v>
      </c>
      <c r="M41" s="18">
        <f t="shared" si="1"/>
        <v>0</v>
      </c>
    </row>
    <row r="42">
      <c r="A42" s="41">
        <v>38.0</v>
      </c>
      <c r="B42" s="46" t="s">
        <v>721</v>
      </c>
      <c r="C42" s="46">
        <v>43375.0</v>
      </c>
      <c r="D42" s="46" t="s">
        <v>328</v>
      </c>
      <c r="E42" s="27"/>
      <c r="F42" s="28"/>
      <c r="G42" s="29"/>
      <c r="H42" s="30">
        <v>30000.0</v>
      </c>
      <c r="I42" s="36"/>
      <c r="J42" s="35"/>
      <c r="K42" s="33"/>
      <c r="L42" s="47">
        <v>30000.0</v>
      </c>
      <c r="M42" s="18">
        <f t="shared" si="1"/>
        <v>0</v>
      </c>
    </row>
    <row r="43">
      <c r="A43" s="41">
        <v>39.0</v>
      </c>
      <c r="B43" s="46" t="s">
        <v>722</v>
      </c>
      <c r="C43" s="46">
        <v>49684.0</v>
      </c>
      <c r="D43" s="46" t="s">
        <v>723</v>
      </c>
      <c r="E43" s="27"/>
      <c r="F43" s="28"/>
      <c r="G43" s="29"/>
      <c r="H43" s="30"/>
      <c r="I43" s="31">
        <v>1427.0</v>
      </c>
      <c r="J43" s="32"/>
      <c r="K43" s="33"/>
      <c r="L43" s="47">
        <v>1427.0</v>
      </c>
      <c r="M43" s="18">
        <f t="shared" si="1"/>
        <v>0</v>
      </c>
    </row>
    <row r="44">
      <c r="A44" s="41">
        <v>40.0</v>
      </c>
      <c r="B44" s="46" t="s">
        <v>724</v>
      </c>
      <c r="C44" s="46">
        <v>56221.0</v>
      </c>
      <c r="D44" s="46" t="s">
        <v>725</v>
      </c>
      <c r="E44" s="27"/>
      <c r="F44" s="28"/>
      <c r="G44" s="29"/>
      <c r="H44" s="30">
        <v>27000.0</v>
      </c>
      <c r="I44" s="31"/>
      <c r="J44" s="32"/>
      <c r="K44" s="33"/>
      <c r="L44" s="47">
        <v>27000.0</v>
      </c>
      <c r="M44" s="18">
        <f t="shared" si="1"/>
        <v>0</v>
      </c>
    </row>
    <row r="45">
      <c r="A45" s="41">
        <v>41.0</v>
      </c>
      <c r="B45" s="46" t="s">
        <v>726</v>
      </c>
      <c r="C45" s="46">
        <v>51406.0</v>
      </c>
      <c r="D45" s="46" t="s">
        <v>18</v>
      </c>
      <c r="E45" s="27"/>
      <c r="F45" s="28"/>
      <c r="G45" s="29"/>
      <c r="H45" s="30"/>
      <c r="I45" s="31">
        <v>20000.0</v>
      </c>
      <c r="J45" s="32"/>
      <c r="K45" s="33"/>
      <c r="L45" s="47">
        <v>20000.0</v>
      </c>
      <c r="M45" s="18">
        <f t="shared" si="1"/>
        <v>0</v>
      </c>
    </row>
    <row r="46">
      <c r="A46" s="41">
        <v>42.0</v>
      </c>
      <c r="B46" s="46" t="s">
        <v>727</v>
      </c>
      <c r="C46" s="46">
        <v>51406.0</v>
      </c>
      <c r="D46" s="46" t="s">
        <v>18</v>
      </c>
      <c r="E46" s="27"/>
      <c r="F46" s="37"/>
      <c r="G46" s="29"/>
      <c r="H46" s="30"/>
      <c r="I46" s="31">
        <v>2500.0</v>
      </c>
      <c r="J46" s="32"/>
      <c r="K46" s="33"/>
      <c r="L46" s="47">
        <v>2500.0</v>
      </c>
      <c r="M46" s="18">
        <f t="shared" si="1"/>
        <v>0</v>
      </c>
    </row>
    <row r="47">
      <c r="A47" s="41">
        <v>43.0</v>
      </c>
      <c r="B47" s="46" t="s">
        <v>728</v>
      </c>
      <c r="C47" s="46">
        <v>41245.0</v>
      </c>
      <c r="D47" s="46" t="s">
        <v>729</v>
      </c>
      <c r="E47" s="27"/>
      <c r="F47" s="37"/>
      <c r="G47" s="29"/>
      <c r="H47" s="30">
        <v>5000.0</v>
      </c>
      <c r="I47" s="31"/>
      <c r="J47" s="32"/>
      <c r="K47" s="33"/>
      <c r="L47" s="47">
        <v>5000.0</v>
      </c>
      <c r="M47" s="18">
        <f t="shared" si="1"/>
        <v>0</v>
      </c>
    </row>
    <row r="48">
      <c r="A48" s="41">
        <v>44.0</v>
      </c>
      <c r="B48" s="46" t="s">
        <v>730</v>
      </c>
      <c r="C48" s="46">
        <v>28321.0</v>
      </c>
      <c r="D48" s="46" t="s">
        <v>731</v>
      </c>
      <c r="E48" s="27"/>
      <c r="F48" s="28"/>
      <c r="G48" s="29"/>
      <c r="H48" s="30">
        <v>5000.0</v>
      </c>
      <c r="I48" s="31"/>
      <c r="J48" s="32"/>
      <c r="K48" s="33"/>
      <c r="L48" s="47">
        <v>5000.0</v>
      </c>
      <c r="M48" s="18">
        <f t="shared" si="1"/>
        <v>0</v>
      </c>
    </row>
    <row r="49">
      <c r="A49" s="41">
        <v>45.0</v>
      </c>
      <c r="B49" s="46" t="s">
        <v>732</v>
      </c>
      <c r="C49" s="46">
        <v>28321.0</v>
      </c>
      <c r="D49" s="46" t="s">
        <v>731</v>
      </c>
      <c r="E49" s="27"/>
      <c r="F49" s="28"/>
      <c r="G49" s="29"/>
      <c r="H49" s="30">
        <v>5000.0</v>
      </c>
      <c r="I49" s="31"/>
      <c r="J49" s="32"/>
      <c r="K49" s="33"/>
      <c r="L49" s="47">
        <v>5000.0</v>
      </c>
      <c r="M49" s="18">
        <f t="shared" si="1"/>
        <v>0</v>
      </c>
    </row>
    <row r="50">
      <c r="A50" s="41">
        <v>46.0</v>
      </c>
      <c r="B50" s="46" t="s">
        <v>733</v>
      </c>
      <c r="C50" s="46">
        <v>55162.0</v>
      </c>
      <c r="D50" s="46" t="s">
        <v>170</v>
      </c>
      <c r="E50" s="27"/>
      <c r="F50" s="28"/>
      <c r="G50" s="29"/>
      <c r="H50" s="30"/>
      <c r="I50" s="31">
        <v>25000.0</v>
      </c>
      <c r="J50" s="32"/>
      <c r="K50" s="33"/>
      <c r="L50" s="47">
        <v>25000.0</v>
      </c>
      <c r="M50" s="18">
        <f t="shared" si="1"/>
        <v>0</v>
      </c>
    </row>
    <row r="51">
      <c r="A51" s="41">
        <v>47.0</v>
      </c>
      <c r="B51" s="46" t="s">
        <v>734</v>
      </c>
      <c r="C51" s="46">
        <v>49953.0</v>
      </c>
      <c r="D51" s="46" t="s">
        <v>242</v>
      </c>
      <c r="E51" s="27"/>
      <c r="F51" s="28"/>
      <c r="G51" s="29"/>
      <c r="H51" s="30">
        <v>350.0</v>
      </c>
      <c r="I51" s="31"/>
      <c r="J51" s="32"/>
      <c r="K51" s="33"/>
      <c r="L51" s="47">
        <v>350.0</v>
      </c>
      <c r="M51" s="18">
        <f t="shared" si="1"/>
        <v>0</v>
      </c>
    </row>
    <row r="52">
      <c r="A52" s="41">
        <v>48.0</v>
      </c>
      <c r="B52" s="46" t="s">
        <v>735</v>
      </c>
      <c r="C52" s="46">
        <v>13781.0</v>
      </c>
      <c r="D52" s="46" t="s">
        <v>278</v>
      </c>
      <c r="E52" s="27"/>
      <c r="F52" s="28"/>
      <c r="G52" s="39"/>
      <c r="H52" s="30">
        <v>5200.0</v>
      </c>
      <c r="I52" s="36"/>
      <c r="J52" s="32"/>
      <c r="K52" s="33"/>
      <c r="L52" s="47">
        <v>5200.0</v>
      </c>
      <c r="M52" s="18">
        <f t="shared" si="1"/>
        <v>0</v>
      </c>
    </row>
    <row r="53">
      <c r="A53" s="41">
        <v>49.0</v>
      </c>
      <c r="B53" s="46" t="s">
        <v>736</v>
      </c>
      <c r="C53" s="46">
        <v>10249.0</v>
      </c>
      <c r="D53" s="46" t="s">
        <v>737</v>
      </c>
      <c r="E53" s="27"/>
      <c r="F53" s="37"/>
      <c r="G53" s="29"/>
      <c r="H53" s="30"/>
      <c r="I53" s="31">
        <v>1400.0</v>
      </c>
      <c r="J53" s="32"/>
      <c r="K53" s="33"/>
      <c r="L53" s="47">
        <v>1400.0</v>
      </c>
      <c r="M53" s="18">
        <f t="shared" si="1"/>
        <v>0</v>
      </c>
    </row>
    <row r="54">
      <c r="A54" s="41">
        <v>50.0</v>
      </c>
      <c r="B54" s="46" t="s">
        <v>738</v>
      </c>
      <c r="C54" s="46">
        <v>50501.0</v>
      </c>
      <c r="D54" s="46" t="s">
        <v>739</v>
      </c>
      <c r="E54" s="27"/>
      <c r="F54" s="28"/>
      <c r="G54" s="29"/>
      <c r="H54" s="30">
        <v>7500.0</v>
      </c>
      <c r="I54" s="31"/>
      <c r="J54" s="32"/>
      <c r="K54" s="33"/>
      <c r="L54" s="47">
        <v>7500.0</v>
      </c>
      <c r="M54" s="18">
        <f t="shared" si="1"/>
        <v>0</v>
      </c>
    </row>
    <row r="55">
      <c r="A55" s="41">
        <v>51.0</v>
      </c>
      <c r="B55" s="46" t="s">
        <v>740</v>
      </c>
      <c r="C55" s="46">
        <v>51697.0</v>
      </c>
      <c r="D55" s="46" t="s">
        <v>741</v>
      </c>
      <c r="E55" s="27"/>
      <c r="F55" s="28"/>
      <c r="G55" s="29"/>
      <c r="H55" s="30"/>
      <c r="I55" s="31">
        <v>5000.0</v>
      </c>
      <c r="J55" s="32"/>
      <c r="K55" s="33"/>
      <c r="L55" s="47">
        <v>5000.0</v>
      </c>
      <c r="M55" s="18">
        <f t="shared" si="1"/>
        <v>0</v>
      </c>
    </row>
    <row r="56">
      <c r="A56" s="41">
        <v>52.0</v>
      </c>
      <c r="B56" s="46" t="s">
        <v>742</v>
      </c>
      <c r="C56" s="46">
        <v>42071.0</v>
      </c>
      <c r="D56" s="46" t="s">
        <v>30</v>
      </c>
      <c r="E56" s="27"/>
      <c r="F56" s="37"/>
      <c r="G56" s="29"/>
      <c r="H56" s="30"/>
      <c r="I56" s="31">
        <v>125.0</v>
      </c>
      <c r="J56" s="32"/>
      <c r="K56" s="33"/>
      <c r="L56" s="47">
        <v>125.0</v>
      </c>
      <c r="M56" s="18">
        <f t="shared" si="1"/>
        <v>0</v>
      </c>
    </row>
    <row r="57">
      <c r="A57" s="41">
        <v>53.0</v>
      </c>
      <c r="B57" s="46" t="s">
        <v>743</v>
      </c>
      <c r="C57" s="46">
        <v>57183.0</v>
      </c>
      <c r="D57" s="46" t="s">
        <v>744</v>
      </c>
      <c r="E57" s="27"/>
      <c r="F57" s="28"/>
      <c r="G57" s="29"/>
      <c r="H57" s="30">
        <v>300.0</v>
      </c>
      <c r="I57" s="31"/>
      <c r="J57" s="32"/>
      <c r="K57" s="33"/>
      <c r="L57" s="47">
        <v>300.0</v>
      </c>
      <c r="M57" s="18">
        <f t="shared" si="1"/>
        <v>0</v>
      </c>
    </row>
    <row r="58">
      <c r="A58" s="41">
        <v>54.0</v>
      </c>
      <c r="B58" s="46" t="s">
        <v>745</v>
      </c>
      <c r="C58" s="46">
        <v>21384.0</v>
      </c>
      <c r="D58" s="46" t="s">
        <v>38</v>
      </c>
      <c r="E58" s="27"/>
      <c r="F58" s="28"/>
      <c r="G58" s="29"/>
      <c r="H58" s="30">
        <v>9100.0</v>
      </c>
      <c r="I58" s="31"/>
      <c r="J58" s="35"/>
      <c r="K58" s="33"/>
      <c r="L58" s="47">
        <v>9100.0</v>
      </c>
      <c r="M58" s="18">
        <f t="shared" si="1"/>
        <v>0</v>
      </c>
    </row>
    <row r="59">
      <c r="A59" s="41">
        <v>55.0</v>
      </c>
      <c r="B59" s="46" t="s">
        <v>746</v>
      </c>
      <c r="C59" s="46">
        <v>41245.0</v>
      </c>
      <c r="D59" s="46" t="s">
        <v>729</v>
      </c>
      <c r="E59" s="27"/>
      <c r="F59" s="28"/>
      <c r="G59" s="29"/>
      <c r="H59" s="30">
        <v>5000.0</v>
      </c>
      <c r="I59" s="31"/>
      <c r="J59" s="32"/>
      <c r="K59" s="33"/>
      <c r="L59" s="47">
        <v>5000.0</v>
      </c>
      <c r="M59" s="18">
        <f t="shared" si="1"/>
        <v>0</v>
      </c>
    </row>
    <row r="60">
      <c r="A60" s="41">
        <v>56.0</v>
      </c>
      <c r="B60" s="46" t="s">
        <v>747</v>
      </c>
      <c r="C60" s="46">
        <v>52433.0</v>
      </c>
      <c r="D60" s="46" t="s">
        <v>748</v>
      </c>
      <c r="E60" s="27"/>
      <c r="F60" s="28"/>
      <c r="G60" s="29"/>
      <c r="H60" s="30">
        <v>10000.0</v>
      </c>
      <c r="I60" s="31"/>
      <c r="J60" s="32"/>
      <c r="K60" s="33"/>
      <c r="L60" s="47">
        <v>10000.0</v>
      </c>
      <c r="M60" s="18">
        <f t="shared" si="1"/>
        <v>0</v>
      </c>
    </row>
    <row r="61">
      <c r="A61" s="41">
        <v>57.0</v>
      </c>
      <c r="B61" s="46" t="s">
        <v>749</v>
      </c>
      <c r="C61" s="46">
        <v>54573.0</v>
      </c>
      <c r="D61" s="46" t="s">
        <v>152</v>
      </c>
      <c r="E61" s="38"/>
      <c r="F61" s="37"/>
      <c r="G61" s="29"/>
      <c r="H61" s="30">
        <v>10000.0</v>
      </c>
      <c r="I61" s="31"/>
      <c r="J61" s="32"/>
      <c r="K61" s="33"/>
      <c r="L61" s="47">
        <v>10000.0</v>
      </c>
      <c r="M61" s="18">
        <f t="shared" si="1"/>
        <v>0</v>
      </c>
    </row>
    <row r="62">
      <c r="A62" s="41">
        <v>58.0</v>
      </c>
      <c r="B62" s="46" t="s">
        <v>750</v>
      </c>
      <c r="C62" s="46">
        <v>21971.0</v>
      </c>
      <c r="D62" s="46" t="s">
        <v>220</v>
      </c>
      <c r="E62" s="27"/>
      <c r="F62" s="37">
        <v>4000.0</v>
      </c>
      <c r="G62" s="29"/>
      <c r="H62" s="30"/>
      <c r="I62" s="31"/>
      <c r="J62" s="35"/>
      <c r="K62" s="33"/>
      <c r="L62" s="47">
        <v>4000.0</v>
      </c>
      <c r="M62" s="18">
        <f t="shared" si="1"/>
        <v>0</v>
      </c>
    </row>
    <row r="63">
      <c r="A63" s="41">
        <v>59.0</v>
      </c>
      <c r="B63" s="46" t="s">
        <v>751</v>
      </c>
      <c r="C63" s="46">
        <v>42098.0</v>
      </c>
      <c r="D63" s="46" t="s">
        <v>96</v>
      </c>
      <c r="E63" s="27"/>
      <c r="F63" s="28"/>
      <c r="G63" s="29"/>
      <c r="H63" s="30">
        <v>1600.0</v>
      </c>
      <c r="I63" s="31"/>
      <c r="J63" s="35"/>
      <c r="K63" s="33"/>
      <c r="L63" s="47">
        <v>1600.0</v>
      </c>
      <c r="M63" s="18">
        <f t="shared" si="1"/>
        <v>0</v>
      </c>
    </row>
    <row r="64">
      <c r="A64" s="41">
        <v>60.0</v>
      </c>
      <c r="B64" s="46" t="s">
        <v>752</v>
      </c>
      <c r="C64" s="46">
        <v>21971.0</v>
      </c>
      <c r="D64" s="46" t="s">
        <v>220</v>
      </c>
      <c r="E64" s="38"/>
      <c r="F64" s="37">
        <v>400.0</v>
      </c>
      <c r="G64" s="29"/>
      <c r="H64" s="30"/>
      <c r="I64" s="31"/>
      <c r="J64" s="32"/>
      <c r="K64" s="33"/>
      <c r="L64" s="47">
        <v>400.0</v>
      </c>
      <c r="M64" s="18">
        <f t="shared" si="1"/>
        <v>0</v>
      </c>
    </row>
    <row r="65">
      <c r="A65" s="41">
        <v>61.0</v>
      </c>
      <c r="B65" s="46" t="s">
        <v>753</v>
      </c>
      <c r="C65" s="46">
        <v>21384.0</v>
      </c>
      <c r="D65" s="46" t="s">
        <v>38</v>
      </c>
      <c r="E65" s="27"/>
      <c r="F65" s="28"/>
      <c r="G65" s="29"/>
      <c r="H65" s="30"/>
      <c r="I65" s="31">
        <v>12500.0</v>
      </c>
      <c r="J65" s="32"/>
      <c r="K65" s="33"/>
      <c r="L65" s="47">
        <v>12500.0</v>
      </c>
      <c r="M65" s="18">
        <f t="shared" si="1"/>
        <v>0</v>
      </c>
    </row>
    <row r="66">
      <c r="A66" s="41">
        <v>62.0</v>
      </c>
      <c r="B66" s="46" t="s">
        <v>754</v>
      </c>
      <c r="C66" s="46">
        <v>22341.0</v>
      </c>
      <c r="D66" s="46" t="s">
        <v>293</v>
      </c>
      <c r="E66" s="27"/>
      <c r="F66" s="28"/>
      <c r="G66" s="29"/>
      <c r="H66" s="30">
        <v>900.0</v>
      </c>
      <c r="I66" s="36"/>
      <c r="J66" s="32"/>
      <c r="K66" s="33"/>
      <c r="L66" s="47">
        <v>900.0</v>
      </c>
      <c r="M66" s="18">
        <f t="shared" si="1"/>
        <v>0</v>
      </c>
    </row>
    <row r="67">
      <c r="A67" s="41">
        <v>63.0</v>
      </c>
      <c r="B67" s="46" t="s">
        <v>755</v>
      </c>
      <c r="C67" s="46">
        <v>10701.0</v>
      </c>
      <c r="D67" s="46" t="s">
        <v>756</v>
      </c>
      <c r="E67" s="27"/>
      <c r="F67" s="37">
        <v>3600.0</v>
      </c>
      <c r="G67" s="29"/>
      <c r="H67" s="30"/>
      <c r="I67" s="36"/>
      <c r="J67" s="32"/>
      <c r="K67" s="33"/>
      <c r="L67" s="47">
        <v>3600.0</v>
      </c>
      <c r="M67" s="18">
        <f t="shared" si="1"/>
        <v>0</v>
      </c>
    </row>
    <row r="68">
      <c r="A68" s="41">
        <v>64.0</v>
      </c>
      <c r="B68" s="46" t="s">
        <v>757</v>
      </c>
      <c r="C68" s="46">
        <v>25650.0</v>
      </c>
      <c r="D68" s="46" t="s">
        <v>378</v>
      </c>
      <c r="E68" s="27"/>
      <c r="F68" s="37"/>
      <c r="G68" s="39">
        <v>8200.0</v>
      </c>
      <c r="H68" s="30"/>
      <c r="I68" s="31"/>
      <c r="J68" s="32"/>
      <c r="K68" s="33"/>
      <c r="L68" s="47">
        <v>8200.0</v>
      </c>
      <c r="M68" s="18">
        <f t="shared" si="1"/>
        <v>0</v>
      </c>
    </row>
    <row r="69">
      <c r="A69" s="41">
        <v>65.0</v>
      </c>
      <c r="B69" s="46" t="s">
        <v>758</v>
      </c>
      <c r="C69" s="46">
        <v>49953.0</v>
      </c>
      <c r="D69" s="46" t="s">
        <v>242</v>
      </c>
      <c r="E69" s="27"/>
      <c r="F69" s="28"/>
      <c r="G69" s="39">
        <v>25000.0</v>
      </c>
      <c r="H69" s="30"/>
      <c r="I69" s="31"/>
      <c r="J69" s="32"/>
      <c r="K69" s="33"/>
      <c r="L69" s="47">
        <v>25000.0</v>
      </c>
      <c r="M69" s="18">
        <f t="shared" si="1"/>
        <v>0</v>
      </c>
    </row>
    <row r="70">
      <c r="A70" s="41">
        <v>66.0</v>
      </c>
      <c r="B70" s="46" t="s">
        <v>759</v>
      </c>
      <c r="C70" s="46">
        <v>51802.0</v>
      </c>
      <c r="D70" s="46" t="s">
        <v>760</v>
      </c>
      <c r="E70" s="27"/>
      <c r="F70" s="28"/>
      <c r="G70" s="39">
        <v>5150.0</v>
      </c>
      <c r="H70" s="30"/>
      <c r="I70" s="31"/>
      <c r="J70" s="32"/>
      <c r="K70" s="33"/>
      <c r="L70" s="47">
        <v>5150.0</v>
      </c>
      <c r="M70" s="18">
        <f t="shared" si="1"/>
        <v>0</v>
      </c>
    </row>
    <row r="71">
      <c r="A71" s="41">
        <v>67.0</v>
      </c>
      <c r="B71" s="46" t="s">
        <v>761</v>
      </c>
      <c r="C71" s="46">
        <v>50221.0</v>
      </c>
      <c r="D71" s="46" t="s">
        <v>252</v>
      </c>
      <c r="E71" s="38"/>
      <c r="F71" s="28"/>
      <c r="G71" s="39">
        <v>5000.0</v>
      </c>
      <c r="H71" s="30"/>
      <c r="I71" s="31"/>
      <c r="J71" s="32"/>
      <c r="K71" s="33"/>
      <c r="L71" s="47">
        <v>5000.0</v>
      </c>
      <c r="M71" s="18">
        <f t="shared" si="1"/>
        <v>0</v>
      </c>
    </row>
    <row r="72">
      <c r="A72" s="41">
        <v>68.0</v>
      </c>
      <c r="B72" s="46" t="s">
        <v>762</v>
      </c>
      <c r="C72" s="46">
        <v>50342.0</v>
      </c>
      <c r="D72" s="46" t="s">
        <v>146</v>
      </c>
      <c r="E72" s="38"/>
      <c r="F72" s="37"/>
      <c r="G72" s="39">
        <v>8200.0</v>
      </c>
      <c r="H72" s="30"/>
      <c r="I72" s="36"/>
      <c r="J72" s="32"/>
      <c r="K72" s="33"/>
      <c r="L72" s="47">
        <v>8200.0</v>
      </c>
      <c r="M72" s="18">
        <f t="shared" si="1"/>
        <v>0</v>
      </c>
    </row>
    <row r="73">
      <c r="A73" s="41">
        <v>69.0</v>
      </c>
      <c r="B73" s="46" t="s">
        <v>763</v>
      </c>
      <c r="C73" s="46">
        <v>50148.0</v>
      </c>
      <c r="D73" s="46" t="s">
        <v>244</v>
      </c>
      <c r="E73" s="27"/>
      <c r="F73" s="28"/>
      <c r="G73" s="39">
        <v>10400.0</v>
      </c>
      <c r="H73" s="30"/>
      <c r="I73" s="31"/>
      <c r="J73" s="32"/>
      <c r="K73" s="33"/>
      <c r="L73" s="47">
        <v>10400.0</v>
      </c>
      <c r="M73" s="18">
        <f t="shared" si="1"/>
        <v>0</v>
      </c>
    </row>
    <row r="74">
      <c r="A74" s="41"/>
      <c r="B74" s="45"/>
      <c r="C74" s="45"/>
      <c r="D74" s="44"/>
      <c r="E74" s="22">
        <f t="shared" ref="E74:M74" si="2">SUM(E5:E73)</f>
        <v>0</v>
      </c>
      <c r="F74" s="22">
        <f t="shared" si="2"/>
        <v>8000</v>
      </c>
      <c r="G74" s="22">
        <f t="shared" si="2"/>
        <v>61950</v>
      </c>
      <c r="H74" s="22">
        <f t="shared" si="2"/>
        <v>388190</v>
      </c>
      <c r="I74" s="22">
        <f t="shared" si="2"/>
        <v>171032</v>
      </c>
      <c r="J74" s="22">
        <f t="shared" si="2"/>
        <v>0</v>
      </c>
      <c r="K74" s="22">
        <f t="shared" si="2"/>
        <v>27000</v>
      </c>
      <c r="L74" s="22">
        <f t="shared" si="2"/>
        <v>656172</v>
      </c>
      <c r="M74" s="18">
        <f t="shared" si="2"/>
        <v>0</v>
      </c>
    </row>
    <row r="75">
      <c r="A75" s="23"/>
      <c r="B75" s="23"/>
      <c r="C75" s="23"/>
      <c r="D75" s="23"/>
      <c r="E75" s="24">
        <v>656172.0</v>
      </c>
      <c r="F75" s="6"/>
      <c r="G75" s="6"/>
      <c r="H75" s="6"/>
      <c r="I75" s="6"/>
      <c r="J75" s="6"/>
      <c r="K75" s="7"/>
      <c r="L75" s="25"/>
      <c r="M75" s="23"/>
    </row>
    <row r="76">
      <c r="L76" s="40" t="s">
        <v>254</v>
      </c>
    </row>
  </sheetData>
  <mergeCells count="14">
    <mergeCell ref="F3:G3"/>
    <mergeCell ref="H3:I3"/>
    <mergeCell ref="J3:J4"/>
    <mergeCell ref="K3:K4"/>
    <mergeCell ref="E75:K75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5"/>
    <col customWidth="1" min="2" max="2" width="24.75"/>
    <col customWidth="1" min="4" max="4" width="43.25"/>
    <col customWidth="1" min="5" max="5" width="9.5"/>
  </cols>
  <sheetData>
    <row r="1">
      <c r="A1" s="1" t="s">
        <v>764</v>
      </c>
    </row>
    <row r="2">
      <c r="A2" s="2" t="s">
        <v>1</v>
      </c>
      <c r="B2" s="3" t="s">
        <v>2</v>
      </c>
      <c r="C2" s="2" t="s">
        <v>3</v>
      </c>
      <c r="D2" s="4" t="s">
        <v>4</v>
      </c>
      <c r="E2" s="5" t="s">
        <v>5</v>
      </c>
      <c r="F2" s="6"/>
      <c r="G2" s="6"/>
      <c r="H2" s="6"/>
      <c r="I2" s="6"/>
      <c r="J2" s="6"/>
      <c r="K2" s="6"/>
      <c r="L2" s="6"/>
      <c r="M2" s="7"/>
    </row>
    <row r="3">
      <c r="A3" s="8"/>
      <c r="B3" s="8"/>
      <c r="C3" s="8"/>
      <c r="D3" s="8"/>
      <c r="E3" s="2" t="s">
        <v>6</v>
      </c>
      <c r="F3" s="5" t="s">
        <v>7</v>
      </c>
      <c r="G3" s="7"/>
      <c r="H3" s="5" t="s">
        <v>8</v>
      </c>
      <c r="I3" s="7"/>
      <c r="J3" s="2" t="s">
        <v>9</v>
      </c>
      <c r="K3" s="4" t="s">
        <v>10</v>
      </c>
      <c r="L3" s="2" t="s">
        <v>11</v>
      </c>
      <c r="M3" s="2" t="s">
        <v>12</v>
      </c>
    </row>
    <row r="4">
      <c r="A4" s="9"/>
      <c r="B4" s="9"/>
      <c r="C4" s="9"/>
      <c r="D4" s="9"/>
      <c r="E4" s="9"/>
      <c r="F4" s="10" t="s">
        <v>13</v>
      </c>
      <c r="G4" s="10" t="s">
        <v>14</v>
      </c>
      <c r="H4" s="10" t="s">
        <v>15</v>
      </c>
      <c r="I4" s="11" t="s">
        <v>16</v>
      </c>
      <c r="J4" s="9"/>
      <c r="K4" s="9"/>
      <c r="L4" s="9"/>
      <c r="M4" s="9"/>
    </row>
    <row r="5">
      <c r="A5" s="41">
        <v>1.0</v>
      </c>
      <c r="B5" s="46" t="s">
        <v>765</v>
      </c>
      <c r="C5" s="46">
        <v>50596.0</v>
      </c>
      <c r="D5" s="46" t="s">
        <v>493</v>
      </c>
      <c r="E5" s="38"/>
      <c r="F5" s="28"/>
      <c r="G5" s="29"/>
      <c r="H5" s="30">
        <v>2100.0</v>
      </c>
      <c r="I5" s="31"/>
      <c r="J5" s="32"/>
      <c r="K5" s="50"/>
      <c r="L5" s="47">
        <v>2100.0</v>
      </c>
      <c r="M5" s="18">
        <f t="shared" ref="M5:M23" si="1">SUM(E5+F5+G5+H5+I5+J5+K5-L5)</f>
        <v>0</v>
      </c>
    </row>
    <row r="6">
      <c r="A6" s="41">
        <v>2.0</v>
      </c>
      <c r="B6" s="46" t="s">
        <v>766</v>
      </c>
      <c r="C6" s="46">
        <v>57408.0</v>
      </c>
      <c r="D6" s="46" t="s">
        <v>767</v>
      </c>
      <c r="E6" s="27"/>
      <c r="F6" s="28"/>
      <c r="G6" s="29"/>
      <c r="H6" s="30">
        <v>2500.0</v>
      </c>
      <c r="I6" s="31"/>
      <c r="J6" s="35"/>
      <c r="K6" s="33"/>
      <c r="L6" s="47">
        <v>2500.0</v>
      </c>
      <c r="M6" s="18">
        <f t="shared" si="1"/>
        <v>0</v>
      </c>
    </row>
    <row r="7">
      <c r="A7" s="41">
        <v>3.0</v>
      </c>
      <c r="B7" s="46" t="s">
        <v>768</v>
      </c>
      <c r="C7" s="46">
        <v>46778.0</v>
      </c>
      <c r="D7" s="46" t="s">
        <v>109</v>
      </c>
      <c r="E7" s="27"/>
      <c r="F7" s="28"/>
      <c r="G7" s="29"/>
      <c r="H7" s="30"/>
      <c r="I7" s="31">
        <v>1600.0</v>
      </c>
      <c r="J7" s="32"/>
      <c r="K7" s="33"/>
      <c r="L7" s="47">
        <v>1600.0</v>
      </c>
      <c r="M7" s="18">
        <f t="shared" si="1"/>
        <v>0</v>
      </c>
    </row>
    <row r="8">
      <c r="A8" s="41">
        <v>4.0</v>
      </c>
      <c r="B8" s="46" t="s">
        <v>769</v>
      </c>
      <c r="C8" s="46">
        <v>50909.0</v>
      </c>
      <c r="D8" s="46" t="s">
        <v>770</v>
      </c>
      <c r="E8" s="27"/>
      <c r="F8" s="28"/>
      <c r="G8" s="29"/>
      <c r="H8" s="30"/>
      <c r="I8" s="31">
        <v>5000.0</v>
      </c>
      <c r="J8" s="32"/>
      <c r="K8" s="33"/>
      <c r="L8" s="47">
        <v>5000.0</v>
      </c>
      <c r="M8" s="18">
        <f t="shared" si="1"/>
        <v>0</v>
      </c>
    </row>
    <row r="9">
      <c r="A9" s="41">
        <v>5.0</v>
      </c>
      <c r="B9" s="46" t="s">
        <v>771</v>
      </c>
      <c r="C9" s="46">
        <v>51434.0</v>
      </c>
      <c r="D9" s="46" t="s">
        <v>772</v>
      </c>
      <c r="E9" s="27"/>
      <c r="F9" s="28"/>
      <c r="G9" s="29"/>
      <c r="H9" s="30"/>
      <c r="I9" s="31">
        <v>5000.0</v>
      </c>
      <c r="J9" s="32"/>
      <c r="K9" s="33"/>
      <c r="L9" s="47">
        <v>5000.0</v>
      </c>
      <c r="M9" s="18">
        <f t="shared" si="1"/>
        <v>0</v>
      </c>
    </row>
    <row r="10">
      <c r="A10" s="41">
        <v>6.0</v>
      </c>
      <c r="B10" s="46" t="s">
        <v>773</v>
      </c>
      <c r="C10" s="46">
        <v>42071.0</v>
      </c>
      <c r="D10" s="46" t="s">
        <v>30</v>
      </c>
      <c r="E10" s="27"/>
      <c r="F10" s="28"/>
      <c r="G10" s="29"/>
      <c r="H10" s="30"/>
      <c r="I10" s="31">
        <v>230.0</v>
      </c>
      <c r="J10" s="32"/>
      <c r="K10" s="33"/>
      <c r="L10" s="47">
        <v>230.0</v>
      </c>
      <c r="M10" s="18">
        <f t="shared" si="1"/>
        <v>0</v>
      </c>
    </row>
    <row r="11">
      <c r="A11" s="41">
        <v>7.0</v>
      </c>
      <c r="B11" s="46" t="s">
        <v>774</v>
      </c>
      <c r="C11" s="46">
        <v>22332.0</v>
      </c>
      <c r="D11" s="46" t="s">
        <v>138</v>
      </c>
      <c r="E11" s="27"/>
      <c r="F11" s="28"/>
      <c r="G11" s="29"/>
      <c r="H11" s="30">
        <v>1400.0</v>
      </c>
      <c r="I11" s="31"/>
      <c r="J11" s="35"/>
      <c r="K11" s="33"/>
      <c r="L11" s="47">
        <v>1400.0</v>
      </c>
      <c r="M11" s="18">
        <f t="shared" si="1"/>
        <v>0</v>
      </c>
    </row>
    <row r="12">
      <c r="A12" s="41">
        <v>8.0</v>
      </c>
      <c r="B12" s="46" t="s">
        <v>775</v>
      </c>
      <c r="C12" s="46">
        <v>47787.0</v>
      </c>
      <c r="D12" s="46" t="s">
        <v>506</v>
      </c>
      <c r="E12" s="27"/>
      <c r="F12" s="28"/>
      <c r="G12" s="29"/>
      <c r="H12" s="30"/>
      <c r="I12" s="31">
        <v>5000.0</v>
      </c>
      <c r="J12" s="35"/>
      <c r="K12" s="33"/>
      <c r="L12" s="47">
        <v>5000.0</v>
      </c>
      <c r="M12" s="18">
        <f t="shared" si="1"/>
        <v>0</v>
      </c>
    </row>
    <row r="13">
      <c r="A13" s="41">
        <v>9.0</v>
      </c>
      <c r="B13" s="46" t="s">
        <v>776</v>
      </c>
      <c r="C13" s="46">
        <v>49272.0</v>
      </c>
      <c r="D13" s="46" t="s">
        <v>777</v>
      </c>
      <c r="E13" s="27"/>
      <c r="F13" s="28"/>
      <c r="G13" s="29"/>
      <c r="H13" s="30">
        <v>600.0</v>
      </c>
      <c r="I13" s="31"/>
      <c r="J13" s="32"/>
      <c r="K13" s="33"/>
      <c r="L13" s="47">
        <v>600.0</v>
      </c>
      <c r="M13" s="18">
        <f t="shared" si="1"/>
        <v>0</v>
      </c>
    </row>
    <row r="14">
      <c r="A14" s="41">
        <v>10.0</v>
      </c>
      <c r="B14" s="46" t="s">
        <v>778</v>
      </c>
      <c r="C14" s="46">
        <v>54046.0</v>
      </c>
      <c r="D14" s="46" t="s">
        <v>779</v>
      </c>
      <c r="E14" s="27"/>
      <c r="F14" s="28"/>
      <c r="G14" s="29"/>
      <c r="H14" s="30">
        <v>5150.0</v>
      </c>
      <c r="I14" s="31"/>
      <c r="J14" s="32"/>
      <c r="K14" s="33"/>
      <c r="L14" s="47">
        <v>5150.0</v>
      </c>
      <c r="M14" s="18">
        <f t="shared" si="1"/>
        <v>0</v>
      </c>
    </row>
    <row r="15">
      <c r="A15" s="41">
        <v>11.0</v>
      </c>
      <c r="B15" s="46" t="s">
        <v>780</v>
      </c>
      <c r="C15" s="46">
        <v>50871.0</v>
      </c>
      <c r="D15" s="46" t="s">
        <v>105</v>
      </c>
      <c r="E15" s="27"/>
      <c r="F15" s="28"/>
      <c r="G15" s="29"/>
      <c r="H15" s="30">
        <v>60700.0</v>
      </c>
      <c r="I15" s="31"/>
      <c r="J15" s="32"/>
      <c r="K15" s="33"/>
      <c r="L15" s="47">
        <v>60700.0</v>
      </c>
      <c r="M15" s="18">
        <f t="shared" si="1"/>
        <v>0</v>
      </c>
    </row>
    <row r="16">
      <c r="A16" s="41">
        <v>12.0</v>
      </c>
      <c r="B16" s="46" t="s">
        <v>781</v>
      </c>
      <c r="C16" s="46">
        <v>57271.0</v>
      </c>
      <c r="D16" s="46" t="s">
        <v>782</v>
      </c>
      <c r="E16" s="38">
        <v>3600.0</v>
      </c>
      <c r="F16" s="28"/>
      <c r="G16" s="29"/>
      <c r="H16" s="30"/>
      <c r="I16" s="31"/>
      <c r="J16" s="32"/>
      <c r="K16" s="33"/>
      <c r="L16" s="47">
        <v>3600.0</v>
      </c>
      <c r="M16" s="18">
        <f t="shared" si="1"/>
        <v>0</v>
      </c>
    </row>
    <row r="17">
      <c r="A17" s="41">
        <v>13.0</v>
      </c>
      <c r="B17" s="46" t="s">
        <v>783</v>
      </c>
      <c r="C17" s="46">
        <v>13781.0</v>
      </c>
      <c r="D17" s="46" t="s">
        <v>278</v>
      </c>
      <c r="E17" s="27"/>
      <c r="F17" s="28"/>
      <c r="G17" s="29"/>
      <c r="H17" s="30">
        <v>23750.0</v>
      </c>
      <c r="I17" s="31"/>
      <c r="J17" s="35"/>
      <c r="K17" s="33"/>
      <c r="L17" s="47">
        <v>23750.0</v>
      </c>
      <c r="M17" s="18">
        <f t="shared" si="1"/>
        <v>0</v>
      </c>
    </row>
    <row r="18">
      <c r="A18" s="41">
        <v>14.0</v>
      </c>
      <c r="B18" s="46" t="s">
        <v>784</v>
      </c>
      <c r="C18" s="46">
        <v>54899.0</v>
      </c>
      <c r="D18" s="46" t="s">
        <v>785</v>
      </c>
      <c r="E18" s="27"/>
      <c r="F18" s="28"/>
      <c r="G18" s="29"/>
      <c r="H18" s="30">
        <v>5000.0</v>
      </c>
      <c r="I18" s="31"/>
      <c r="J18" s="35"/>
      <c r="K18" s="33"/>
      <c r="L18" s="47">
        <v>5000.0</v>
      </c>
      <c r="M18" s="18">
        <f t="shared" si="1"/>
        <v>0</v>
      </c>
    </row>
    <row r="19">
      <c r="A19" s="41">
        <v>15.0</v>
      </c>
      <c r="B19" s="46" t="s">
        <v>786</v>
      </c>
      <c r="C19" s="46">
        <v>54899.0</v>
      </c>
      <c r="D19" s="46" t="s">
        <v>785</v>
      </c>
      <c r="E19" s="27"/>
      <c r="F19" s="37"/>
      <c r="G19" s="29"/>
      <c r="H19" s="30">
        <v>5000.0</v>
      </c>
      <c r="I19" s="31"/>
      <c r="J19" s="32"/>
      <c r="K19" s="33"/>
      <c r="L19" s="47">
        <v>5000.0</v>
      </c>
      <c r="M19" s="18">
        <f t="shared" si="1"/>
        <v>0</v>
      </c>
    </row>
    <row r="20">
      <c r="A20" s="41">
        <v>16.0</v>
      </c>
      <c r="B20" s="46" t="s">
        <v>787</v>
      </c>
      <c r="C20" s="46">
        <v>52647.0</v>
      </c>
      <c r="D20" s="46" t="s">
        <v>322</v>
      </c>
      <c r="E20" s="38"/>
      <c r="F20" s="28"/>
      <c r="G20" s="29"/>
      <c r="H20" s="30">
        <v>10200.0</v>
      </c>
      <c r="I20" s="31"/>
      <c r="J20" s="32"/>
      <c r="K20" s="33"/>
      <c r="L20" s="47">
        <v>10200.0</v>
      </c>
      <c r="M20" s="18">
        <f t="shared" si="1"/>
        <v>0</v>
      </c>
    </row>
    <row r="21">
      <c r="A21" s="41">
        <v>17.0</v>
      </c>
      <c r="B21" s="46" t="s">
        <v>788</v>
      </c>
      <c r="C21" s="46">
        <v>50436.0</v>
      </c>
      <c r="D21" s="46" t="s">
        <v>421</v>
      </c>
      <c r="E21" s="27"/>
      <c r="F21" s="28"/>
      <c r="G21" s="29"/>
      <c r="H21" s="30">
        <v>14980.0</v>
      </c>
      <c r="I21" s="31"/>
      <c r="J21" s="32"/>
      <c r="K21" s="33"/>
      <c r="L21" s="47">
        <v>14980.0</v>
      </c>
      <c r="M21" s="18">
        <f t="shared" si="1"/>
        <v>0</v>
      </c>
    </row>
    <row r="22">
      <c r="A22" s="41">
        <v>18.0</v>
      </c>
      <c r="B22" s="46" t="s">
        <v>789</v>
      </c>
      <c r="C22" s="46">
        <v>38007.0</v>
      </c>
      <c r="D22" s="46" t="s">
        <v>790</v>
      </c>
      <c r="E22" s="27"/>
      <c r="F22" s="28"/>
      <c r="G22" s="29"/>
      <c r="H22" s="30">
        <v>4440.0</v>
      </c>
      <c r="I22" s="31"/>
      <c r="J22" s="32"/>
      <c r="K22" s="33"/>
      <c r="L22" s="47">
        <v>4440.0</v>
      </c>
      <c r="M22" s="18">
        <f t="shared" si="1"/>
        <v>0</v>
      </c>
    </row>
    <row r="23">
      <c r="A23" s="41">
        <v>19.0</v>
      </c>
      <c r="B23" s="46" t="s">
        <v>791</v>
      </c>
      <c r="C23" s="46">
        <v>48343.0</v>
      </c>
      <c r="D23" s="46" t="s">
        <v>792</v>
      </c>
      <c r="E23" s="27"/>
      <c r="F23" s="37"/>
      <c r="G23" s="29"/>
      <c r="H23" s="30">
        <v>10000.0</v>
      </c>
      <c r="I23" s="31"/>
      <c r="J23" s="32"/>
      <c r="K23" s="33"/>
      <c r="L23" s="47">
        <v>10000.0</v>
      </c>
      <c r="M23" s="18">
        <f t="shared" si="1"/>
        <v>0</v>
      </c>
    </row>
    <row r="24">
      <c r="A24" s="41">
        <v>20.0</v>
      </c>
      <c r="B24" s="46" t="s">
        <v>793</v>
      </c>
      <c r="C24" s="46">
        <v>52993.0</v>
      </c>
      <c r="D24" s="46" t="s">
        <v>794</v>
      </c>
      <c r="E24" s="27"/>
      <c r="F24" s="37">
        <v>1400.0</v>
      </c>
      <c r="G24" s="29"/>
      <c r="H24" s="30"/>
      <c r="I24" s="31"/>
      <c r="J24" s="32"/>
      <c r="K24" s="33"/>
      <c r="L24" s="47">
        <v>1400.0</v>
      </c>
      <c r="M24" s="51">
        <v>0.0</v>
      </c>
    </row>
    <row r="25">
      <c r="A25" s="41">
        <v>21.0</v>
      </c>
      <c r="B25" s="46" t="s">
        <v>795</v>
      </c>
      <c r="C25" s="46">
        <v>48052.0</v>
      </c>
      <c r="D25" s="46" t="s">
        <v>796</v>
      </c>
      <c r="E25" s="27"/>
      <c r="F25" s="37"/>
      <c r="G25" s="29"/>
      <c r="H25" s="30">
        <v>2500.0</v>
      </c>
      <c r="I25" s="31"/>
      <c r="J25" s="32"/>
      <c r="K25" s="33"/>
      <c r="L25" s="47">
        <v>2500.0</v>
      </c>
      <c r="M25" s="18">
        <f t="shared" ref="M25:M61" si="2">SUM(E25+F25+G25+H25+I25+J25+K25-L25)</f>
        <v>0</v>
      </c>
    </row>
    <row r="26">
      <c r="A26" s="41">
        <v>22.0</v>
      </c>
      <c r="B26" s="46" t="s">
        <v>797</v>
      </c>
      <c r="C26" s="46">
        <v>52727.0</v>
      </c>
      <c r="D26" s="46" t="s">
        <v>798</v>
      </c>
      <c r="E26" s="27"/>
      <c r="F26" s="37"/>
      <c r="G26" s="29"/>
      <c r="H26" s="30">
        <v>2650.0</v>
      </c>
      <c r="I26" s="36"/>
      <c r="J26" s="32"/>
      <c r="K26" s="33"/>
      <c r="L26" s="47">
        <v>2650.0</v>
      </c>
      <c r="M26" s="18">
        <f t="shared" si="2"/>
        <v>0</v>
      </c>
    </row>
    <row r="27">
      <c r="A27" s="41">
        <v>23.0</v>
      </c>
      <c r="B27" s="46" t="s">
        <v>799</v>
      </c>
      <c r="C27" s="46">
        <v>55179.0</v>
      </c>
      <c r="D27" s="46" t="s">
        <v>662</v>
      </c>
      <c r="E27" s="38"/>
      <c r="F27" s="28"/>
      <c r="G27" s="29"/>
      <c r="H27" s="30">
        <v>2450.0</v>
      </c>
      <c r="I27" s="31"/>
      <c r="J27" s="32"/>
      <c r="K27" s="33"/>
      <c r="L27" s="47">
        <v>2450.0</v>
      </c>
      <c r="M27" s="18">
        <f t="shared" si="2"/>
        <v>0</v>
      </c>
    </row>
    <row r="28">
      <c r="A28" s="41">
        <v>24.0</v>
      </c>
      <c r="B28" s="46" t="s">
        <v>800</v>
      </c>
      <c r="C28" s="46">
        <v>50557.0</v>
      </c>
      <c r="D28" s="46" t="s">
        <v>94</v>
      </c>
      <c r="E28" s="27"/>
      <c r="F28" s="37"/>
      <c r="G28" s="29"/>
      <c r="H28" s="30">
        <v>1250.0</v>
      </c>
      <c r="I28" s="31"/>
      <c r="J28" s="35"/>
      <c r="K28" s="33"/>
      <c r="L28" s="47">
        <v>1250.0</v>
      </c>
      <c r="M28" s="18">
        <f t="shared" si="2"/>
        <v>0</v>
      </c>
    </row>
    <row r="29">
      <c r="A29" s="41">
        <v>25.0</v>
      </c>
      <c r="B29" s="46" t="s">
        <v>801</v>
      </c>
      <c r="C29" s="46">
        <v>53829.0</v>
      </c>
      <c r="D29" s="46" t="s">
        <v>802</v>
      </c>
      <c r="E29" s="27"/>
      <c r="F29" s="28"/>
      <c r="G29" s="29"/>
      <c r="H29" s="30">
        <v>700.0</v>
      </c>
      <c r="I29" s="31"/>
      <c r="J29" s="32"/>
      <c r="K29" s="33"/>
      <c r="L29" s="47">
        <v>700.0</v>
      </c>
      <c r="M29" s="18">
        <f t="shared" si="2"/>
        <v>0</v>
      </c>
    </row>
    <row r="30">
      <c r="A30" s="41">
        <v>26.0</v>
      </c>
      <c r="B30" s="46" t="s">
        <v>803</v>
      </c>
      <c r="C30" s="46">
        <v>13762.0</v>
      </c>
      <c r="D30" s="46" t="s">
        <v>356</v>
      </c>
      <c r="E30" s="27"/>
      <c r="F30" s="37">
        <v>3600.0</v>
      </c>
      <c r="G30" s="29"/>
      <c r="H30" s="30"/>
      <c r="I30" s="31"/>
      <c r="J30" s="32"/>
      <c r="K30" s="33"/>
      <c r="L30" s="47">
        <v>3600.0</v>
      </c>
      <c r="M30" s="18">
        <f t="shared" si="2"/>
        <v>0</v>
      </c>
    </row>
    <row r="31">
      <c r="A31" s="41">
        <v>27.0</v>
      </c>
      <c r="B31" s="46" t="s">
        <v>804</v>
      </c>
      <c r="C31" s="46">
        <v>13762.0</v>
      </c>
      <c r="D31" s="46" t="s">
        <v>356</v>
      </c>
      <c r="E31" s="27"/>
      <c r="F31" s="37">
        <v>5000.0</v>
      </c>
      <c r="G31" s="29"/>
      <c r="H31" s="30"/>
      <c r="I31" s="31"/>
      <c r="J31" s="32"/>
      <c r="K31" s="33"/>
      <c r="L31" s="47">
        <v>5000.0</v>
      </c>
      <c r="M31" s="18">
        <f t="shared" si="2"/>
        <v>0</v>
      </c>
    </row>
    <row r="32">
      <c r="A32" s="41">
        <v>28.0</v>
      </c>
      <c r="B32" s="46" t="s">
        <v>805</v>
      </c>
      <c r="C32" s="46">
        <v>56980.0</v>
      </c>
      <c r="D32" s="46" t="s">
        <v>500</v>
      </c>
      <c r="E32" s="27"/>
      <c r="F32" s="37">
        <v>44050.0</v>
      </c>
      <c r="G32" s="29"/>
      <c r="H32" s="30"/>
      <c r="I32" s="31"/>
      <c r="J32" s="32"/>
      <c r="K32" s="33"/>
      <c r="L32" s="47">
        <v>44050.0</v>
      </c>
      <c r="M32" s="18">
        <f t="shared" si="2"/>
        <v>0</v>
      </c>
    </row>
    <row r="33">
      <c r="A33" s="41">
        <v>29.0</v>
      </c>
      <c r="B33" s="46" t="s">
        <v>806</v>
      </c>
      <c r="C33" s="46">
        <v>50436.0</v>
      </c>
      <c r="D33" s="46" t="s">
        <v>421</v>
      </c>
      <c r="E33" s="27"/>
      <c r="F33" s="37">
        <v>15000.0</v>
      </c>
      <c r="G33" s="29"/>
      <c r="H33" s="30"/>
      <c r="I33" s="31"/>
      <c r="J33" s="32"/>
      <c r="K33" s="33"/>
      <c r="L33" s="47">
        <v>15000.0</v>
      </c>
      <c r="M33" s="18">
        <f t="shared" si="2"/>
        <v>0</v>
      </c>
    </row>
    <row r="34">
      <c r="A34" s="41">
        <v>30.0</v>
      </c>
      <c r="B34" s="46" t="s">
        <v>807</v>
      </c>
      <c r="C34" s="46">
        <v>13762.0</v>
      </c>
      <c r="D34" s="46" t="s">
        <v>356</v>
      </c>
      <c r="E34" s="38">
        <v>250.0</v>
      </c>
      <c r="F34" s="28"/>
      <c r="G34" s="29"/>
      <c r="H34" s="30"/>
      <c r="I34" s="31"/>
      <c r="J34" s="35"/>
      <c r="K34" s="33"/>
      <c r="L34" s="47">
        <v>250.0</v>
      </c>
      <c r="M34" s="18">
        <f t="shared" si="2"/>
        <v>0</v>
      </c>
    </row>
    <row r="35">
      <c r="A35" s="41">
        <v>31.0</v>
      </c>
      <c r="B35" s="46" t="s">
        <v>808</v>
      </c>
      <c r="C35" s="46">
        <v>10008.0</v>
      </c>
      <c r="D35" s="46" t="s">
        <v>78</v>
      </c>
      <c r="E35" s="27"/>
      <c r="F35" s="28"/>
      <c r="G35" s="29"/>
      <c r="H35" s="30">
        <v>5000.0</v>
      </c>
      <c r="I35" s="31"/>
      <c r="J35" s="32"/>
      <c r="K35" s="33"/>
      <c r="L35" s="47">
        <v>5000.0</v>
      </c>
      <c r="M35" s="18">
        <f t="shared" si="2"/>
        <v>0</v>
      </c>
    </row>
    <row r="36">
      <c r="A36" s="41">
        <v>32.0</v>
      </c>
      <c r="B36" s="46" t="s">
        <v>809</v>
      </c>
      <c r="C36" s="46">
        <v>51406.0</v>
      </c>
      <c r="D36" s="46" t="s">
        <v>18</v>
      </c>
      <c r="E36" s="27"/>
      <c r="F36" s="28"/>
      <c r="G36" s="29"/>
      <c r="H36" s="30"/>
      <c r="I36" s="31">
        <v>10150.0</v>
      </c>
      <c r="J36" s="32"/>
      <c r="K36" s="33"/>
      <c r="L36" s="47">
        <v>10150.0</v>
      </c>
      <c r="M36" s="18">
        <f t="shared" si="2"/>
        <v>0</v>
      </c>
    </row>
    <row r="37">
      <c r="A37" s="41">
        <v>33.0</v>
      </c>
      <c r="B37" s="46" t="s">
        <v>810</v>
      </c>
      <c r="C37" s="46">
        <v>56387.0</v>
      </c>
      <c r="D37" s="46" t="s">
        <v>811</v>
      </c>
      <c r="E37" s="27"/>
      <c r="F37" s="28"/>
      <c r="G37" s="29"/>
      <c r="H37" s="30"/>
      <c r="I37" s="31">
        <v>55080.0</v>
      </c>
      <c r="J37" s="32"/>
      <c r="K37" s="33"/>
      <c r="L37" s="47">
        <v>55080.0</v>
      </c>
      <c r="M37" s="18">
        <f t="shared" si="2"/>
        <v>0</v>
      </c>
    </row>
    <row r="38">
      <c r="A38" s="41">
        <v>34.0</v>
      </c>
      <c r="B38" s="46" t="s">
        <v>812</v>
      </c>
      <c r="C38" s="46">
        <v>35227.0</v>
      </c>
      <c r="D38" s="46" t="s">
        <v>386</v>
      </c>
      <c r="E38" s="27"/>
      <c r="F38" s="28"/>
      <c r="G38" s="29"/>
      <c r="H38" s="30">
        <v>1250.0</v>
      </c>
      <c r="I38" s="31"/>
      <c r="J38" s="32"/>
      <c r="K38" s="33"/>
      <c r="L38" s="47">
        <v>1250.0</v>
      </c>
      <c r="M38" s="18">
        <f t="shared" si="2"/>
        <v>0</v>
      </c>
    </row>
    <row r="39">
      <c r="A39" s="41">
        <v>35.0</v>
      </c>
      <c r="B39" s="46" t="s">
        <v>813</v>
      </c>
      <c r="C39" s="46">
        <v>31927.0</v>
      </c>
      <c r="D39" s="46" t="s">
        <v>183</v>
      </c>
      <c r="E39" s="38">
        <v>1750.0</v>
      </c>
      <c r="F39" s="28"/>
      <c r="G39" s="29"/>
      <c r="H39" s="30">
        <v>2000.0</v>
      </c>
      <c r="I39" s="31"/>
      <c r="J39" s="35"/>
      <c r="K39" s="33"/>
      <c r="L39" s="47">
        <v>3750.0</v>
      </c>
      <c r="M39" s="18">
        <f t="shared" si="2"/>
        <v>0</v>
      </c>
    </row>
    <row r="40">
      <c r="A40" s="41">
        <v>36.0</v>
      </c>
      <c r="B40" s="46" t="s">
        <v>814</v>
      </c>
      <c r="C40" s="46">
        <v>37642.0</v>
      </c>
      <c r="D40" s="46" t="s">
        <v>482</v>
      </c>
      <c r="E40" s="27"/>
      <c r="F40" s="37">
        <v>17500.0</v>
      </c>
      <c r="G40" s="29"/>
      <c r="H40" s="30">
        <v>15000.0</v>
      </c>
      <c r="I40" s="36"/>
      <c r="J40" s="32"/>
      <c r="K40" s="33"/>
      <c r="L40" s="47">
        <v>32500.0</v>
      </c>
      <c r="M40" s="18">
        <f t="shared" si="2"/>
        <v>0</v>
      </c>
    </row>
    <row r="41">
      <c r="A41" s="41">
        <v>37.0</v>
      </c>
      <c r="B41" s="46" t="s">
        <v>815</v>
      </c>
      <c r="C41" s="46">
        <v>48387.0</v>
      </c>
      <c r="D41" s="46" t="s">
        <v>816</v>
      </c>
      <c r="E41" s="27"/>
      <c r="F41" s="28"/>
      <c r="G41" s="29"/>
      <c r="H41" s="30">
        <v>2650.0</v>
      </c>
      <c r="I41" s="31"/>
      <c r="J41" s="35"/>
      <c r="K41" s="33"/>
      <c r="L41" s="47">
        <v>2650.0</v>
      </c>
      <c r="M41" s="18">
        <f t="shared" si="2"/>
        <v>0</v>
      </c>
    </row>
    <row r="42">
      <c r="A42" s="41">
        <v>38.0</v>
      </c>
      <c r="B42" s="46" t="s">
        <v>817</v>
      </c>
      <c r="C42" s="46">
        <v>50595.0</v>
      </c>
      <c r="D42" s="46" t="s">
        <v>158</v>
      </c>
      <c r="E42" s="27"/>
      <c r="F42" s="28"/>
      <c r="G42" s="29"/>
      <c r="H42" s="30">
        <v>20000.0</v>
      </c>
      <c r="I42" s="36"/>
      <c r="J42" s="35"/>
      <c r="K42" s="33"/>
      <c r="L42" s="47">
        <v>20000.0</v>
      </c>
      <c r="M42" s="18">
        <f t="shared" si="2"/>
        <v>0</v>
      </c>
    </row>
    <row r="43">
      <c r="A43" s="41">
        <v>39.0</v>
      </c>
      <c r="B43" s="46" t="s">
        <v>818</v>
      </c>
      <c r="C43" s="46">
        <v>46778.0</v>
      </c>
      <c r="D43" s="46" t="s">
        <v>109</v>
      </c>
      <c r="E43" s="27"/>
      <c r="F43" s="28"/>
      <c r="G43" s="29"/>
      <c r="H43" s="30"/>
      <c r="I43" s="31">
        <v>5300.0</v>
      </c>
      <c r="J43" s="32"/>
      <c r="K43" s="33"/>
      <c r="L43" s="47">
        <v>5300.0</v>
      </c>
      <c r="M43" s="18">
        <f t="shared" si="2"/>
        <v>0</v>
      </c>
    </row>
    <row r="44">
      <c r="A44" s="41">
        <v>40.0</v>
      </c>
      <c r="B44" s="46" t="s">
        <v>819</v>
      </c>
      <c r="C44" s="46">
        <v>48631.0</v>
      </c>
      <c r="D44" s="46" t="s">
        <v>118</v>
      </c>
      <c r="E44" s="27"/>
      <c r="F44" s="37">
        <v>7650.0</v>
      </c>
      <c r="G44" s="29"/>
      <c r="H44" s="30"/>
      <c r="I44" s="31"/>
      <c r="J44" s="32"/>
      <c r="K44" s="33"/>
      <c r="L44" s="47">
        <v>7650.0</v>
      </c>
      <c r="M44" s="18">
        <f t="shared" si="2"/>
        <v>0</v>
      </c>
    </row>
    <row r="45">
      <c r="A45" s="41">
        <v>41.0</v>
      </c>
      <c r="B45" s="46" t="s">
        <v>820</v>
      </c>
      <c r="C45" s="46">
        <v>50221.0</v>
      </c>
      <c r="D45" s="46" t="s">
        <v>252</v>
      </c>
      <c r="E45" s="27"/>
      <c r="F45" s="28"/>
      <c r="G45" s="29"/>
      <c r="H45" s="30">
        <v>246.0</v>
      </c>
      <c r="I45" s="31"/>
      <c r="J45" s="32"/>
      <c r="K45" s="33"/>
      <c r="L45" s="47">
        <v>246.0</v>
      </c>
      <c r="M45" s="18">
        <f t="shared" si="2"/>
        <v>0</v>
      </c>
    </row>
    <row r="46">
      <c r="A46" s="41">
        <v>42.0</v>
      </c>
      <c r="B46" s="46" t="s">
        <v>821</v>
      </c>
      <c r="C46" s="46">
        <v>21818.0</v>
      </c>
      <c r="D46" s="46" t="s">
        <v>69</v>
      </c>
      <c r="E46" s="27"/>
      <c r="F46" s="37"/>
      <c r="G46" s="29"/>
      <c r="H46" s="30"/>
      <c r="I46" s="31"/>
      <c r="J46" s="35">
        <v>3750.0</v>
      </c>
      <c r="K46" s="33"/>
      <c r="L46" s="47">
        <v>3750.0</v>
      </c>
      <c r="M46" s="18">
        <f t="shared" si="2"/>
        <v>0</v>
      </c>
    </row>
    <row r="47">
      <c r="A47" s="41">
        <v>43.0</v>
      </c>
      <c r="B47" s="46" t="s">
        <v>822</v>
      </c>
      <c r="C47" s="46">
        <v>52973.0</v>
      </c>
      <c r="D47" s="46" t="s">
        <v>823</v>
      </c>
      <c r="E47" s="27"/>
      <c r="F47" s="37"/>
      <c r="G47" s="29"/>
      <c r="H47" s="30">
        <v>27000.0</v>
      </c>
      <c r="I47" s="31"/>
      <c r="J47" s="32"/>
      <c r="K47" s="33"/>
      <c r="L47" s="47">
        <v>27000.0</v>
      </c>
      <c r="M47" s="18">
        <f t="shared" si="2"/>
        <v>0</v>
      </c>
    </row>
    <row r="48">
      <c r="A48" s="41">
        <v>44.0</v>
      </c>
      <c r="B48" s="46" t="s">
        <v>824</v>
      </c>
      <c r="C48" s="46">
        <v>49655.0</v>
      </c>
      <c r="D48" s="46" t="s">
        <v>208</v>
      </c>
      <c r="E48" s="27"/>
      <c r="F48" s="28"/>
      <c r="G48" s="29"/>
      <c r="H48" s="30"/>
      <c r="I48" s="31">
        <v>700.0</v>
      </c>
      <c r="J48" s="32"/>
      <c r="K48" s="33"/>
      <c r="L48" s="47">
        <v>700.0</v>
      </c>
      <c r="M48" s="18">
        <f t="shared" si="2"/>
        <v>0</v>
      </c>
    </row>
    <row r="49">
      <c r="A49" s="41">
        <v>45.0</v>
      </c>
      <c r="B49" s="46" t="s">
        <v>825</v>
      </c>
      <c r="C49" s="46">
        <v>48072.0</v>
      </c>
      <c r="D49" s="46" t="s">
        <v>554</v>
      </c>
      <c r="E49" s="27"/>
      <c r="F49" s="28"/>
      <c r="G49" s="29"/>
      <c r="H49" s="30">
        <v>8800.0</v>
      </c>
      <c r="I49" s="31"/>
      <c r="J49" s="32"/>
      <c r="K49" s="33"/>
      <c r="L49" s="47">
        <v>8800.0</v>
      </c>
      <c r="M49" s="18">
        <f t="shared" si="2"/>
        <v>0</v>
      </c>
    </row>
    <row r="50">
      <c r="A50" s="41">
        <v>46.0</v>
      </c>
      <c r="B50" s="46" t="s">
        <v>826</v>
      </c>
      <c r="C50" s="46">
        <v>25543.0</v>
      </c>
      <c r="D50" s="46" t="s">
        <v>827</v>
      </c>
      <c r="E50" s="27"/>
      <c r="F50" s="37">
        <v>8400.0</v>
      </c>
      <c r="G50" s="29"/>
      <c r="H50" s="30"/>
      <c r="I50" s="31"/>
      <c r="J50" s="32"/>
      <c r="K50" s="33"/>
      <c r="L50" s="47">
        <v>8400.0</v>
      </c>
      <c r="M50" s="18">
        <f t="shared" si="2"/>
        <v>0</v>
      </c>
    </row>
    <row r="51">
      <c r="A51" s="41">
        <v>47.0</v>
      </c>
      <c r="B51" s="46" t="s">
        <v>828</v>
      </c>
      <c r="C51" s="46">
        <v>21818.0</v>
      </c>
      <c r="D51" s="46" t="s">
        <v>69</v>
      </c>
      <c r="E51" s="38">
        <v>200.0</v>
      </c>
      <c r="F51" s="28"/>
      <c r="G51" s="29"/>
      <c r="H51" s="30"/>
      <c r="I51" s="31"/>
      <c r="J51" s="32"/>
      <c r="K51" s="33"/>
      <c r="L51" s="47">
        <v>200.0</v>
      </c>
      <c r="M51" s="18">
        <f t="shared" si="2"/>
        <v>0</v>
      </c>
    </row>
    <row r="52">
      <c r="A52" s="41">
        <v>48.0</v>
      </c>
      <c r="B52" s="46" t="s">
        <v>829</v>
      </c>
      <c r="C52" s="46">
        <v>10001.0</v>
      </c>
      <c r="D52" s="46" t="s">
        <v>218</v>
      </c>
      <c r="E52" s="38">
        <v>200.0</v>
      </c>
      <c r="F52" s="28"/>
      <c r="G52" s="39"/>
      <c r="H52" s="30"/>
      <c r="I52" s="36"/>
      <c r="J52" s="32"/>
      <c r="K52" s="33"/>
      <c r="L52" s="47">
        <v>200.0</v>
      </c>
      <c r="M52" s="18">
        <f t="shared" si="2"/>
        <v>0</v>
      </c>
    </row>
    <row r="53">
      <c r="A53" s="41">
        <v>49.0</v>
      </c>
      <c r="B53" s="46" t="s">
        <v>830</v>
      </c>
      <c r="C53" s="46">
        <v>46778.0</v>
      </c>
      <c r="D53" s="46" t="s">
        <v>109</v>
      </c>
      <c r="E53" s="27"/>
      <c r="F53" s="37"/>
      <c r="G53" s="29"/>
      <c r="H53" s="30"/>
      <c r="I53" s="31">
        <v>5150.0</v>
      </c>
      <c r="J53" s="32"/>
      <c r="K53" s="33"/>
      <c r="L53" s="47">
        <v>5150.0</v>
      </c>
      <c r="M53" s="18">
        <f t="shared" si="2"/>
        <v>0</v>
      </c>
    </row>
    <row r="54">
      <c r="A54" s="41">
        <v>50.0</v>
      </c>
      <c r="B54" s="46" t="s">
        <v>831</v>
      </c>
      <c r="C54" s="46">
        <v>25376.0</v>
      </c>
      <c r="D54" s="46" t="s">
        <v>192</v>
      </c>
      <c r="E54" s="27"/>
      <c r="F54" s="37">
        <v>2500.0</v>
      </c>
      <c r="G54" s="29"/>
      <c r="H54" s="30"/>
      <c r="I54" s="31"/>
      <c r="J54" s="32"/>
      <c r="K54" s="33"/>
      <c r="L54" s="47">
        <v>2500.0</v>
      </c>
      <c r="M54" s="18">
        <f t="shared" si="2"/>
        <v>0</v>
      </c>
    </row>
    <row r="55">
      <c r="A55" s="41">
        <v>51.0</v>
      </c>
      <c r="B55" s="46" t="s">
        <v>832</v>
      </c>
      <c r="C55" s="46">
        <v>28414.0</v>
      </c>
      <c r="D55" s="46" t="s">
        <v>833</v>
      </c>
      <c r="E55" s="27"/>
      <c r="F55" s="28"/>
      <c r="G55" s="29"/>
      <c r="H55" s="30">
        <v>5557.0</v>
      </c>
      <c r="I55" s="31"/>
      <c r="J55" s="32"/>
      <c r="K55" s="33"/>
      <c r="L55" s="47">
        <v>5557.0</v>
      </c>
      <c r="M55" s="18">
        <f t="shared" si="2"/>
        <v>0</v>
      </c>
    </row>
    <row r="56">
      <c r="A56" s="41">
        <v>52.0</v>
      </c>
      <c r="B56" s="46" t="s">
        <v>834</v>
      </c>
      <c r="C56" s="46">
        <v>28414.0</v>
      </c>
      <c r="D56" s="46" t="s">
        <v>833</v>
      </c>
      <c r="E56" s="27"/>
      <c r="F56" s="37"/>
      <c r="G56" s="29"/>
      <c r="H56" s="30">
        <v>5000.0</v>
      </c>
      <c r="I56" s="31"/>
      <c r="J56" s="32"/>
      <c r="K56" s="33"/>
      <c r="L56" s="47">
        <v>5000.0</v>
      </c>
      <c r="M56" s="18">
        <f t="shared" si="2"/>
        <v>0</v>
      </c>
    </row>
    <row r="57">
      <c r="A57" s="41">
        <v>53.0</v>
      </c>
      <c r="B57" s="46" t="s">
        <v>835</v>
      </c>
      <c r="C57" s="46">
        <v>48338.0</v>
      </c>
      <c r="D57" s="46" t="s">
        <v>836</v>
      </c>
      <c r="E57" s="27"/>
      <c r="F57" s="28"/>
      <c r="G57" s="29"/>
      <c r="H57" s="30">
        <v>5000.0</v>
      </c>
      <c r="I57" s="31"/>
      <c r="J57" s="32"/>
      <c r="K57" s="33"/>
      <c r="L57" s="47">
        <v>5000.0</v>
      </c>
      <c r="M57" s="18">
        <f t="shared" si="2"/>
        <v>0</v>
      </c>
    </row>
    <row r="58">
      <c r="A58" s="41">
        <v>54.0</v>
      </c>
      <c r="B58" s="46" t="s">
        <v>837</v>
      </c>
      <c r="C58" s="46">
        <v>48338.0</v>
      </c>
      <c r="D58" s="46" t="s">
        <v>836</v>
      </c>
      <c r="E58" s="27"/>
      <c r="F58" s="28"/>
      <c r="G58" s="29"/>
      <c r="H58" s="30">
        <v>5000.0</v>
      </c>
      <c r="I58" s="31"/>
      <c r="J58" s="35"/>
      <c r="K58" s="33"/>
      <c r="L58" s="47">
        <v>5000.0</v>
      </c>
      <c r="M58" s="18">
        <f t="shared" si="2"/>
        <v>0</v>
      </c>
    </row>
    <row r="59">
      <c r="A59" s="41">
        <v>55.0</v>
      </c>
      <c r="B59" s="46" t="s">
        <v>838</v>
      </c>
      <c r="C59" s="46">
        <v>46778.0</v>
      </c>
      <c r="D59" s="46" t="s">
        <v>109</v>
      </c>
      <c r="E59" s="27"/>
      <c r="F59" s="28"/>
      <c r="G59" s="29"/>
      <c r="H59" s="30"/>
      <c r="I59" s="31">
        <v>2950.0</v>
      </c>
      <c r="J59" s="32"/>
      <c r="K59" s="33"/>
      <c r="L59" s="47">
        <v>2950.0</v>
      </c>
      <c r="M59" s="18">
        <f t="shared" si="2"/>
        <v>0</v>
      </c>
    </row>
    <row r="60">
      <c r="A60" s="41">
        <v>56.0</v>
      </c>
      <c r="B60" s="46" t="s">
        <v>839</v>
      </c>
      <c r="C60" s="46">
        <v>49384.0</v>
      </c>
      <c r="D60" s="46" t="s">
        <v>840</v>
      </c>
      <c r="E60" s="27"/>
      <c r="F60" s="28"/>
      <c r="G60" s="29"/>
      <c r="H60" s="30">
        <v>3600.0</v>
      </c>
      <c r="I60" s="31"/>
      <c r="J60" s="32"/>
      <c r="K60" s="33"/>
      <c r="L60" s="47">
        <v>3600.0</v>
      </c>
      <c r="M60" s="18">
        <f t="shared" si="2"/>
        <v>0</v>
      </c>
    </row>
    <row r="61">
      <c r="A61" s="41">
        <v>57.0</v>
      </c>
      <c r="B61" s="46" t="s">
        <v>841</v>
      </c>
      <c r="C61" s="46">
        <v>50221.0</v>
      </c>
      <c r="D61" s="46" t="s">
        <v>252</v>
      </c>
      <c r="E61" s="38"/>
      <c r="F61" s="37"/>
      <c r="G61" s="39">
        <v>2850.0</v>
      </c>
      <c r="H61" s="30"/>
      <c r="I61" s="31"/>
      <c r="J61" s="32"/>
      <c r="K61" s="33"/>
      <c r="L61" s="47">
        <v>2850.0</v>
      </c>
      <c r="M61" s="18">
        <f t="shared" si="2"/>
        <v>0</v>
      </c>
    </row>
    <row r="62">
      <c r="A62" s="41"/>
      <c r="B62" s="45"/>
      <c r="C62" s="45"/>
      <c r="D62" s="44"/>
      <c r="E62" s="22">
        <f t="shared" ref="E62:M62" si="3">SUM(E5:E61)</f>
        <v>6000</v>
      </c>
      <c r="F62" s="22">
        <f t="shared" si="3"/>
        <v>105100</v>
      </c>
      <c r="G62" s="22">
        <f t="shared" si="3"/>
        <v>2850</v>
      </c>
      <c r="H62" s="22">
        <f t="shared" si="3"/>
        <v>261473</v>
      </c>
      <c r="I62" s="22">
        <f t="shared" si="3"/>
        <v>96160</v>
      </c>
      <c r="J62" s="22">
        <f t="shared" si="3"/>
        <v>3750</v>
      </c>
      <c r="K62" s="22">
        <f t="shared" si="3"/>
        <v>0</v>
      </c>
      <c r="L62" s="22">
        <f t="shared" si="3"/>
        <v>475333</v>
      </c>
      <c r="M62" s="18">
        <f t="shared" si="3"/>
        <v>0</v>
      </c>
    </row>
    <row r="63">
      <c r="A63" s="23"/>
      <c r="B63" s="23"/>
      <c r="C63" s="23"/>
      <c r="D63" s="23"/>
      <c r="E63" s="24">
        <v>475333.0</v>
      </c>
      <c r="F63" s="6"/>
      <c r="G63" s="6"/>
      <c r="H63" s="6"/>
      <c r="I63" s="6"/>
      <c r="J63" s="6"/>
      <c r="K63" s="7"/>
      <c r="L63" s="25"/>
      <c r="M63" s="23"/>
    </row>
    <row r="64">
      <c r="L64" s="40" t="s">
        <v>254</v>
      </c>
    </row>
  </sheetData>
  <mergeCells count="14">
    <mergeCell ref="F3:G3"/>
    <mergeCell ref="H3:I3"/>
    <mergeCell ref="J3:J4"/>
    <mergeCell ref="K3:K4"/>
    <mergeCell ref="E63:K63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5"/>
    <col customWidth="1" min="2" max="2" width="24.75"/>
    <col customWidth="1" min="4" max="4" width="43.25"/>
    <col customWidth="1" min="5" max="5" width="9.5"/>
  </cols>
  <sheetData>
    <row r="1">
      <c r="A1" s="1" t="s">
        <v>842</v>
      </c>
    </row>
    <row r="2">
      <c r="A2" s="2" t="s">
        <v>1</v>
      </c>
      <c r="B2" s="3" t="s">
        <v>2</v>
      </c>
      <c r="C2" s="2" t="s">
        <v>3</v>
      </c>
      <c r="D2" s="4" t="s">
        <v>4</v>
      </c>
      <c r="E2" s="5" t="s">
        <v>5</v>
      </c>
      <c r="F2" s="6"/>
      <c r="G2" s="6"/>
      <c r="H2" s="6"/>
      <c r="I2" s="6"/>
      <c r="J2" s="6"/>
      <c r="K2" s="6"/>
      <c r="L2" s="6"/>
      <c r="M2" s="7"/>
    </row>
    <row r="3">
      <c r="A3" s="8"/>
      <c r="B3" s="8"/>
      <c r="C3" s="8"/>
      <c r="D3" s="8"/>
      <c r="E3" s="2" t="s">
        <v>6</v>
      </c>
      <c r="F3" s="5" t="s">
        <v>7</v>
      </c>
      <c r="G3" s="7"/>
      <c r="H3" s="5" t="s">
        <v>8</v>
      </c>
      <c r="I3" s="7"/>
      <c r="J3" s="2" t="s">
        <v>9</v>
      </c>
      <c r="K3" s="4" t="s">
        <v>10</v>
      </c>
      <c r="L3" s="2" t="s">
        <v>11</v>
      </c>
      <c r="M3" s="2" t="s">
        <v>12</v>
      </c>
    </row>
    <row r="4">
      <c r="A4" s="9"/>
      <c r="B4" s="9"/>
      <c r="C4" s="9"/>
      <c r="D4" s="9"/>
      <c r="E4" s="9"/>
      <c r="F4" s="10" t="s">
        <v>13</v>
      </c>
      <c r="G4" s="10" t="s">
        <v>14</v>
      </c>
      <c r="H4" s="10" t="s">
        <v>15</v>
      </c>
      <c r="I4" s="11" t="s">
        <v>16</v>
      </c>
      <c r="J4" s="9"/>
      <c r="K4" s="9"/>
      <c r="L4" s="9"/>
      <c r="M4" s="9"/>
    </row>
    <row r="5">
      <c r="A5" s="41">
        <v>1.0</v>
      </c>
      <c r="B5" s="46" t="s">
        <v>843</v>
      </c>
      <c r="C5" s="46">
        <v>22332.0</v>
      </c>
      <c r="D5" s="46" t="s">
        <v>138</v>
      </c>
      <c r="E5" s="27"/>
      <c r="F5" s="28"/>
      <c r="G5" s="29"/>
      <c r="H5" s="30">
        <v>600.0</v>
      </c>
      <c r="I5" s="31"/>
      <c r="J5" s="32"/>
      <c r="K5" s="33"/>
      <c r="L5" s="52">
        <v>600.0</v>
      </c>
      <c r="M5" s="18">
        <f t="shared" ref="M5:M101" si="1">SUM(E5+F5+G5+H5+I5+J5+K5-L5)</f>
        <v>0</v>
      </c>
    </row>
    <row r="6">
      <c r="A6" s="41">
        <v>2.0</v>
      </c>
      <c r="B6" s="46" t="s">
        <v>844</v>
      </c>
      <c r="C6" s="46">
        <v>10249.0</v>
      </c>
      <c r="D6" s="46" t="s">
        <v>737</v>
      </c>
      <c r="E6" s="27"/>
      <c r="F6" s="28"/>
      <c r="G6" s="29"/>
      <c r="H6" s="34"/>
      <c r="I6" s="31">
        <v>1950.0</v>
      </c>
      <c r="J6" s="35"/>
      <c r="K6" s="33"/>
      <c r="L6" s="52">
        <v>1950.0</v>
      </c>
      <c r="M6" s="18">
        <f t="shared" si="1"/>
        <v>0</v>
      </c>
    </row>
    <row r="7">
      <c r="A7" s="41">
        <v>3.0</v>
      </c>
      <c r="B7" s="46" t="s">
        <v>845</v>
      </c>
      <c r="C7" s="46">
        <v>51946.0</v>
      </c>
      <c r="D7" s="46" t="s">
        <v>846</v>
      </c>
      <c r="E7" s="27"/>
      <c r="F7" s="28"/>
      <c r="G7" s="29"/>
      <c r="H7" s="30">
        <v>5000.0</v>
      </c>
      <c r="I7" s="31"/>
      <c r="J7" s="32"/>
      <c r="K7" s="33"/>
      <c r="L7" s="52">
        <v>5000.0</v>
      </c>
      <c r="M7" s="18">
        <f t="shared" si="1"/>
        <v>0</v>
      </c>
    </row>
    <row r="8">
      <c r="A8" s="41">
        <v>4.0</v>
      </c>
      <c r="B8" s="46" t="s">
        <v>847</v>
      </c>
      <c r="C8" s="46">
        <v>45096.0</v>
      </c>
      <c r="D8" s="46" t="s">
        <v>290</v>
      </c>
      <c r="E8" s="27"/>
      <c r="F8" s="28"/>
      <c r="G8" s="29"/>
      <c r="H8" s="30">
        <v>3550.0</v>
      </c>
      <c r="I8" s="31"/>
      <c r="J8" s="32"/>
      <c r="K8" s="33"/>
      <c r="L8" s="52">
        <v>3550.0</v>
      </c>
      <c r="M8" s="18">
        <f t="shared" si="1"/>
        <v>0</v>
      </c>
    </row>
    <row r="9">
      <c r="A9" s="41">
        <v>5.0</v>
      </c>
      <c r="B9" s="46" t="s">
        <v>848</v>
      </c>
      <c r="C9" s="46">
        <v>48282.0</v>
      </c>
      <c r="D9" s="46" t="s">
        <v>849</v>
      </c>
      <c r="E9" s="27"/>
      <c r="F9" s="28"/>
      <c r="G9" s="29"/>
      <c r="H9" s="30">
        <v>9000.0</v>
      </c>
      <c r="I9" s="31"/>
      <c r="J9" s="32"/>
      <c r="K9" s="33"/>
      <c r="L9" s="52">
        <v>9000.0</v>
      </c>
      <c r="M9" s="18">
        <f t="shared" si="1"/>
        <v>0</v>
      </c>
    </row>
    <row r="10">
      <c r="A10" s="41">
        <v>6.0</v>
      </c>
      <c r="B10" s="46" t="s">
        <v>850</v>
      </c>
      <c r="C10" s="46">
        <v>51264.0</v>
      </c>
      <c r="D10" s="46" t="s">
        <v>851</v>
      </c>
      <c r="E10" s="27"/>
      <c r="F10" s="28"/>
      <c r="G10" s="29"/>
      <c r="H10" s="30">
        <v>10900.0</v>
      </c>
      <c r="I10" s="31"/>
      <c r="J10" s="32"/>
      <c r="K10" s="33"/>
      <c r="L10" s="52">
        <v>10900.0</v>
      </c>
      <c r="M10" s="18">
        <f t="shared" si="1"/>
        <v>0</v>
      </c>
    </row>
    <row r="11">
      <c r="A11" s="41">
        <v>7.0</v>
      </c>
      <c r="B11" s="46" t="s">
        <v>852</v>
      </c>
      <c r="C11" s="46">
        <v>36555.0</v>
      </c>
      <c r="D11" s="46" t="s">
        <v>172</v>
      </c>
      <c r="E11" s="27"/>
      <c r="F11" s="28"/>
      <c r="G11" s="29"/>
      <c r="H11" s="30">
        <v>20000.0</v>
      </c>
      <c r="I11" s="31"/>
      <c r="J11" s="35"/>
      <c r="K11" s="33"/>
      <c r="L11" s="52">
        <v>20000.0</v>
      </c>
      <c r="M11" s="18">
        <f t="shared" si="1"/>
        <v>0</v>
      </c>
    </row>
    <row r="12">
      <c r="A12" s="41">
        <v>8.0</v>
      </c>
      <c r="B12" s="46" t="s">
        <v>853</v>
      </c>
      <c r="C12" s="46">
        <v>50557.0</v>
      </c>
      <c r="D12" s="46" t="s">
        <v>94</v>
      </c>
      <c r="E12" s="27"/>
      <c r="F12" s="28"/>
      <c r="G12" s="29"/>
      <c r="H12" s="30">
        <v>2500.0</v>
      </c>
      <c r="I12" s="31"/>
      <c r="J12" s="35"/>
      <c r="K12" s="33"/>
      <c r="L12" s="52">
        <v>2500.0</v>
      </c>
      <c r="M12" s="18">
        <f t="shared" si="1"/>
        <v>0</v>
      </c>
    </row>
    <row r="13">
      <c r="A13" s="41">
        <v>9.0</v>
      </c>
      <c r="B13" s="46" t="s">
        <v>854</v>
      </c>
      <c r="C13" s="46">
        <v>53455.0</v>
      </c>
      <c r="D13" s="46" t="s">
        <v>65</v>
      </c>
      <c r="E13" s="27"/>
      <c r="F13" s="28"/>
      <c r="G13" s="29"/>
      <c r="H13" s="30">
        <v>2500.0</v>
      </c>
      <c r="I13" s="31"/>
      <c r="J13" s="32"/>
      <c r="K13" s="33"/>
      <c r="L13" s="52">
        <v>2500.0</v>
      </c>
      <c r="M13" s="18">
        <f t="shared" si="1"/>
        <v>0</v>
      </c>
    </row>
    <row r="14">
      <c r="A14" s="41">
        <v>10.0</v>
      </c>
      <c r="B14" s="46" t="s">
        <v>855</v>
      </c>
      <c r="C14" s="46">
        <v>43887.0</v>
      </c>
      <c r="D14" s="46" t="s">
        <v>856</v>
      </c>
      <c r="E14" s="27"/>
      <c r="F14" s="28"/>
      <c r="G14" s="29"/>
      <c r="H14" s="30"/>
      <c r="I14" s="31">
        <v>250.0</v>
      </c>
      <c r="J14" s="32"/>
      <c r="K14" s="33"/>
      <c r="L14" s="52">
        <v>250.0</v>
      </c>
      <c r="M14" s="18">
        <f t="shared" si="1"/>
        <v>0</v>
      </c>
    </row>
    <row r="15">
      <c r="A15" s="41">
        <v>11.0</v>
      </c>
      <c r="B15" s="46" t="s">
        <v>857</v>
      </c>
      <c r="C15" s="46">
        <v>51970.0</v>
      </c>
      <c r="D15" s="46" t="s">
        <v>858</v>
      </c>
      <c r="E15" s="27"/>
      <c r="F15" s="28"/>
      <c r="G15" s="29"/>
      <c r="H15" s="30">
        <v>10000.0</v>
      </c>
      <c r="I15" s="31"/>
      <c r="J15" s="32"/>
      <c r="K15" s="33"/>
      <c r="L15" s="52">
        <v>10000.0</v>
      </c>
      <c r="M15" s="18">
        <f t="shared" si="1"/>
        <v>0</v>
      </c>
    </row>
    <row r="16">
      <c r="A16" s="41">
        <v>12.0</v>
      </c>
      <c r="B16" s="46" t="s">
        <v>859</v>
      </c>
      <c r="C16" s="46">
        <v>50871.0</v>
      </c>
      <c r="D16" s="46" t="s">
        <v>105</v>
      </c>
      <c r="E16" s="27"/>
      <c r="F16" s="28"/>
      <c r="G16" s="29"/>
      <c r="H16" s="30">
        <v>60000.0</v>
      </c>
      <c r="I16" s="31"/>
      <c r="J16" s="32"/>
      <c r="K16" s="33"/>
      <c r="L16" s="52">
        <v>60000.0</v>
      </c>
      <c r="M16" s="18">
        <f t="shared" si="1"/>
        <v>0</v>
      </c>
    </row>
    <row r="17">
      <c r="A17" s="41">
        <v>13.0</v>
      </c>
      <c r="B17" s="46" t="s">
        <v>860</v>
      </c>
      <c r="C17" s="46">
        <v>39588.0</v>
      </c>
      <c r="D17" s="46" t="s">
        <v>274</v>
      </c>
      <c r="E17" s="27"/>
      <c r="F17" s="28"/>
      <c r="G17" s="29"/>
      <c r="H17" s="30">
        <v>4500.0</v>
      </c>
      <c r="I17" s="31"/>
      <c r="J17" s="35"/>
      <c r="K17" s="33"/>
      <c r="L17" s="52">
        <v>4500.0</v>
      </c>
      <c r="M17" s="18">
        <f t="shared" si="1"/>
        <v>0</v>
      </c>
    </row>
    <row r="18">
      <c r="A18" s="41">
        <v>14.0</v>
      </c>
      <c r="B18" s="46" t="s">
        <v>861</v>
      </c>
      <c r="C18" s="46">
        <v>37642.0</v>
      </c>
      <c r="D18" s="46" t="s">
        <v>482</v>
      </c>
      <c r="E18" s="27"/>
      <c r="F18" s="28"/>
      <c r="G18" s="29"/>
      <c r="H18" s="30">
        <v>15000.0</v>
      </c>
      <c r="I18" s="31"/>
      <c r="J18" s="35"/>
      <c r="K18" s="33"/>
      <c r="L18" s="52">
        <v>15000.0</v>
      </c>
      <c r="M18" s="18">
        <f t="shared" si="1"/>
        <v>0</v>
      </c>
    </row>
    <row r="19">
      <c r="A19" s="41">
        <v>15.0</v>
      </c>
      <c r="B19" s="46" t="s">
        <v>862</v>
      </c>
      <c r="C19" s="46">
        <v>45937.0</v>
      </c>
      <c r="D19" s="46" t="s">
        <v>337</v>
      </c>
      <c r="E19" s="27"/>
      <c r="F19" s="37"/>
      <c r="G19" s="29"/>
      <c r="H19" s="30"/>
      <c r="I19" s="31">
        <v>2500.0</v>
      </c>
      <c r="J19" s="32"/>
      <c r="K19" s="33"/>
      <c r="L19" s="52">
        <v>2500.0</v>
      </c>
      <c r="M19" s="18">
        <f t="shared" si="1"/>
        <v>0</v>
      </c>
    </row>
    <row r="20">
      <c r="A20" s="41">
        <v>16.0</v>
      </c>
      <c r="B20" s="46" t="s">
        <v>863</v>
      </c>
      <c r="C20" s="46">
        <v>54816.0</v>
      </c>
      <c r="D20" s="46" t="s">
        <v>358</v>
      </c>
      <c r="E20" s="27"/>
      <c r="F20" s="28"/>
      <c r="G20" s="29"/>
      <c r="H20" s="30">
        <v>1280.0</v>
      </c>
      <c r="I20" s="31"/>
      <c r="J20" s="32"/>
      <c r="K20" s="33"/>
      <c r="L20" s="52">
        <v>1280.0</v>
      </c>
      <c r="M20" s="18">
        <f t="shared" si="1"/>
        <v>0</v>
      </c>
    </row>
    <row r="21">
      <c r="A21" s="41">
        <v>17.0</v>
      </c>
      <c r="B21" s="46" t="s">
        <v>864</v>
      </c>
      <c r="C21" s="46">
        <v>52032.0</v>
      </c>
      <c r="D21" s="46" t="s">
        <v>233</v>
      </c>
      <c r="E21" s="27"/>
      <c r="F21" s="28"/>
      <c r="G21" s="29"/>
      <c r="H21" s="30">
        <v>350.0</v>
      </c>
      <c r="I21" s="31"/>
      <c r="J21" s="32"/>
      <c r="K21" s="33"/>
      <c r="L21" s="52">
        <v>350.0</v>
      </c>
      <c r="M21" s="18">
        <f t="shared" si="1"/>
        <v>0</v>
      </c>
    </row>
    <row r="22">
      <c r="A22" s="41">
        <v>18.0</v>
      </c>
      <c r="B22" s="46" t="s">
        <v>865</v>
      </c>
      <c r="C22" s="46">
        <v>55388.0</v>
      </c>
      <c r="D22" s="46" t="s">
        <v>111</v>
      </c>
      <c r="E22" s="27"/>
      <c r="F22" s="28"/>
      <c r="G22" s="29"/>
      <c r="H22" s="30">
        <v>5150.0</v>
      </c>
      <c r="I22" s="31"/>
      <c r="J22" s="32"/>
      <c r="K22" s="33"/>
      <c r="L22" s="52">
        <v>5150.0</v>
      </c>
      <c r="M22" s="18">
        <f t="shared" si="1"/>
        <v>0</v>
      </c>
    </row>
    <row r="23">
      <c r="A23" s="41">
        <v>19.0</v>
      </c>
      <c r="B23" s="46" t="s">
        <v>866</v>
      </c>
      <c r="C23" s="46">
        <v>50596.0</v>
      </c>
      <c r="D23" s="46" t="s">
        <v>493</v>
      </c>
      <c r="E23" s="27"/>
      <c r="F23" s="37">
        <v>120000.0</v>
      </c>
      <c r="G23" s="29"/>
      <c r="H23" s="30"/>
      <c r="I23" s="31"/>
      <c r="J23" s="32"/>
      <c r="K23" s="33"/>
      <c r="L23" s="52">
        <v>120000.0</v>
      </c>
      <c r="M23" s="18">
        <f t="shared" si="1"/>
        <v>0</v>
      </c>
    </row>
    <row r="24">
      <c r="A24" s="41">
        <v>20.0</v>
      </c>
      <c r="B24" s="46" t="s">
        <v>867</v>
      </c>
      <c r="C24" s="46">
        <v>22341.0</v>
      </c>
      <c r="D24" s="46" t="s">
        <v>293</v>
      </c>
      <c r="E24" s="27"/>
      <c r="F24" s="28"/>
      <c r="G24" s="29"/>
      <c r="H24" s="30">
        <v>5430.0</v>
      </c>
      <c r="I24" s="31"/>
      <c r="J24" s="32"/>
      <c r="K24" s="33"/>
      <c r="L24" s="52">
        <v>5430.0</v>
      </c>
      <c r="M24" s="18">
        <f t="shared" si="1"/>
        <v>0</v>
      </c>
    </row>
    <row r="25">
      <c r="A25" s="41">
        <v>21.0</v>
      </c>
      <c r="B25" s="46" t="s">
        <v>868</v>
      </c>
      <c r="C25" s="46">
        <v>15710.0</v>
      </c>
      <c r="D25" s="46" t="s">
        <v>869</v>
      </c>
      <c r="E25" s="27"/>
      <c r="F25" s="28"/>
      <c r="G25" s="29"/>
      <c r="H25" s="30">
        <v>3700.0</v>
      </c>
      <c r="I25" s="31"/>
      <c r="J25" s="32"/>
      <c r="K25" s="33"/>
      <c r="L25" s="52">
        <v>3700.0</v>
      </c>
      <c r="M25" s="18">
        <f t="shared" si="1"/>
        <v>0</v>
      </c>
    </row>
    <row r="26">
      <c r="A26" s="41">
        <v>22.0</v>
      </c>
      <c r="B26" s="46" t="s">
        <v>870</v>
      </c>
      <c r="C26" s="46">
        <v>50596.0</v>
      </c>
      <c r="D26" s="46" t="s">
        <v>493</v>
      </c>
      <c r="E26" s="27"/>
      <c r="F26" s="37">
        <v>120000.0</v>
      </c>
      <c r="G26" s="29"/>
      <c r="H26" s="30"/>
      <c r="I26" s="36"/>
      <c r="J26" s="32"/>
      <c r="K26" s="33"/>
      <c r="L26" s="52">
        <v>120000.0</v>
      </c>
      <c r="M26" s="18">
        <f t="shared" si="1"/>
        <v>0</v>
      </c>
    </row>
    <row r="27">
      <c r="A27" s="41">
        <v>23.0</v>
      </c>
      <c r="B27" s="46" t="s">
        <v>871</v>
      </c>
      <c r="C27" s="46">
        <v>48910.0</v>
      </c>
      <c r="D27" s="46" t="s">
        <v>399</v>
      </c>
      <c r="E27" s="38"/>
      <c r="F27" s="28"/>
      <c r="G27" s="29"/>
      <c r="H27" s="30">
        <v>2650.0</v>
      </c>
      <c r="I27" s="36"/>
      <c r="J27" s="32"/>
      <c r="K27" s="33"/>
      <c r="L27" s="52">
        <v>2650.0</v>
      </c>
      <c r="M27" s="18">
        <f t="shared" si="1"/>
        <v>0</v>
      </c>
    </row>
    <row r="28">
      <c r="A28" s="41">
        <v>24.0</v>
      </c>
      <c r="B28" s="46" t="s">
        <v>872</v>
      </c>
      <c r="C28" s="46">
        <v>35245.0</v>
      </c>
      <c r="D28" s="46" t="s">
        <v>34</v>
      </c>
      <c r="E28" s="27"/>
      <c r="F28" s="37"/>
      <c r="G28" s="29"/>
      <c r="H28" s="30">
        <v>15000.0</v>
      </c>
      <c r="I28" s="31"/>
      <c r="J28" s="35"/>
      <c r="K28" s="33"/>
      <c r="L28" s="52">
        <v>15000.0</v>
      </c>
      <c r="M28" s="18">
        <f t="shared" si="1"/>
        <v>0</v>
      </c>
    </row>
    <row r="29">
      <c r="A29" s="41">
        <v>25.0</v>
      </c>
      <c r="B29" s="46" t="s">
        <v>873</v>
      </c>
      <c r="C29" s="46">
        <v>22332.0</v>
      </c>
      <c r="D29" s="46" t="s">
        <v>138</v>
      </c>
      <c r="E29" s="27"/>
      <c r="F29" s="28"/>
      <c r="G29" s="29"/>
      <c r="H29" s="30">
        <v>2300.0</v>
      </c>
      <c r="I29" s="31"/>
      <c r="J29" s="32"/>
      <c r="K29" s="33"/>
      <c r="L29" s="52">
        <v>2300.0</v>
      </c>
      <c r="M29" s="18">
        <f t="shared" si="1"/>
        <v>0</v>
      </c>
    </row>
    <row r="30">
      <c r="A30" s="41">
        <v>26.0</v>
      </c>
      <c r="B30" s="46" t="s">
        <v>874</v>
      </c>
      <c r="C30" s="46">
        <v>46694.0</v>
      </c>
      <c r="D30" s="46" t="s">
        <v>875</v>
      </c>
      <c r="E30" s="27"/>
      <c r="F30" s="28"/>
      <c r="G30" s="29"/>
      <c r="H30" s="34"/>
      <c r="I30" s="31">
        <v>2130.0</v>
      </c>
      <c r="J30" s="32"/>
      <c r="K30" s="33"/>
      <c r="L30" s="52">
        <v>2130.0</v>
      </c>
      <c r="M30" s="18">
        <f t="shared" si="1"/>
        <v>0</v>
      </c>
    </row>
    <row r="31">
      <c r="A31" s="41">
        <v>27.0</v>
      </c>
      <c r="B31" s="46" t="s">
        <v>876</v>
      </c>
      <c r="C31" s="46">
        <v>50221.0</v>
      </c>
      <c r="D31" s="46" t="s">
        <v>252</v>
      </c>
      <c r="E31" s="27"/>
      <c r="F31" s="28"/>
      <c r="G31" s="29"/>
      <c r="H31" s="30">
        <v>125.0</v>
      </c>
      <c r="I31" s="31"/>
      <c r="J31" s="32"/>
      <c r="K31" s="33"/>
      <c r="L31" s="52">
        <v>125.0</v>
      </c>
      <c r="M31" s="18">
        <f t="shared" si="1"/>
        <v>0</v>
      </c>
    </row>
    <row r="32">
      <c r="A32" s="41">
        <v>28.0</v>
      </c>
      <c r="B32" s="46" t="s">
        <v>877</v>
      </c>
      <c r="C32" s="46">
        <v>56027.0</v>
      </c>
      <c r="D32" s="46" t="s">
        <v>284</v>
      </c>
      <c r="E32" s="27"/>
      <c r="F32" s="28"/>
      <c r="G32" s="29"/>
      <c r="H32" s="30"/>
      <c r="I32" s="31">
        <v>3600.0</v>
      </c>
      <c r="J32" s="32"/>
      <c r="K32" s="33"/>
      <c r="L32" s="52">
        <v>3600.0</v>
      </c>
      <c r="M32" s="18">
        <f t="shared" si="1"/>
        <v>0</v>
      </c>
    </row>
    <row r="33">
      <c r="A33" s="41">
        <v>29.0</v>
      </c>
      <c r="B33" s="46" t="s">
        <v>878</v>
      </c>
      <c r="C33" s="46">
        <v>56215.0</v>
      </c>
      <c r="D33" s="46" t="s">
        <v>879</v>
      </c>
      <c r="E33" s="27"/>
      <c r="F33" s="28"/>
      <c r="G33" s="29"/>
      <c r="H33" s="30"/>
      <c r="I33" s="31">
        <v>2500.0</v>
      </c>
      <c r="J33" s="32"/>
      <c r="K33" s="33"/>
      <c r="L33" s="52">
        <v>2500.0</v>
      </c>
      <c r="M33" s="18">
        <f t="shared" si="1"/>
        <v>0</v>
      </c>
    </row>
    <row r="34">
      <c r="A34" s="41">
        <v>30.0</v>
      </c>
      <c r="B34" s="46" t="s">
        <v>880</v>
      </c>
      <c r="C34" s="46">
        <v>54312.0</v>
      </c>
      <c r="D34" s="46" t="s">
        <v>881</v>
      </c>
      <c r="E34" s="27"/>
      <c r="F34" s="28"/>
      <c r="G34" s="29"/>
      <c r="H34" s="30"/>
      <c r="I34" s="31">
        <v>2500.0</v>
      </c>
      <c r="J34" s="32"/>
      <c r="K34" s="33"/>
      <c r="L34" s="52">
        <v>2500.0</v>
      </c>
      <c r="M34" s="18">
        <f t="shared" si="1"/>
        <v>0</v>
      </c>
    </row>
    <row r="35">
      <c r="A35" s="41">
        <v>31.0</v>
      </c>
      <c r="B35" s="46" t="s">
        <v>882</v>
      </c>
      <c r="C35" s="46">
        <v>16726.0</v>
      </c>
      <c r="D35" s="46" t="s">
        <v>883</v>
      </c>
      <c r="E35" s="27"/>
      <c r="F35" s="28"/>
      <c r="G35" s="29"/>
      <c r="H35" s="30">
        <v>5000.0</v>
      </c>
      <c r="I35" s="31"/>
      <c r="J35" s="32"/>
      <c r="K35" s="33"/>
      <c r="L35" s="52">
        <v>5000.0</v>
      </c>
      <c r="M35" s="18">
        <f t="shared" si="1"/>
        <v>0</v>
      </c>
    </row>
    <row r="36">
      <c r="A36" s="41">
        <v>32.0</v>
      </c>
      <c r="B36" s="46" t="s">
        <v>884</v>
      </c>
      <c r="C36" s="46">
        <v>49953.0</v>
      </c>
      <c r="D36" s="46" t="s">
        <v>242</v>
      </c>
      <c r="E36" s="27"/>
      <c r="F36" s="28"/>
      <c r="G36" s="29"/>
      <c r="H36" s="30">
        <v>100.0</v>
      </c>
      <c r="I36" s="31"/>
      <c r="J36" s="32"/>
      <c r="K36" s="33"/>
      <c r="L36" s="52">
        <v>100.0</v>
      </c>
      <c r="M36" s="18">
        <f t="shared" si="1"/>
        <v>0</v>
      </c>
    </row>
    <row r="37">
      <c r="A37" s="41">
        <v>33.0</v>
      </c>
      <c r="B37" s="46" t="s">
        <v>885</v>
      </c>
      <c r="C37" s="46">
        <v>57522.0</v>
      </c>
      <c r="D37" s="46" t="s">
        <v>886</v>
      </c>
      <c r="E37" s="27"/>
      <c r="F37" s="28"/>
      <c r="G37" s="29"/>
      <c r="H37" s="30"/>
      <c r="I37" s="31">
        <v>28800.0</v>
      </c>
      <c r="J37" s="32"/>
      <c r="K37" s="33"/>
      <c r="L37" s="52">
        <v>28800.0</v>
      </c>
      <c r="M37" s="18">
        <f t="shared" si="1"/>
        <v>0</v>
      </c>
    </row>
    <row r="38">
      <c r="A38" s="41">
        <v>34.0</v>
      </c>
      <c r="B38" s="46" t="s">
        <v>887</v>
      </c>
      <c r="C38" s="46">
        <v>54196.0</v>
      </c>
      <c r="D38" s="46" t="s">
        <v>888</v>
      </c>
      <c r="E38" s="27"/>
      <c r="F38" s="28"/>
      <c r="G38" s="29"/>
      <c r="H38" s="30">
        <v>8100.0</v>
      </c>
      <c r="I38" s="31"/>
      <c r="J38" s="32"/>
      <c r="K38" s="33"/>
      <c r="L38" s="52">
        <v>8100.0</v>
      </c>
      <c r="M38" s="18">
        <f t="shared" si="1"/>
        <v>0</v>
      </c>
    </row>
    <row r="39">
      <c r="A39" s="41">
        <v>35.0</v>
      </c>
      <c r="B39" s="46" t="s">
        <v>889</v>
      </c>
      <c r="C39" s="46">
        <v>43380.0</v>
      </c>
      <c r="D39" s="46" t="s">
        <v>61</v>
      </c>
      <c r="E39" s="27"/>
      <c r="F39" s="28"/>
      <c r="G39" s="29"/>
      <c r="H39" s="30">
        <v>20000.0</v>
      </c>
      <c r="I39" s="31"/>
      <c r="J39" s="35"/>
      <c r="K39" s="33"/>
      <c r="L39" s="52">
        <v>20000.0</v>
      </c>
      <c r="M39" s="18">
        <f t="shared" si="1"/>
        <v>0</v>
      </c>
    </row>
    <row r="40">
      <c r="A40" s="41">
        <v>36.0</v>
      </c>
      <c r="B40" s="46" t="s">
        <v>890</v>
      </c>
      <c r="C40" s="46">
        <v>48631.0</v>
      </c>
      <c r="D40" s="46" t="s">
        <v>118</v>
      </c>
      <c r="E40" s="27"/>
      <c r="F40" s="28"/>
      <c r="G40" s="29"/>
      <c r="H40" s="30">
        <v>1600.0</v>
      </c>
      <c r="I40" s="36"/>
      <c r="J40" s="32"/>
      <c r="K40" s="33"/>
      <c r="L40" s="52">
        <v>1600.0</v>
      </c>
      <c r="M40" s="18">
        <f t="shared" si="1"/>
        <v>0</v>
      </c>
    </row>
    <row r="41">
      <c r="A41" s="41">
        <v>37.0</v>
      </c>
      <c r="B41" s="46" t="s">
        <v>891</v>
      </c>
      <c r="C41" s="46">
        <v>13781.0</v>
      </c>
      <c r="D41" s="46" t="s">
        <v>278</v>
      </c>
      <c r="E41" s="27"/>
      <c r="F41" s="28"/>
      <c r="G41" s="29"/>
      <c r="H41" s="30">
        <v>16700.0</v>
      </c>
      <c r="I41" s="36"/>
      <c r="J41" s="35"/>
      <c r="K41" s="33"/>
      <c r="L41" s="52">
        <v>16700.0</v>
      </c>
      <c r="M41" s="18">
        <f t="shared" si="1"/>
        <v>0</v>
      </c>
    </row>
    <row r="42">
      <c r="A42" s="41">
        <v>38.0</v>
      </c>
      <c r="B42" s="46" t="s">
        <v>892</v>
      </c>
      <c r="C42" s="46">
        <v>56018.0</v>
      </c>
      <c r="D42" s="46" t="s">
        <v>893</v>
      </c>
      <c r="E42" s="27"/>
      <c r="F42" s="28"/>
      <c r="G42" s="29"/>
      <c r="H42" s="30">
        <v>5000.0</v>
      </c>
      <c r="I42" s="36"/>
      <c r="J42" s="35"/>
      <c r="K42" s="33"/>
      <c r="L42" s="52">
        <v>5000.0</v>
      </c>
      <c r="M42" s="18">
        <f t="shared" si="1"/>
        <v>0</v>
      </c>
    </row>
    <row r="43">
      <c r="A43" s="41">
        <v>39.0</v>
      </c>
      <c r="B43" s="46" t="s">
        <v>894</v>
      </c>
      <c r="C43" s="46">
        <v>36826.0</v>
      </c>
      <c r="D43" s="46" t="s">
        <v>895</v>
      </c>
      <c r="E43" s="27"/>
      <c r="F43" s="28"/>
      <c r="G43" s="29"/>
      <c r="H43" s="30">
        <v>20000.0</v>
      </c>
      <c r="I43" s="36"/>
      <c r="J43" s="32"/>
      <c r="K43" s="33"/>
      <c r="L43" s="52">
        <v>20000.0</v>
      </c>
      <c r="M43" s="18">
        <f t="shared" si="1"/>
        <v>0</v>
      </c>
    </row>
    <row r="44">
      <c r="A44" s="41">
        <v>40.0</v>
      </c>
      <c r="B44" s="46" t="s">
        <v>896</v>
      </c>
      <c r="C44" s="46">
        <v>54501.0</v>
      </c>
      <c r="D44" s="46" t="s">
        <v>897</v>
      </c>
      <c r="E44" s="27"/>
      <c r="F44" s="28"/>
      <c r="G44" s="29"/>
      <c r="H44" s="30"/>
      <c r="I44" s="31">
        <v>25000.0</v>
      </c>
      <c r="J44" s="32"/>
      <c r="K44" s="33"/>
      <c r="L44" s="52">
        <v>25000.0</v>
      </c>
      <c r="M44" s="18">
        <f t="shared" si="1"/>
        <v>0</v>
      </c>
    </row>
    <row r="45">
      <c r="A45" s="41">
        <v>41.0</v>
      </c>
      <c r="B45" s="46" t="s">
        <v>898</v>
      </c>
      <c r="C45" s="46">
        <v>52032.0</v>
      </c>
      <c r="D45" s="46" t="s">
        <v>233</v>
      </c>
      <c r="E45" s="27"/>
      <c r="F45" s="28"/>
      <c r="G45" s="29"/>
      <c r="H45" s="30">
        <v>20000.0</v>
      </c>
      <c r="I45" s="31"/>
      <c r="J45" s="32"/>
      <c r="K45" s="33"/>
      <c r="L45" s="52">
        <v>20000.0</v>
      </c>
      <c r="M45" s="18">
        <f t="shared" si="1"/>
        <v>0</v>
      </c>
    </row>
    <row r="46">
      <c r="A46" s="41">
        <v>42.0</v>
      </c>
      <c r="B46" s="46" t="s">
        <v>899</v>
      </c>
      <c r="C46" s="46">
        <v>10734.0</v>
      </c>
      <c r="D46" s="46" t="s">
        <v>900</v>
      </c>
      <c r="E46" s="38">
        <v>2500.0</v>
      </c>
      <c r="F46" s="37"/>
      <c r="G46" s="29"/>
      <c r="H46" s="30"/>
      <c r="I46" s="31"/>
      <c r="J46" s="32"/>
      <c r="K46" s="33"/>
      <c r="L46" s="52">
        <v>2500.0</v>
      </c>
      <c r="M46" s="18">
        <f t="shared" si="1"/>
        <v>0</v>
      </c>
    </row>
    <row r="47">
      <c r="A47" s="41">
        <v>43.0</v>
      </c>
      <c r="B47" s="46" t="s">
        <v>901</v>
      </c>
      <c r="C47" s="46">
        <v>49541.0</v>
      </c>
      <c r="D47" s="46" t="s">
        <v>902</v>
      </c>
      <c r="E47" s="38">
        <v>200.0</v>
      </c>
      <c r="F47" s="37"/>
      <c r="G47" s="29"/>
      <c r="H47" s="30">
        <v>500.0</v>
      </c>
      <c r="I47" s="31"/>
      <c r="J47" s="32"/>
      <c r="K47" s="33"/>
      <c r="L47" s="52">
        <v>700.0</v>
      </c>
      <c r="M47" s="18">
        <f t="shared" si="1"/>
        <v>0</v>
      </c>
    </row>
    <row r="48">
      <c r="A48" s="41">
        <v>44.0</v>
      </c>
      <c r="B48" s="46" t="s">
        <v>903</v>
      </c>
      <c r="C48" s="46">
        <v>48141.0</v>
      </c>
      <c r="D48" s="46" t="s">
        <v>693</v>
      </c>
      <c r="E48" s="27"/>
      <c r="F48" s="28"/>
      <c r="G48" s="29"/>
      <c r="H48" s="30">
        <v>2650.0</v>
      </c>
      <c r="I48" s="31"/>
      <c r="J48" s="32"/>
      <c r="K48" s="33"/>
      <c r="L48" s="52">
        <v>2650.0</v>
      </c>
      <c r="M48" s="18">
        <f t="shared" si="1"/>
        <v>0</v>
      </c>
    </row>
    <row r="49">
      <c r="A49" s="41">
        <v>45.0</v>
      </c>
      <c r="B49" s="46" t="s">
        <v>904</v>
      </c>
      <c r="C49" s="46">
        <v>52396.0</v>
      </c>
      <c r="D49" s="46" t="s">
        <v>905</v>
      </c>
      <c r="E49" s="27"/>
      <c r="F49" s="28"/>
      <c r="G49" s="29"/>
      <c r="H49" s="30"/>
      <c r="I49" s="31">
        <v>5000.0</v>
      </c>
      <c r="J49" s="32"/>
      <c r="K49" s="33"/>
      <c r="L49" s="52">
        <v>5000.0</v>
      </c>
      <c r="M49" s="18">
        <f t="shared" si="1"/>
        <v>0</v>
      </c>
    </row>
    <row r="50">
      <c r="A50" s="41">
        <v>46.0</v>
      </c>
      <c r="B50" s="46" t="s">
        <v>906</v>
      </c>
      <c r="C50" s="46">
        <v>22727.0</v>
      </c>
      <c r="D50" s="46" t="s">
        <v>162</v>
      </c>
      <c r="E50" s="27"/>
      <c r="F50" s="28"/>
      <c r="G50" s="29"/>
      <c r="H50" s="30"/>
      <c r="I50" s="31">
        <v>2650.0</v>
      </c>
      <c r="J50" s="32"/>
      <c r="K50" s="33"/>
      <c r="L50" s="52">
        <v>2650.0</v>
      </c>
      <c r="M50" s="18">
        <f t="shared" si="1"/>
        <v>0</v>
      </c>
    </row>
    <row r="51">
      <c r="A51" s="41">
        <v>47.0</v>
      </c>
      <c r="B51" s="46" t="s">
        <v>907</v>
      </c>
      <c r="C51" s="46">
        <v>52808.0</v>
      </c>
      <c r="D51" s="46" t="s">
        <v>908</v>
      </c>
      <c r="E51" s="27"/>
      <c r="F51" s="28"/>
      <c r="G51" s="29"/>
      <c r="H51" s="30"/>
      <c r="I51" s="31">
        <v>5000.0</v>
      </c>
      <c r="J51" s="32"/>
      <c r="K51" s="33"/>
      <c r="L51" s="52">
        <v>5000.0</v>
      </c>
      <c r="M51" s="18">
        <f t="shared" si="1"/>
        <v>0</v>
      </c>
    </row>
    <row r="52">
      <c r="A52" s="41">
        <v>48.0</v>
      </c>
      <c r="B52" s="46" t="s">
        <v>909</v>
      </c>
      <c r="C52" s="46">
        <v>10008.0</v>
      </c>
      <c r="D52" s="46" t="s">
        <v>78</v>
      </c>
      <c r="E52" s="27"/>
      <c r="F52" s="28"/>
      <c r="G52" s="39"/>
      <c r="H52" s="30">
        <v>60000.0</v>
      </c>
      <c r="I52" s="36"/>
      <c r="J52" s="32"/>
      <c r="K52" s="33"/>
      <c r="L52" s="52">
        <v>60000.0</v>
      </c>
      <c r="M52" s="18">
        <f t="shared" si="1"/>
        <v>0</v>
      </c>
    </row>
    <row r="53">
      <c r="A53" s="41">
        <v>49.0</v>
      </c>
      <c r="B53" s="46" t="s">
        <v>910</v>
      </c>
      <c r="C53" s="46">
        <v>54242.0</v>
      </c>
      <c r="D53" s="46" t="s">
        <v>911</v>
      </c>
      <c r="E53" s="27"/>
      <c r="F53" s="37"/>
      <c r="G53" s="29"/>
      <c r="H53" s="30"/>
      <c r="I53" s="31">
        <v>5000.0</v>
      </c>
      <c r="J53" s="32"/>
      <c r="K53" s="33"/>
      <c r="L53" s="52">
        <v>5000.0</v>
      </c>
      <c r="M53" s="18">
        <f t="shared" si="1"/>
        <v>0</v>
      </c>
    </row>
    <row r="54">
      <c r="A54" s="41">
        <v>50.0</v>
      </c>
      <c r="B54" s="46" t="s">
        <v>912</v>
      </c>
      <c r="C54" s="46">
        <v>54482.0</v>
      </c>
      <c r="D54" s="46" t="s">
        <v>913</v>
      </c>
      <c r="E54" s="27"/>
      <c r="F54" s="28"/>
      <c r="G54" s="29"/>
      <c r="H54" s="30"/>
      <c r="I54" s="31">
        <v>5000.0</v>
      </c>
      <c r="J54" s="32"/>
      <c r="K54" s="33"/>
      <c r="L54" s="52">
        <v>5000.0</v>
      </c>
      <c r="M54" s="18">
        <f t="shared" si="1"/>
        <v>0</v>
      </c>
    </row>
    <row r="55">
      <c r="A55" s="41">
        <v>51.0</v>
      </c>
      <c r="B55" s="46" t="s">
        <v>914</v>
      </c>
      <c r="C55" s="46">
        <v>55162.0</v>
      </c>
      <c r="D55" s="46" t="s">
        <v>170</v>
      </c>
      <c r="E55" s="27"/>
      <c r="F55" s="28"/>
      <c r="G55" s="29"/>
      <c r="H55" s="30"/>
      <c r="I55" s="31">
        <v>25000.0</v>
      </c>
      <c r="J55" s="32"/>
      <c r="K55" s="33"/>
      <c r="L55" s="52">
        <v>25000.0</v>
      </c>
      <c r="M55" s="18">
        <f t="shared" si="1"/>
        <v>0</v>
      </c>
    </row>
    <row r="56">
      <c r="A56" s="41">
        <v>52.0</v>
      </c>
      <c r="B56" s="46" t="s">
        <v>915</v>
      </c>
      <c r="C56" s="46">
        <v>43349.0</v>
      </c>
      <c r="D56" s="46" t="s">
        <v>916</v>
      </c>
      <c r="E56" s="27"/>
      <c r="F56" s="28"/>
      <c r="G56" s="29"/>
      <c r="H56" s="30">
        <v>5000.0</v>
      </c>
      <c r="I56" s="31"/>
      <c r="J56" s="32"/>
      <c r="K56" s="33"/>
      <c r="L56" s="52">
        <v>5000.0</v>
      </c>
      <c r="M56" s="18">
        <f t="shared" si="1"/>
        <v>0</v>
      </c>
    </row>
    <row r="57">
      <c r="A57" s="41">
        <v>53.0</v>
      </c>
      <c r="B57" s="46" t="s">
        <v>917</v>
      </c>
      <c r="C57" s="46">
        <v>47510.0</v>
      </c>
      <c r="D57" s="46" t="s">
        <v>918</v>
      </c>
      <c r="E57" s="27"/>
      <c r="F57" s="28"/>
      <c r="G57" s="29"/>
      <c r="H57" s="30">
        <v>5000.0</v>
      </c>
      <c r="I57" s="31"/>
      <c r="J57" s="32"/>
      <c r="K57" s="33"/>
      <c r="L57" s="52">
        <v>5000.0</v>
      </c>
      <c r="M57" s="18">
        <f t="shared" si="1"/>
        <v>0</v>
      </c>
    </row>
    <row r="58">
      <c r="A58" s="41">
        <v>54.0</v>
      </c>
      <c r="B58" s="46" t="s">
        <v>919</v>
      </c>
      <c r="C58" s="46">
        <v>47510.0</v>
      </c>
      <c r="D58" s="46" t="s">
        <v>918</v>
      </c>
      <c r="E58" s="27"/>
      <c r="F58" s="28"/>
      <c r="G58" s="29"/>
      <c r="H58" s="30">
        <v>5000.0</v>
      </c>
      <c r="I58" s="31"/>
      <c r="J58" s="32"/>
      <c r="K58" s="33"/>
      <c r="L58" s="52">
        <v>5000.0</v>
      </c>
      <c r="M58" s="18">
        <f t="shared" si="1"/>
        <v>0</v>
      </c>
    </row>
    <row r="59">
      <c r="A59" s="41">
        <v>55.0</v>
      </c>
      <c r="B59" s="46" t="s">
        <v>920</v>
      </c>
      <c r="C59" s="46">
        <v>33065.0</v>
      </c>
      <c r="D59" s="46" t="s">
        <v>36</v>
      </c>
      <c r="E59" s="27"/>
      <c r="F59" s="28"/>
      <c r="G59" s="29"/>
      <c r="H59" s="30">
        <v>5150.0</v>
      </c>
      <c r="I59" s="31"/>
      <c r="J59" s="32"/>
      <c r="K59" s="33"/>
      <c r="L59" s="52">
        <v>5150.0</v>
      </c>
      <c r="M59" s="18">
        <f t="shared" si="1"/>
        <v>0</v>
      </c>
    </row>
    <row r="60">
      <c r="A60" s="41">
        <v>56.0</v>
      </c>
      <c r="B60" s="46" t="s">
        <v>921</v>
      </c>
      <c r="C60" s="46">
        <v>52396.0</v>
      </c>
      <c r="D60" s="46" t="s">
        <v>905</v>
      </c>
      <c r="E60" s="27"/>
      <c r="F60" s="28"/>
      <c r="G60" s="29"/>
      <c r="H60" s="30"/>
      <c r="I60" s="31">
        <v>5000.0</v>
      </c>
      <c r="J60" s="32"/>
      <c r="K60" s="33"/>
      <c r="L60" s="52">
        <v>5000.0</v>
      </c>
      <c r="M60" s="18">
        <f t="shared" si="1"/>
        <v>0</v>
      </c>
    </row>
    <row r="61">
      <c r="A61" s="41">
        <v>57.0</v>
      </c>
      <c r="B61" s="46" t="s">
        <v>922</v>
      </c>
      <c r="C61" s="46">
        <v>21743.0</v>
      </c>
      <c r="D61" s="46" t="s">
        <v>923</v>
      </c>
      <c r="E61" s="38">
        <v>200.0</v>
      </c>
      <c r="F61" s="37">
        <v>5500.0</v>
      </c>
      <c r="G61" s="29"/>
      <c r="H61" s="30"/>
      <c r="I61" s="31"/>
      <c r="J61" s="32"/>
      <c r="K61" s="33"/>
      <c r="L61" s="52">
        <v>5700.0</v>
      </c>
      <c r="M61" s="18">
        <f t="shared" si="1"/>
        <v>0</v>
      </c>
    </row>
    <row r="62">
      <c r="A62" s="41">
        <v>58.0</v>
      </c>
      <c r="B62" s="46" t="s">
        <v>924</v>
      </c>
      <c r="C62" s="46">
        <v>26831.0</v>
      </c>
      <c r="D62" s="46" t="s">
        <v>315</v>
      </c>
      <c r="E62" s="27"/>
      <c r="F62" s="28"/>
      <c r="G62" s="29"/>
      <c r="H62" s="30"/>
      <c r="I62" s="31">
        <v>27500.0</v>
      </c>
      <c r="J62" s="35"/>
      <c r="K62" s="33"/>
      <c r="L62" s="52">
        <v>27500.0</v>
      </c>
      <c r="M62" s="18">
        <f t="shared" si="1"/>
        <v>0</v>
      </c>
    </row>
    <row r="63">
      <c r="A63" s="41">
        <v>59.0</v>
      </c>
      <c r="B63" s="46" t="s">
        <v>925</v>
      </c>
      <c r="C63" s="46">
        <v>50221.0</v>
      </c>
      <c r="D63" s="46" t="s">
        <v>252</v>
      </c>
      <c r="E63" s="27"/>
      <c r="F63" s="28"/>
      <c r="G63" s="29"/>
      <c r="H63" s="30">
        <v>135.0</v>
      </c>
      <c r="I63" s="31"/>
      <c r="J63" s="32"/>
      <c r="K63" s="33"/>
      <c r="L63" s="52">
        <v>135.0</v>
      </c>
      <c r="M63" s="18">
        <f t="shared" si="1"/>
        <v>0</v>
      </c>
    </row>
    <row r="64">
      <c r="A64" s="41">
        <v>60.0</v>
      </c>
      <c r="B64" s="46" t="s">
        <v>926</v>
      </c>
      <c r="C64" s="46">
        <v>50871.0</v>
      </c>
      <c r="D64" s="46" t="s">
        <v>105</v>
      </c>
      <c r="E64" s="38"/>
      <c r="F64" s="37"/>
      <c r="G64" s="29"/>
      <c r="H64" s="30">
        <v>50000.0</v>
      </c>
      <c r="I64" s="31"/>
      <c r="J64" s="32"/>
      <c r="K64" s="33"/>
      <c r="L64" s="52">
        <v>50000.0</v>
      </c>
      <c r="M64" s="18">
        <f t="shared" si="1"/>
        <v>0</v>
      </c>
    </row>
    <row r="65">
      <c r="A65" s="41">
        <v>61.0</v>
      </c>
      <c r="B65" s="46" t="s">
        <v>927</v>
      </c>
      <c r="C65" s="46">
        <v>55293.0</v>
      </c>
      <c r="D65" s="46" t="s">
        <v>367</v>
      </c>
      <c r="E65" s="27"/>
      <c r="F65" s="28"/>
      <c r="G65" s="29"/>
      <c r="H65" s="30"/>
      <c r="I65" s="31">
        <v>10000.0</v>
      </c>
      <c r="J65" s="32"/>
      <c r="K65" s="33"/>
      <c r="L65" s="52">
        <v>10000.0</v>
      </c>
      <c r="M65" s="18">
        <f t="shared" si="1"/>
        <v>0</v>
      </c>
    </row>
    <row r="66">
      <c r="A66" s="41">
        <v>62.0</v>
      </c>
      <c r="B66" s="46" t="s">
        <v>928</v>
      </c>
      <c r="C66" s="46">
        <v>54928.0</v>
      </c>
      <c r="D66" s="46" t="s">
        <v>929</v>
      </c>
      <c r="E66" s="27"/>
      <c r="F66" s="28"/>
      <c r="G66" s="29"/>
      <c r="H66" s="30">
        <v>5000.0</v>
      </c>
      <c r="I66" s="36"/>
      <c r="J66" s="32"/>
      <c r="K66" s="33"/>
      <c r="L66" s="52">
        <v>5000.0</v>
      </c>
      <c r="M66" s="18">
        <f t="shared" si="1"/>
        <v>0</v>
      </c>
    </row>
    <row r="67">
      <c r="A67" s="41">
        <v>63.0</v>
      </c>
      <c r="B67" s="46" t="s">
        <v>930</v>
      </c>
      <c r="C67" s="46">
        <v>51352.0</v>
      </c>
      <c r="D67" s="46" t="s">
        <v>931</v>
      </c>
      <c r="E67" s="27"/>
      <c r="F67" s="28"/>
      <c r="G67" s="29"/>
      <c r="H67" s="30">
        <v>5000.0</v>
      </c>
      <c r="I67" s="36"/>
      <c r="J67" s="32"/>
      <c r="K67" s="33"/>
      <c r="L67" s="52">
        <v>5000.0</v>
      </c>
      <c r="M67" s="18">
        <f t="shared" si="1"/>
        <v>0</v>
      </c>
    </row>
    <row r="68">
      <c r="A68" s="41">
        <v>64.0</v>
      </c>
      <c r="B68" s="46" t="s">
        <v>932</v>
      </c>
      <c r="C68" s="46">
        <v>36769.0</v>
      </c>
      <c r="D68" s="46" t="s">
        <v>276</v>
      </c>
      <c r="E68" s="27"/>
      <c r="F68" s="37"/>
      <c r="G68" s="29"/>
      <c r="H68" s="30">
        <v>5000.0</v>
      </c>
      <c r="I68" s="31"/>
      <c r="J68" s="32"/>
      <c r="K68" s="33"/>
      <c r="L68" s="52">
        <v>5000.0</v>
      </c>
      <c r="M68" s="18">
        <f t="shared" si="1"/>
        <v>0</v>
      </c>
    </row>
    <row r="69">
      <c r="A69" s="41">
        <v>65.0</v>
      </c>
      <c r="B69" s="46" t="s">
        <v>933</v>
      </c>
      <c r="C69" s="46">
        <v>21384.0</v>
      </c>
      <c r="D69" s="46" t="s">
        <v>38</v>
      </c>
      <c r="E69" s="27"/>
      <c r="F69" s="28"/>
      <c r="G69" s="29"/>
      <c r="H69" s="30">
        <v>50.0</v>
      </c>
      <c r="I69" s="31"/>
      <c r="J69" s="35">
        <v>650.0</v>
      </c>
      <c r="K69" s="33"/>
      <c r="L69" s="52">
        <v>700.0</v>
      </c>
      <c r="M69" s="18">
        <f t="shared" si="1"/>
        <v>0</v>
      </c>
    </row>
    <row r="70">
      <c r="A70" s="41">
        <v>66.0</v>
      </c>
      <c r="B70" s="46" t="s">
        <v>934</v>
      </c>
      <c r="C70" s="46">
        <v>54076.0</v>
      </c>
      <c r="D70" s="46" t="s">
        <v>935</v>
      </c>
      <c r="E70" s="27"/>
      <c r="F70" s="28"/>
      <c r="G70" s="29"/>
      <c r="H70" s="30">
        <v>9450.0</v>
      </c>
      <c r="I70" s="31"/>
      <c r="J70" s="32"/>
      <c r="K70" s="33"/>
      <c r="L70" s="52">
        <v>9450.0</v>
      </c>
      <c r="M70" s="18">
        <f t="shared" si="1"/>
        <v>0</v>
      </c>
    </row>
    <row r="71">
      <c r="A71" s="41">
        <v>67.0</v>
      </c>
      <c r="B71" s="46" t="s">
        <v>936</v>
      </c>
      <c r="C71" s="46">
        <v>22280.0</v>
      </c>
      <c r="D71" s="46" t="s">
        <v>176</v>
      </c>
      <c r="E71" s="38">
        <v>2700.0</v>
      </c>
      <c r="F71" s="28"/>
      <c r="G71" s="29"/>
      <c r="H71" s="30">
        <v>900.0</v>
      </c>
      <c r="I71" s="31"/>
      <c r="J71" s="32"/>
      <c r="K71" s="33"/>
      <c r="L71" s="52">
        <v>3600.0</v>
      </c>
      <c r="M71" s="18">
        <f t="shared" si="1"/>
        <v>0</v>
      </c>
    </row>
    <row r="72">
      <c r="A72" s="41">
        <v>68.0</v>
      </c>
      <c r="B72" s="46" t="s">
        <v>937</v>
      </c>
      <c r="C72" s="46">
        <v>46778.0</v>
      </c>
      <c r="D72" s="46" t="s">
        <v>109</v>
      </c>
      <c r="E72" s="38"/>
      <c r="F72" s="37"/>
      <c r="G72" s="29"/>
      <c r="H72" s="30"/>
      <c r="I72" s="31">
        <v>44500.0</v>
      </c>
      <c r="J72" s="32"/>
      <c r="K72" s="33"/>
      <c r="L72" s="52">
        <v>44500.0</v>
      </c>
      <c r="M72" s="18">
        <f t="shared" si="1"/>
        <v>0</v>
      </c>
    </row>
    <row r="73">
      <c r="A73" s="41">
        <v>69.0</v>
      </c>
      <c r="B73" s="46" t="s">
        <v>938</v>
      </c>
      <c r="C73" s="46">
        <v>51017.0</v>
      </c>
      <c r="D73" s="46" t="s">
        <v>659</v>
      </c>
      <c r="E73" s="27"/>
      <c r="F73" s="28"/>
      <c r="G73" s="29"/>
      <c r="H73" s="30"/>
      <c r="I73" s="31">
        <v>300.0</v>
      </c>
      <c r="J73" s="32"/>
      <c r="K73" s="33"/>
      <c r="L73" s="52">
        <v>300.0</v>
      </c>
      <c r="M73" s="18">
        <f t="shared" si="1"/>
        <v>0</v>
      </c>
    </row>
    <row r="74">
      <c r="A74" s="41">
        <v>70.0</v>
      </c>
      <c r="B74" s="46" t="s">
        <v>939</v>
      </c>
      <c r="C74" s="46">
        <v>47862.0</v>
      </c>
      <c r="D74" s="46" t="s">
        <v>940</v>
      </c>
      <c r="E74" s="27"/>
      <c r="F74" s="28"/>
      <c r="G74" s="29"/>
      <c r="H74" s="30">
        <v>5150.0</v>
      </c>
      <c r="I74" s="31"/>
      <c r="J74" s="32"/>
      <c r="K74" s="33"/>
      <c r="L74" s="52">
        <v>5150.0</v>
      </c>
      <c r="M74" s="18">
        <f t="shared" si="1"/>
        <v>0</v>
      </c>
    </row>
    <row r="75">
      <c r="A75" s="41">
        <v>71.0</v>
      </c>
      <c r="B75" s="46" t="s">
        <v>941</v>
      </c>
      <c r="C75" s="46">
        <v>53093.0</v>
      </c>
      <c r="D75" s="46" t="s">
        <v>942</v>
      </c>
      <c r="E75" s="27"/>
      <c r="F75" s="28"/>
      <c r="G75" s="29"/>
      <c r="H75" s="30"/>
      <c r="I75" s="31">
        <v>10000.0</v>
      </c>
      <c r="J75" s="32"/>
      <c r="K75" s="33"/>
      <c r="L75" s="52">
        <v>10000.0</v>
      </c>
      <c r="M75" s="18">
        <f t="shared" si="1"/>
        <v>0</v>
      </c>
    </row>
    <row r="76">
      <c r="A76" s="41">
        <v>72.0</v>
      </c>
      <c r="B76" s="46" t="s">
        <v>943</v>
      </c>
      <c r="C76" s="46">
        <v>39317.0</v>
      </c>
      <c r="D76" s="46" t="s">
        <v>84</v>
      </c>
      <c r="E76" s="27"/>
      <c r="F76" s="28"/>
      <c r="G76" s="29"/>
      <c r="H76" s="30"/>
      <c r="I76" s="31">
        <v>15000.0</v>
      </c>
      <c r="J76" s="32"/>
      <c r="K76" s="33"/>
      <c r="L76" s="52">
        <v>15000.0</v>
      </c>
      <c r="M76" s="18">
        <f t="shared" si="1"/>
        <v>0</v>
      </c>
    </row>
    <row r="77">
      <c r="A77" s="41">
        <v>73.0</v>
      </c>
      <c r="B77" s="46" t="s">
        <v>944</v>
      </c>
      <c r="C77" s="46">
        <v>55409.0</v>
      </c>
      <c r="D77" s="46" t="s">
        <v>945</v>
      </c>
      <c r="E77" s="27"/>
      <c r="F77" s="28"/>
      <c r="G77" s="29"/>
      <c r="H77" s="30">
        <v>20000.0</v>
      </c>
      <c r="I77" s="31"/>
      <c r="J77" s="32"/>
      <c r="K77" s="33"/>
      <c r="L77" s="52">
        <v>20000.0</v>
      </c>
      <c r="M77" s="18">
        <f t="shared" si="1"/>
        <v>0</v>
      </c>
    </row>
    <row r="78">
      <c r="A78" s="41">
        <v>74.0</v>
      </c>
      <c r="B78" s="46" t="s">
        <v>946</v>
      </c>
      <c r="C78" s="46">
        <v>55409.0</v>
      </c>
      <c r="D78" s="46" t="s">
        <v>945</v>
      </c>
      <c r="E78" s="27"/>
      <c r="F78" s="28"/>
      <c r="G78" s="29"/>
      <c r="H78" s="30">
        <v>3600.0</v>
      </c>
      <c r="I78" s="31"/>
      <c r="J78" s="32"/>
      <c r="K78" s="33"/>
      <c r="L78" s="52">
        <v>3600.0</v>
      </c>
      <c r="M78" s="18">
        <f t="shared" si="1"/>
        <v>0</v>
      </c>
    </row>
    <row r="79">
      <c r="A79" s="41">
        <v>75.0</v>
      </c>
      <c r="B79" s="46" t="s">
        <v>947</v>
      </c>
      <c r="C79" s="46">
        <v>42046.0</v>
      </c>
      <c r="D79" s="46" t="s">
        <v>24</v>
      </c>
      <c r="E79" s="27"/>
      <c r="F79" s="28"/>
      <c r="G79" s="39">
        <v>10000.0</v>
      </c>
      <c r="H79" s="30"/>
      <c r="I79" s="31"/>
      <c r="J79" s="32"/>
      <c r="K79" s="33"/>
      <c r="L79" s="52">
        <v>10000.0</v>
      </c>
      <c r="M79" s="18">
        <f t="shared" si="1"/>
        <v>0</v>
      </c>
    </row>
    <row r="80">
      <c r="A80" s="41">
        <v>76.0</v>
      </c>
      <c r="B80" s="46" t="s">
        <v>948</v>
      </c>
      <c r="C80" s="46">
        <v>48631.0</v>
      </c>
      <c r="D80" s="46" t="s">
        <v>118</v>
      </c>
      <c r="E80" s="27"/>
      <c r="F80" s="28"/>
      <c r="G80" s="29"/>
      <c r="H80" s="30">
        <v>1250.0</v>
      </c>
      <c r="I80" s="31"/>
      <c r="J80" s="32"/>
      <c r="K80" s="33"/>
      <c r="L80" s="52">
        <v>1250.0</v>
      </c>
      <c r="M80" s="18">
        <f t="shared" si="1"/>
        <v>0</v>
      </c>
    </row>
    <row r="81">
      <c r="A81" s="41">
        <v>77.0</v>
      </c>
      <c r="B81" s="46" t="s">
        <v>949</v>
      </c>
      <c r="C81" s="46">
        <v>43375.0</v>
      </c>
      <c r="D81" s="46" t="s">
        <v>328</v>
      </c>
      <c r="E81" s="27"/>
      <c r="F81" s="28"/>
      <c r="G81" s="29"/>
      <c r="H81" s="30">
        <v>30000.0</v>
      </c>
      <c r="I81" s="31"/>
      <c r="J81" s="32"/>
      <c r="K81" s="33"/>
      <c r="L81" s="52">
        <v>30000.0</v>
      </c>
      <c r="M81" s="18">
        <f t="shared" si="1"/>
        <v>0</v>
      </c>
    </row>
    <row r="82">
      <c r="A82" s="41">
        <v>78.0</v>
      </c>
      <c r="B82" s="46" t="s">
        <v>950</v>
      </c>
      <c r="C82" s="46">
        <v>47787.0</v>
      </c>
      <c r="D82" s="46" t="s">
        <v>506</v>
      </c>
      <c r="E82" s="27"/>
      <c r="F82" s="28"/>
      <c r="G82" s="29"/>
      <c r="H82" s="30"/>
      <c r="I82" s="31">
        <v>10200.0</v>
      </c>
      <c r="J82" s="32"/>
      <c r="K82" s="33"/>
      <c r="L82" s="52">
        <v>10200.0</v>
      </c>
      <c r="M82" s="18">
        <f t="shared" si="1"/>
        <v>0</v>
      </c>
    </row>
    <row r="83">
      <c r="A83" s="41">
        <v>79.0</v>
      </c>
      <c r="B83" s="46" t="s">
        <v>951</v>
      </c>
      <c r="C83" s="46">
        <v>55964.0</v>
      </c>
      <c r="D83" s="46" t="s">
        <v>952</v>
      </c>
      <c r="E83" s="27"/>
      <c r="F83" s="28"/>
      <c r="G83" s="29"/>
      <c r="H83" s="30"/>
      <c r="I83" s="31">
        <v>8200.0</v>
      </c>
      <c r="J83" s="32"/>
      <c r="K83" s="33"/>
      <c r="L83" s="52">
        <v>8200.0</v>
      </c>
      <c r="M83" s="18">
        <f t="shared" si="1"/>
        <v>0</v>
      </c>
    </row>
    <row r="84">
      <c r="A84" s="41">
        <v>80.0</v>
      </c>
      <c r="B84" s="46" t="s">
        <v>953</v>
      </c>
      <c r="C84" s="46">
        <v>45227.0</v>
      </c>
      <c r="D84" s="46" t="s">
        <v>954</v>
      </c>
      <c r="E84" s="27"/>
      <c r="F84" s="28"/>
      <c r="G84" s="29"/>
      <c r="H84" s="30">
        <v>11000.0</v>
      </c>
      <c r="I84" s="31"/>
      <c r="J84" s="32"/>
      <c r="K84" s="33"/>
      <c r="L84" s="52">
        <v>11000.0</v>
      </c>
      <c r="M84" s="18">
        <f t="shared" si="1"/>
        <v>0</v>
      </c>
    </row>
    <row r="85">
      <c r="A85" s="41">
        <v>81.0</v>
      </c>
      <c r="B85" s="46" t="s">
        <v>955</v>
      </c>
      <c r="C85" s="46">
        <v>52785.0</v>
      </c>
      <c r="D85" s="46" t="s">
        <v>956</v>
      </c>
      <c r="E85" s="27"/>
      <c r="F85" s="28"/>
      <c r="G85" s="29"/>
      <c r="H85" s="30"/>
      <c r="I85" s="31">
        <v>5000.0</v>
      </c>
      <c r="J85" s="32"/>
      <c r="K85" s="33"/>
      <c r="L85" s="52">
        <v>5000.0</v>
      </c>
      <c r="M85" s="18">
        <f t="shared" si="1"/>
        <v>0</v>
      </c>
    </row>
    <row r="86">
      <c r="A86" s="41">
        <v>82.0</v>
      </c>
      <c r="B86" s="46" t="s">
        <v>957</v>
      </c>
      <c r="C86" s="46">
        <v>52373.0</v>
      </c>
      <c r="D86" s="46" t="s">
        <v>76</v>
      </c>
      <c r="E86" s="27"/>
      <c r="F86" s="28"/>
      <c r="G86" s="29"/>
      <c r="H86" s="30"/>
      <c r="I86" s="31">
        <v>3600.0</v>
      </c>
      <c r="J86" s="35"/>
      <c r="K86" s="33"/>
      <c r="L86" s="52">
        <v>3600.0</v>
      </c>
      <c r="M86" s="18">
        <f t="shared" si="1"/>
        <v>0</v>
      </c>
    </row>
    <row r="87">
      <c r="A87" s="41">
        <v>83.0</v>
      </c>
      <c r="B87" s="46" t="s">
        <v>958</v>
      </c>
      <c r="C87" s="46">
        <v>52373.0</v>
      </c>
      <c r="D87" s="46" t="s">
        <v>76</v>
      </c>
      <c r="E87" s="27"/>
      <c r="F87" s="28"/>
      <c r="G87" s="29"/>
      <c r="H87" s="30"/>
      <c r="I87" s="31">
        <v>4840.0</v>
      </c>
      <c r="J87" s="32"/>
      <c r="K87" s="33"/>
      <c r="L87" s="52">
        <v>4840.0</v>
      </c>
      <c r="M87" s="18">
        <f t="shared" si="1"/>
        <v>0</v>
      </c>
    </row>
    <row r="88">
      <c r="A88" s="41">
        <v>84.0</v>
      </c>
      <c r="B88" s="46" t="s">
        <v>959</v>
      </c>
      <c r="C88" s="46">
        <v>49825.0</v>
      </c>
      <c r="D88" s="46" t="s">
        <v>640</v>
      </c>
      <c r="E88" s="27"/>
      <c r="F88" s="28"/>
      <c r="G88" s="29"/>
      <c r="H88" s="30"/>
      <c r="I88" s="31">
        <v>8500.0</v>
      </c>
      <c r="J88" s="32"/>
      <c r="K88" s="33"/>
      <c r="L88" s="52">
        <v>8500.0</v>
      </c>
      <c r="M88" s="18">
        <f t="shared" si="1"/>
        <v>0</v>
      </c>
    </row>
    <row r="89">
      <c r="A89" s="41">
        <v>85.0</v>
      </c>
      <c r="B89" s="46" t="s">
        <v>960</v>
      </c>
      <c r="C89" s="46">
        <v>10001.0</v>
      </c>
      <c r="D89" s="46" t="s">
        <v>218</v>
      </c>
      <c r="E89" s="27"/>
      <c r="F89" s="28"/>
      <c r="G89" s="29"/>
      <c r="H89" s="30">
        <v>10000.0</v>
      </c>
      <c r="I89" s="31"/>
      <c r="J89" s="32"/>
      <c r="K89" s="33"/>
      <c r="L89" s="52">
        <v>10000.0</v>
      </c>
      <c r="M89" s="18">
        <f t="shared" si="1"/>
        <v>0</v>
      </c>
    </row>
    <row r="90">
      <c r="A90" s="41">
        <v>86.0</v>
      </c>
      <c r="B90" s="46" t="s">
        <v>961</v>
      </c>
      <c r="C90" s="46">
        <v>10001.0</v>
      </c>
      <c r="D90" s="46" t="s">
        <v>218</v>
      </c>
      <c r="E90" s="27"/>
      <c r="F90" s="28"/>
      <c r="G90" s="29"/>
      <c r="H90" s="30">
        <v>5450.0</v>
      </c>
      <c r="I90" s="31"/>
      <c r="J90" s="32"/>
      <c r="K90" s="33"/>
      <c r="L90" s="52">
        <v>5450.0</v>
      </c>
      <c r="M90" s="18">
        <f t="shared" si="1"/>
        <v>0</v>
      </c>
    </row>
    <row r="91">
      <c r="A91" s="41">
        <v>87.0</v>
      </c>
      <c r="B91" s="46" t="s">
        <v>962</v>
      </c>
      <c r="C91" s="46">
        <v>21384.0</v>
      </c>
      <c r="D91" s="46" t="s">
        <v>38</v>
      </c>
      <c r="E91" s="27"/>
      <c r="F91" s="28"/>
      <c r="G91" s="29"/>
      <c r="H91" s="30">
        <v>2500.0</v>
      </c>
      <c r="I91" s="31"/>
      <c r="J91" s="32"/>
      <c r="K91" s="33"/>
      <c r="L91" s="52">
        <v>2500.0</v>
      </c>
      <c r="M91" s="18">
        <f t="shared" si="1"/>
        <v>0</v>
      </c>
    </row>
    <row r="92">
      <c r="A92" s="41">
        <v>88.0</v>
      </c>
      <c r="B92" s="46" t="s">
        <v>963</v>
      </c>
      <c r="C92" s="46">
        <v>10001.0</v>
      </c>
      <c r="D92" s="46" t="s">
        <v>218</v>
      </c>
      <c r="E92" s="27"/>
      <c r="F92" s="28"/>
      <c r="G92" s="29"/>
      <c r="H92" s="30"/>
      <c r="I92" s="31">
        <v>5150.0</v>
      </c>
      <c r="J92" s="32"/>
      <c r="K92" s="33"/>
      <c r="L92" s="52">
        <v>5150.0</v>
      </c>
      <c r="M92" s="18">
        <f t="shared" si="1"/>
        <v>0</v>
      </c>
    </row>
    <row r="93">
      <c r="A93" s="41">
        <v>89.0</v>
      </c>
      <c r="B93" s="46" t="s">
        <v>964</v>
      </c>
      <c r="C93" s="46">
        <v>33470.0</v>
      </c>
      <c r="D93" s="46" t="s">
        <v>965</v>
      </c>
      <c r="E93" s="27"/>
      <c r="F93" s="28"/>
      <c r="G93" s="29"/>
      <c r="H93" s="30"/>
      <c r="I93" s="31">
        <v>300.0</v>
      </c>
      <c r="J93" s="32"/>
      <c r="K93" s="33"/>
      <c r="L93" s="52">
        <v>300.0</v>
      </c>
      <c r="M93" s="18">
        <f t="shared" si="1"/>
        <v>0</v>
      </c>
    </row>
    <row r="94">
      <c r="A94" s="41">
        <v>90.0</v>
      </c>
      <c r="B94" s="46" t="s">
        <v>966</v>
      </c>
      <c r="C94" s="46">
        <v>50070.0</v>
      </c>
      <c r="D94" s="46" t="s">
        <v>380</v>
      </c>
      <c r="E94" s="27"/>
      <c r="F94" s="28"/>
      <c r="G94" s="39">
        <v>1250.0</v>
      </c>
      <c r="H94" s="30"/>
      <c r="I94" s="31"/>
      <c r="J94" s="32"/>
      <c r="K94" s="33"/>
      <c r="L94" s="52">
        <v>1250.0</v>
      </c>
      <c r="M94" s="18">
        <f t="shared" si="1"/>
        <v>0</v>
      </c>
    </row>
    <row r="95">
      <c r="A95" s="41">
        <v>91.0</v>
      </c>
      <c r="B95" s="46" t="s">
        <v>967</v>
      </c>
      <c r="C95" s="46">
        <v>35245.0</v>
      </c>
      <c r="D95" s="46" t="s">
        <v>34</v>
      </c>
      <c r="E95" s="27"/>
      <c r="F95" s="28"/>
      <c r="G95" s="29"/>
      <c r="H95" s="30"/>
      <c r="I95" s="31"/>
      <c r="J95" s="35">
        <v>25000.0</v>
      </c>
      <c r="K95" s="33"/>
      <c r="L95" s="52">
        <v>25000.0</v>
      </c>
      <c r="M95" s="18">
        <f t="shared" si="1"/>
        <v>0</v>
      </c>
    </row>
    <row r="96">
      <c r="A96" s="41">
        <v>92.0</v>
      </c>
      <c r="B96" s="46" t="s">
        <v>968</v>
      </c>
      <c r="C96" s="46">
        <v>51802.0</v>
      </c>
      <c r="D96" s="46" t="s">
        <v>760</v>
      </c>
      <c r="E96" s="27"/>
      <c r="F96" s="28"/>
      <c r="G96" s="39">
        <v>5150.0</v>
      </c>
      <c r="H96" s="30"/>
      <c r="I96" s="31"/>
      <c r="J96" s="32"/>
      <c r="K96" s="33"/>
      <c r="L96" s="52">
        <v>5150.0</v>
      </c>
      <c r="M96" s="18">
        <f t="shared" si="1"/>
        <v>0</v>
      </c>
    </row>
    <row r="97">
      <c r="A97" s="41">
        <v>93.0</v>
      </c>
      <c r="B97" s="46" t="s">
        <v>969</v>
      </c>
      <c r="C97" s="46">
        <v>49953.0</v>
      </c>
      <c r="D97" s="46" t="s">
        <v>242</v>
      </c>
      <c r="E97" s="27"/>
      <c r="F97" s="28"/>
      <c r="G97" s="39">
        <v>9250.0</v>
      </c>
      <c r="H97" s="30"/>
      <c r="I97" s="31"/>
      <c r="J97" s="32"/>
      <c r="K97" s="33"/>
      <c r="L97" s="52">
        <v>9250.0</v>
      </c>
      <c r="M97" s="18">
        <f t="shared" si="1"/>
        <v>0</v>
      </c>
    </row>
    <row r="98">
      <c r="A98" s="41">
        <v>94.0</v>
      </c>
      <c r="B98" s="46" t="s">
        <v>970</v>
      </c>
      <c r="C98" s="46">
        <v>55179.0</v>
      </c>
      <c r="D98" s="46" t="s">
        <v>662</v>
      </c>
      <c r="E98" s="27"/>
      <c r="F98" s="28"/>
      <c r="G98" s="39">
        <v>30000.0</v>
      </c>
      <c r="H98" s="30"/>
      <c r="I98" s="31"/>
      <c r="J98" s="35"/>
      <c r="K98" s="33"/>
      <c r="L98" s="52">
        <v>30000.0</v>
      </c>
      <c r="M98" s="18">
        <f t="shared" si="1"/>
        <v>0</v>
      </c>
    </row>
    <row r="99">
      <c r="A99" s="41">
        <v>95.0</v>
      </c>
      <c r="B99" s="46" t="s">
        <v>971</v>
      </c>
      <c r="C99" s="46">
        <v>25650.0</v>
      </c>
      <c r="D99" s="46" t="s">
        <v>378</v>
      </c>
      <c r="E99" s="27"/>
      <c r="F99" s="37"/>
      <c r="G99" s="29"/>
      <c r="H99" s="30"/>
      <c r="I99" s="31"/>
      <c r="J99" s="35">
        <v>350.0</v>
      </c>
      <c r="K99" s="33"/>
      <c r="L99" s="52">
        <v>350.0</v>
      </c>
      <c r="M99" s="18">
        <f t="shared" si="1"/>
        <v>0</v>
      </c>
    </row>
    <row r="100">
      <c r="A100" s="41">
        <v>96.0</v>
      </c>
      <c r="B100" s="46" t="s">
        <v>972</v>
      </c>
      <c r="C100" s="46">
        <v>50221.0</v>
      </c>
      <c r="D100" s="46" t="s">
        <v>252</v>
      </c>
      <c r="E100" s="27"/>
      <c r="F100" s="37"/>
      <c r="G100" s="39">
        <v>2650.0</v>
      </c>
      <c r="H100" s="30"/>
      <c r="I100" s="31"/>
      <c r="J100" s="32"/>
      <c r="K100" s="33"/>
      <c r="L100" s="52">
        <v>2650.0</v>
      </c>
      <c r="M100" s="18">
        <f t="shared" si="1"/>
        <v>0</v>
      </c>
    </row>
    <row r="101">
      <c r="A101" s="41">
        <v>97.0</v>
      </c>
      <c r="B101" s="46" t="s">
        <v>973</v>
      </c>
      <c r="C101" s="46">
        <v>50148.0</v>
      </c>
      <c r="D101" s="46" t="s">
        <v>244</v>
      </c>
      <c r="E101" s="27"/>
      <c r="F101" s="28"/>
      <c r="G101" s="39">
        <v>20800.0</v>
      </c>
      <c r="H101" s="30"/>
      <c r="I101" s="31"/>
      <c r="J101" s="32"/>
      <c r="K101" s="33"/>
      <c r="L101" s="52">
        <v>20800.0</v>
      </c>
      <c r="M101" s="18">
        <f t="shared" si="1"/>
        <v>0</v>
      </c>
    </row>
    <row r="102">
      <c r="A102" s="41"/>
      <c r="B102" s="45"/>
      <c r="C102" s="45"/>
      <c r="D102" s="44"/>
      <c r="E102" s="22">
        <f t="shared" ref="E102:J102" si="2">SUM(E5:E101)</f>
        <v>5600</v>
      </c>
      <c r="F102" s="22">
        <f t="shared" si="2"/>
        <v>245500</v>
      </c>
      <c r="G102" s="22">
        <f t="shared" si="2"/>
        <v>79100</v>
      </c>
      <c r="H102" s="22">
        <f t="shared" si="2"/>
        <v>523820</v>
      </c>
      <c r="I102" s="22">
        <f t="shared" si="2"/>
        <v>274970</v>
      </c>
      <c r="J102" s="22">
        <f t="shared" si="2"/>
        <v>26000</v>
      </c>
      <c r="K102" s="22">
        <f>SUM(K24:K101)</f>
        <v>0</v>
      </c>
      <c r="L102" s="22">
        <f t="shared" ref="L102:M102" si="3">SUM(L5:L101)</f>
        <v>1154990</v>
      </c>
      <c r="M102" s="18">
        <f t="shared" si="3"/>
        <v>0</v>
      </c>
    </row>
    <row r="103">
      <c r="A103" s="23"/>
      <c r="B103" s="23"/>
      <c r="C103" s="23"/>
      <c r="D103" s="23"/>
      <c r="E103" s="24">
        <f>SUM(K102:M102)</f>
        <v>1154990</v>
      </c>
      <c r="F103" s="6"/>
      <c r="G103" s="6"/>
      <c r="H103" s="6"/>
      <c r="I103" s="6"/>
      <c r="J103" s="6"/>
      <c r="K103" s="7"/>
      <c r="L103" s="25"/>
      <c r="M103" s="23"/>
    </row>
    <row r="104">
      <c r="L104" s="40" t="s">
        <v>254</v>
      </c>
    </row>
  </sheetData>
  <mergeCells count="14">
    <mergeCell ref="F3:G3"/>
    <mergeCell ref="H3:I3"/>
    <mergeCell ref="J3:J4"/>
    <mergeCell ref="K3:K4"/>
    <mergeCell ref="E103:K103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5"/>
    <col customWidth="1" min="2" max="2" width="24.75"/>
    <col customWidth="1" min="4" max="4" width="43.25"/>
    <col customWidth="1" min="5" max="5" width="9.5"/>
  </cols>
  <sheetData>
    <row r="1">
      <c r="A1" s="1" t="s">
        <v>974</v>
      </c>
    </row>
    <row r="2">
      <c r="A2" s="2" t="s">
        <v>1</v>
      </c>
      <c r="B2" s="3" t="s">
        <v>2</v>
      </c>
      <c r="C2" s="2" t="s">
        <v>3</v>
      </c>
      <c r="D2" s="4" t="s">
        <v>4</v>
      </c>
      <c r="E2" s="5" t="s">
        <v>5</v>
      </c>
      <c r="F2" s="6"/>
      <c r="G2" s="6"/>
      <c r="H2" s="6"/>
      <c r="I2" s="6"/>
      <c r="J2" s="6"/>
      <c r="K2" s="6"/>
      <c r="L2" s="6"/>
      <c r="M2" s="7"/>
    </row>
    <row r="3">
      <c r="A3" s="8"/>
      <c r="B3" s="8"/>
      <c r="C3" s="8"/>
      <c r="D3" s="8"/>
      <c r="E3" s="2" t="s">
        <v>6</v>
      </c>
      <c r="F3" s="5" t="s">
        <v>7</v>
      </c>
      <c r="G3" s="7"/>
      <c r="H3" s="5" t="s">
        <v>8</v>
      </c>
      <c r="I3" s="7"/>
      <c r="J3" s="2" t="s">
        <v>9</v>
      </c>
      <c r="K3" s="4" t="s">
        <v>10</v>
      </c>
      <c r="L3" s="2" t="s">
        <v>11</v>
      </c>
      <c r="M3" s="2" t="s">
        <v>12</v>
      </c>
    </row>
    <row r="4">
      <c r="A4" s="9"/>
      <c r="B4" s="9"/>
      <c r="C4" s="9"/>
      <c r="D4" s="9"/>
      <c r="E4" s="9"/>
      <c r="F4" s="10" t="s">
        <v>13</v>
      </c>
      <c r="G4" s="10" t="s">
        <v>14</v>
      </c>
      <c r="H4" s="10" t="s">
        <v>15</v>
      </c>
      <c r="I4" s="11" t="s">
        <v>16</v>
      </c>
      <c r="J4" s="9"/>
      <c r="K4" s="9"/>
      <c r="L4" s="9"/>
      <c r="M4" s="9"/>
    </row>
    <row r="5">
      <c r="A5" s="41">
        <v>1.0</v>
      </c>
      <c r="B5" s="53" t="s">
        <v>975</v>
      </c>
      <c r="C5" s="53">
        <v>30933.0</v>
      </c>
      <c r="D5" s="53" t="s">
        <v>976</v>
      </c>
      <c r="E5" s="27"/>
      <c r="F5" s="28"/>
      <c r="G5" s="29"/>
      <c r="H5" s="30">
        <v>196400.0</v>
      </c>
      <c r="I5" s="31"/>
      <c r="J5" s="32"/>
      <c r="K5" s="33"/>
      <c r="L5" s="17">
        <v>196400.0</v>
      </c>
      <c r="M5" s="18">
        <f t="shared" ref="M5:M128" si="1">SUM(E5+F5+G5+H5+I5+J5+K5-L5)</f>
        <v>0</v>
      </c>
    </row>
    <row r="6">
      <c r="A6" s="41">
        <v>2.0</v>
      </c>
      <c r="B6" s="53" t="s">
        <v>977</v>
      </c>
      <c r="C6" s="53">
        <v>37344.0</v>
      </c>
      <c r="D6" s="53" t="s">
        <v>978</v>
      </c>
      <c r="E6" s="27"/>
      <c r="F6" s="28"/>
      <c r="G6" s="29"/>
      <c r="H6" s="34"/>
      <c r="I6" s="31"/>
      <c r="J6" s="35">
        <v>0.0</v>
      </c>
      <c r="K6" s="33"/>
      <c r="L6" s="17">
        <v>1.0</v>
      </c>
      <c r="M6" s="18">
        <f t="shared" si="1"/>
        <v>-1</v>
      </c>
    </row>
    <row r="7">
      <c r="A7" s="41">
        <v>3.0</v>
      </c>
      <c r="B7" s="53" t="s">
        <v>979</v>
      </c>
      <c r="C7" s="53">
        <v>37343.0</v>
      </c>
      <c r="D7" s="53" t="s">
        <v>980</v>
      </c>
      <c r="E7" s="27"/>
      <c r="F7" s="28"/>
      <c r="G7" s="29"/>
      <c r="H7" s="30"/>
      <c r="I7" s="31"/>
      <c r="J7" s="35">
        <v>0.0</v>
      </c>
      <c r="K7" s="33"/>
      <c r="L7" s="17">
        <v>1.0</v>
      </c>
      <c r="M7" s="18">
        <f t="shared" si="1"/>
        <v>-1</v>
      </c>
    </row>
    <row r="8">
      <c r="A8" s="41">
        <v>4.0</v>
      </c>
      <c r="B8" s="53" t="s">
        <v>981</v>
      </c>
      <c r="C8" s="53">
        <v>37342.0</v>
      </c>
      <c r="D8" s="53" t="s">
        <v>982</v>
      </c>
      <c r="E8" s="27"/>
      <c r="F8" s="28"/>
      <c r="G8" s="29"/>
      <c r="H8" s="30"/>
      <c r="I8" s="31"/>
      <c r="J8" s="35">
        <v>0.0</v>
      </c>
      <c r="K8" s="33"/>
      <c r="L8" s="17">
        <v>1.0</v>
      </c>
      <c r="M8" s="18">
        <f t="shared" si="1"/>
        <v>-1</v>
      </c>
    </row>
    <row r="9">
      <c r="A9" s="41">
        <v>5.0</v>
      </c>
      <c r="B9" s="53" t="s">
        <v>983</v>
      </c>
      <c r="C9" s="53">
        <v>37341.0</v>
      </c>
      <c r="D9" s="53" t="s">
        <v>984</v>
      </c>
      <c r="E9" s="27"/>
      <c r="F9" s="28"/>
      <c r="G9" s="29"/>
      <c r="H9" s="30"/>
      <c r="I9" s="31"/>
      <c r="J9" s="35">
        <v>0.0</v>
      </c>
      <c r="K9" s="33"/>
      <c r="L9" s="17">
        <v>1.0</v>
      </c>
      <c r="M9" s="18">
        <f t="shared" si="1"/>
        <v>-1</v>
      </c>
    </row>
    <row r="10">
      <c r="A10" s="41">
        <v>6.0</v>
      </c>
      <c r="B10" s="53" t="s">
        <v>985</v>
      </c>
      <c r="C10" s="53">
        <v>37340.0</v>
      </c>
      <c r="D10" s="53" t="s">
        <v>986</v>
      </c>
      <c r="E10" s="27"/>
      <c r="F10" s="28"/>
      <c r="G10" s="29"/>
      <c r="H10" s="30"/>
      <c r="I10" s="31"/>
      <c r="J10" s="35">
        <v>0.0</v>
      </c>
      <c r="K10" s="33"/>
      <c r="L10" s="17">
        <v>1.0</v>
      </c>
      <c r="M10" s="18">
        <f t="shared" si="1"/>
        <v>-1</v>
      </c>
    </row>
    <row r="11">
      <c r="A11" s="41">
        <v>7.0</v>
      </c>
      <c r="B11" s="53" t="s">
        <v>987</v>
      </c>
      <c r="C11" s="53">
        <v>37339.0</v>
      </c>
      <c r="D11" s="53" t="s">
        <v>988</v>
      </c>
      <c r="E11" s="27"/>
      <c r="F11" s="28"/>
      <c r="G11" s="29"/>
      <c r="H11" s="30"/>
      <c r="I11" s="31"/>
      <c r="J11" s="35">
        <v>0.0</v>
      </c>
      <c r="K11" s="33"/>
      <c r="L11" s="17">
        <v>1.0</v>
      </c>
      <c r="M11" s="18">
        <f t="shared" si="1"/>
        <v>-1</v>
      </c>
    </row>
    <row r="12">
      <c r="A12" s="41">
        <v>8.0</v>
      </c>
      <c r="B12" s="53" t="s">
        <v>989</v>
      </c>
      <c r="C12" s="53">
        <v>37338.0</v>
      </c>
      <c r="D12" s="53" t="s">
        <v>990</v>
      </c>
      <c r="E12" s="27"/>
      <c r="F12" s="28"/>
      <c r="G12" s="29"/>
      <c r="H12" s="30"/>
      <c r="I12" s="31"/>
      <c r="J12" s="35">
        <v>0.0</v>
      </c>
      <c r="K12" s="33"/>
      <c r="L12" s="17">
        <v>1.0</v>
      </c>
      <c r="M12" s="18">
        <f t="shared" si="1"/>
        <v>-1</v>
      </c>
    </row>
    <row r="13">
      <c r="A13" s="41">
        <v>9.0</v>
      </c>
      <c r="B13" s="53" t="s">
        <v>991</v>
      </c>
      <c r="C13" s="53">
        <v>37337.0</v>
      </c>
      <c r="D13" s="53" t="s">
        <v>992</v>
      </c>
      <c r="E13" s="27"/>
      <c r="F13" s="28"/>
      <c r="G13" s="29"/>
      <c r="H13" s="30"/>
      <c r="I13" s="31"/>
      <c r="J13" s="35">
        <v>0.0</v>
      </c>
      <c r="K13" s="33"/>
      <c r="L13" s="17">
        <v>1.0</v>
      </c>
      <c r="M13" s="18">
        <f t="shared" si="1"/>
        <v>-1</v>
      </c>
    </row>
    <row r="14">
      <c r="A14" s="41">
        <v>10.0</v>
      </c>
      <c r="B14" s="53" t="s">
        <v>993</v>
      </c>
      <c r="C14" s="53">
        <v>37336.0</v>
      </c>
      <c r="D14" s="53" t="s">
        <v>994</v>
      </c>
      <c r="E14" s="27"/>
      <c r="F14" s="28"/>
      <c r="G14" s="29"/>
      <c r="H14" s="30"/>
      <c r="I14" s="31"/>
      <c r="J14" s="35">
        <v>0.0</v>
      </c>
      <c r="K14" s="33"/>
      <c r="L14" s="17">
        <v>1.0</v>
      </c>
      <c r="M14" s="18">
        <f t="shared" si="1"/>
        <v>-1</v>
      </c>
    </row>
    <row r="15">
      <c r="A15" s="41">
        <v>11.0</v>
      </c>
      <c r="B15" s="53" t="s">
        <v>995</v>
      </c>
      <c r="C15" s="53">
        <v>37335.0</v>
      </c>
      <c r="D15" s="53" t="s">
        <v>996</v>
      </c>
      <c r="E15" s="27"/>
      <c r="F15" s="28"/>
      <c r="G15" s="29"/>
      <c r="H15" s="30"/>
      <c r="I15" s="31"/>
      <c r="J15" s="35">
        <v>0.0</v>
      </c>
      <c r="K15" s="33"/>
      <c r="L15" s="17">
        <v>1.0</v>
      </c>
      <c r="M15" s="18">
        <f t="shared" si="1"/>
        <v>-1</v>
      </c>
    </row>
    <row r="16">
      <c r="A16" s="41">
        <v>12.0</v>
      </c>
      <c r="B16" s="53" t="s">
        <v>997</v>
      </c>
      <c r="C16" s="53">
        <v>37269.0</v>
      </c>
      <c r="D16" s="53" t="s">
        <v>998</v>
      </c>
      <c r="E16" s="27"/>
      <c r="F16" s="28"/>
      <c r="G16" s="29"/>
      <c r="H16" s="30"/>
      <c r="I16" s="31"/>
      <c r="J16" s="35">
        <v>0.0</v>
      </c>
      <c r="K16" s="33"/>
      <c r="L16" s="17">
        <v>1.0</v>
      </c>
      <c r="M16" s="18">
        <f t="shared" si="1"/>
        <v>-1</v>
      </c>
    </row>
    <row r="17">
      <c r="A17" s="41">
        <v>13.0</v>
      </c>
      <c r="B17" s="53" t="s">
        <v>999</v>
      </c>
      <c r="C17" s="53">
        <v>37268.0</v>
      </c>
      <c r="D17" s="53" t="s">
        <v>1000</v>
      </c>
      <c r="E17" s="27"/>
      <c r="F17" s="28"/>
      <c r="G17" s="29"/>
      <c r="H17" s="30"/>
      <c r="I17" s="31"/>
      <c r="J17" s="35">
        <v>0.0</v>
      </c>
      <c r="K17" s="33"/>
      <c r="L17" s="17">
        <v>1.0</v>
      </c>
      <c r="M17" s="18">
        <f t="shared" si="1"/>
        <v>-1</v>
      </c>
    </row>
    <row r="18">
      <c r="A18" s="41">
        <v>14.0</v>
      </c>
      <c r="B18" s="53" t="s">
        <v>1001</v>
      </c>
      <c r="C18" s="53">
        <v>37267.0</v>
      </c>
      <c r="D18" s="53" t="s">
        <v>1002</v>
      </c>
      <c r="E18" s="27"/>
      <c r="F18" s="28"/>
      <c r="G18" s="29"/>
      <c r="H18" s="30"/>
      <c r="I18" s="31"/>
      <c r="J18" s="35">
        <v>0.0</v>
      </c>
      <c r="K18" s="33"/>
      <c r="L18" s="17">
        <v>1.0</v>
      </c>
      <c r="M18" s="18">
        <f t="shared" si="1"/>
        <v>-1</v>
      </c>
    </row>
    <row r="19">
      <c r="A19" s="41">
        <v>15.0</v>
      </c>
      <c r="B19" s="53" t="s">
        <v>1003</v>
      </c>
      <c r="C19" s="53">
        <v>37266.0</v>
      </c>
      <c r="D19" s="53" t="s">
        <v>1004</v>
      </c>
      <c r="E19" s="27"/>
      <c r="F19" s="37"/>
      <c r="G19" s="29"/>
      <c r="H19" s="30"/>
      <c r="I19" s="31"/>
      <c r="J19" s="35">
        <v>0.0</v>
      </c>
      <c r="K19" s="33"/>
      <c r="L19" s="17">
        <v>1.0</v>
      </c>
      <c r="M19" s="18">
        <f t="shared" si="1"/>
        <v>-1</v>
      </c>
    </row>
    <row r="20">
      <c r="A20" s="41">
        <v>16.0</v>
      </c>
      <c r="B20" s="53" t="s">
        <v>1005</v>
      </c>
      <c r="C20" s="53">
        <v>37265.0</v>
      </c>
      <c r="D20" s="53" t="s">
        <v>1006</v>
      </c>
      <c r="E20" s="27"/>
      <c r="F20" s="28"/>
      <c r="G20" s="29"/>
      <c r="H20" s="30"/>
      <c r="I20" s="31"/>
      <c r="J20" s="35">
        <v>0.0</v>
      </c>
      <c r="K20" s="33"/>
      <c r="L20" s="17">
        <v>1.0</v>
      </c>
      <c r="M20" s="18">
        <f t="shared" si="1"/>
        <v>-1</v>
      </c>
    </row>
    <row r="21">
      <c r="A21" s="41">
        <v>17.0</v>
      </c>
      <c r="B21" s="53" t="s">
        <v>1007</v>
      </c>
      <c r="C21" s="53">
        <v>37001.0</v>
      </c>
      <c r="D21" s="53" t="s">
        <v>1008</v>
      </c>
      <c r="E21" s="27"/>
      <c r="F21" s="28"/>
      <c r="G21" s="29"/>
      <c r="H21" s="30"/>
      <c r="I21" s="31"/>
      <c r="J21" s="35">
        <v>0.0</v>
      </c>
      <c r="K21" s="33"/>
      <c r="L21" s="17">
        <v>1.0</v>
      </c>
      <c r="M21" s="18">
        <f t="shared" si="1"/>
        <v>-1</v>
      </c>
    </row>
    <row r="22">
      <c r="A22" s="41">
        <v>18.0</v>
      </c>
      <c r="B22" s="53" t="s">
        <v>1009</v>
      </c>
      <c r="C22" s="53">
        <v>37000.0</v>
      </c>
      <c r="D22" s="53" t="s">
        <v>1010</v>
      </c>
      <c r="E22" s="27"/>
      <c r="F22" s="28"/>
      <c r="G22" s="29"/>
      <c r="H22" s="30"/>
      <c r="I22" s="31"/>
      <c r="J22" s="35">
        <v>0.0</v>
      </c>
      <c r="K22" s="33"/>
      <c r="L22" s="17">
        <v>1.0</v>
      </c>
      <c r="M22" s="18">
        <f t="shared" si="1"/>
        <v>-1</v>
      </c>
    </row>
    <row r="23">
      <c r="A23" s="41">
        <v>19.0</v>
      </c>
      <c r="B23" s="53" t="s">
        <v>1011</v>
      </c>
      <c r="C23" s="53">
        <v>36999.0</v>
      </c>
      <c r="D23" s="53" t="s">
        <v>1012</v>
      </c>
      <c r="E23" s="27"/>
      <c r="F23" s="37"/>
      <c r="G23" s="29"/>
      <c r="H23" s="30"/>
      <c r="I23" s="31"/>
      <c r="J23" s="35">
        <v>0.0</v>
      </c>
      <c r="K23" s="33"/>
      <c r="L23" s="17">
        <v>1.0</v>
      </c>
      <c r="M23" s="18">
        <f t="shared" si="1"/>
        <v>-1</v>
      </c>
    </row>
    <row r="24">
      <c r="A24" s="41">
        <v>20.0</v>
      </c>
      <c r="B24" s="53" t="s">
        <v>1013</v>
      </c>
      <c r="C24" s="53">
        <v>36998.0</v>
      </c>
      <c r="D24" s="53" t="s">
        <v>1014</v>
      </c>
      <c r="E24" s="27"/>
      <c r="F24" s="28"/>
      <c r="G24" s="29"/>
      <c r="H24" s="30"/>
      <c r="I24" s="31"/>
      <c r="J24" s="35">
        <v>0.0</v>
      </c>
      <c r="K24" s="33"/>
      <c r="L24" s="17">
        <v>1.0</v>
      </c>
      <c r="M24" s="18">
        <f t="shared" si="1"/>
        <v>-1</v>
      </c>
    </row>
    <row r="25">
      <c r="A25" s="41">
        <v>21.0</v>
      </c>
      <c r="B25" s="53" t="s">
        <v>1015</v>
      </c>
      <c r="C25" s="53">
        <v>36997.0</v>
      </c>
      <c r="D25" s="53" t="s">
        <v>1016</v>
      </c>
      <c r="E25" s="27"/>
      <c r="F25" s="28"/>
      <c r="G25" s="29"/>
      <c r="H25" s="30"/>
      <c r="I25" s="31"/>
      <c r="J25" s="35">
        <v>0.0</v>
      </c>
      <c r="K25" s="33"/>
      <c r="L25" s="17">
        <v>1.0</v>
      </c>
      <c r="M25" s="18">
        <f t="shared" si="1"/>
        <v>-1</v>
      </c>
    </row>
    <row r="26">
      <c r="A26" s="41">
        <v>22.0</v>
      </c>
      <c r="B26" s="53" t="s">
        <v>1017</v>
      </c>
      <c r="C26" s="53">
        <v>36796.0</v>
      </c>
      <c r="D26" s="53" t="s">
        <v>1018</v>
      </c>
      <c r="E26" s="27"/>
      <c r="F26" s="37"/>
      <c r="G26" s="29"/>
      <c r="H26" s="30"/>
      <c r="I26" s="36"/>
      <c r="J26" s="35">
        <v>0.0</v>
      </c>
      <c r="K26" s="33"/>
      <c r="L26" s="17">
        <v>1.0</v>
      </c>
      <c r="M26" s="18">
        <f t="shared" si="1"/>
        <v>-1</v>
      </c>
    </row>
    <row r="27">
      <c r="A27" s="41">
        <v>23.0</v>
      </c>
      <c r="B27" s="53" t="s">
        <v>1019</v>
      </c>
      <c r="C27" s="53">
        <v>36795.0</v>
      </c>
      <c r="D27" s="53" t="s">
        <v>1020</v>
      </c>
      <c r="E27" s="38"/>
      <c r="F27" s="28"/>
      <c r="G27" s="29"/>
      <c r="H27" s="30"/>
      <c r="I27" s="36"/>
      <c r="J27" s="35">
        <v>0.0</v>
      </c>
      <c r="K27" s="33"/>
      <c r="L27" s="17">
        <v>1.0</v>
      </c>
      <c r="M27" s="18">
        <f t="shared" si="1"/>
        <v>-1</v>
      </c>
    </row>
    <row r="28">
      <c r="A28" s="41">
        <v>24.0</v>
      </c>
      <c r="B28" s="53" t="s">
        <v>1021</v>
      </c>
      <c r="C28" s="53">
        <v>36794.0</v>
      </c>
      <c r="D28" s="53" t="s">
        <v>1022</v>
      </c>
      <c r="E28" s="27"/>
      <c r="F28" s="37"/>
      <c r="G28" s="29"/>
      <c r="H28" s="30"/>
      <c r="I28" s="31"/>
      <c r="J28" s="35">
        <v>0.0</v>
      </c>
      <c r="K28" s="33"/>
      <c r="L28" s="17">
        <v>1.0</v>
      </c>
      <c r="M28" s="18">
        <f t="shared" si="1"/>
        <v>-1</v>
      </c>
    </row>
    <row r="29">
      <c r="A29" s="41">
        <v>25.0</v>
      </c>
      <c r="B29" s="53" t="s">
        <v>1023</v>
      </c>
      <c r="C29" s="53">
        <v>36793.0</v>
      </c>
      <c r="D29" s="53" t="s">
        <v>1024</v>
      </c>
      <c r="E29" s="27"/>
      <c r="F29" s="28"/>
      <c r="G29" s="29"/>
      <c r="H29" s="30"/>
      <c r="I29" s="31"/>
      <c r="J29" s="35">
        <v>0.0</v>
      </c>
      <c r="K29" s="33"/>
      <c r="L29" s="17">
        <v>1.0</v>
      </c>
      <c r="M29" s="18">
        <f t="shared" si="1"/>
        <v>-1</v>
      </c>
    </row>
    <row r="30">
      <c r="A30" s="41">
        <v>26.0</v>
      </c>
      <c r="B30" s="53" t="s">
        <v>1025</v>
      </c>
      <c r="C30" s="53">
        <v>36792.0</v>
      </c>
      <c r="D30" s="53" t="s">
        <v>1026</v>
      </c>
      <c r="E30" s="27"/>
      <c r="F30" s="28"/>
      <c r="G30" s="29"/>
      <c r="H30" s="34"/>
      <c r="I30" s="31"/>
      <c r="J30" s="35">
        <v>0.0</v>
      </c>
      <c r="K30" s="33"/>
      <c r="L30" s="17">
        <v>1.0</v>
      </c>
      <c r="M30" s="18">
        <f t="shared" si="1"/>
        <v>-1</v>
      </c>
    </row>
    <row r="31">
      <c r="A31" s="41">
        <v>27.0</v>
      </c>
      <c r="B31" s="53" t="s">
        <v>1027</v>
      </c>
      <c r="C31" s="53">
        <v>57535.0</v>
      </c>
      <c r="D31" s="53" t="s">
        <v>1028</v>
      </c>
      <c r="E31" s="27"/>
      <c r="F31" s="28"/>
      <c r="G31" s="29"/>
      <c r="H31" s="30"/>
      <c r="I31" s="31"/>
      <c r="J31" s="35">
        <v>0.0</v>
      </c>
      <c r="K31" s="33"/>
      <c r="L31" s="17">
        <v>1.0</v>
      </c>
      <c r="M31" s="18">
        <f t="shared" si="1"/>
        <v>-1</v>
      </c>
    </row>
    <row r="32">
      <c r="A32" s="41">
        <v>28.0</v>
      </c>
      <c r="B32" s="53" t="s">
        <v>1029</v>
      </c>
      <c r="C32" s="53">
        <v>57534.0</v>
      </c>
      <c r="D32" s="53" t="s">
        <v>1030</v>
      </c>
      <c r="E32" s="27"/>
      <c r="F32" s="28"/>
      <c r="G32" s="29"/>
      <c r="H32" s="30"/>
      <c r="I32" s="31"/>
      <c r="J32" s="35">
        <v>0.0</v>
      </c>
      <c r="K32" s="33"/>
      <c r="L32" s="17">
        <v>1.0</v>
      </c>
      <c r="M32" s="18">
        <f t="shared" si="1"/>
        <v>-1</v>
      </c>
    </row>
    <row r="33">
      <c r="A33" s="41">
        <v>29.0</v>
      </c>
      <c r="B33" s="53" t="s">
        <v>1031</v>
      </c>
      <c r="C33" s="53">
        <v>57533.0</v>
      </c>
      <c r="D33" s="53" t="s">
        <v>1032</v>
      </c>
      <c r="E33" s="27"/>
      <c r="F33" s="28"/>
      <c r="G33" s="29"/>
      <c r="H33" s="30"/>
      <c r="I33" s="31"/>
      <c r="J33" s="35">
        <v>0.0</v>
      </c>
      <c r="K33" s="33"/>
      <c r="L33" s="17">
        <v>1.0</v>
      </c>
      <c r="M33" s="18">
        <f t="shared" si="1"/>
        <v>-1</v>
      </c>
    </row>
    <row r="34">
      <c r="A34" s="41">
        <v>30.0</v>
      </c>
      <c r="B34" s="53" t="s">
        <v>1033</v>
      </c>
      <c r="C34" s="53">
        <v>57532.0</v>
      </c>
      <c r="D34" s="53" t="s">
        <v>1034</v>
      </c>
      <c r="E34" s="27"/>
      <c r="F34" s="28"/>
      <c r="G34" s="29"/>
      <c r="H34" s="30"/>
      <c r="I34" s="31"/>
      <c r="J34" s="35">
        <v>0.0</v>
      </c>
      <c r="K34" s="33"/>
      <c r="L34" s="17">
        <v>1.0</v>
      </c>
      <c r="M34" s="18">
        <f t="shared" si="1"/>
        <v>-1</v>
      </c>
    </row>
    <row r="35">
      <c r="A35" s="41">
        <v>31.0</v>
      </c>
      <c r="B35" s="53" t="s">
        <v>1035</v>
      </c>
      <c r="C35" s="53">
        <v>50119.0</v>
      </c>
      <c r="D35" s="53" t="s">
        <v>1036</v>
      </c>
      <c r="E35" s="27"/>
      <c r="F35" s="28"/>
      <c r="G35" s="29"/>
      <c r="H35" s="30"/>
      <c r="I35" s="31">
        <v>1427.0</v>
      </c>
      <c r="J35" s="32"/>
      <c r="K35" s="33"/>
      <c r="L35" s="17">
        <v>1427.0</v>
      </c>
      <c r="M35" s="18">
        <f t="shared" si="1"/>
        <v>0</v>
      </c>
    </row>
    <row r="36">
      <c r="A36" s="41">
        <v>32.0</v>
      </c>
      <c r="B36" s="53" t="s">
        <v>1037</v>
      </c>
      <c r="C36" s="53">
        <v>48052.0</v>
      </c>
      <c r="D36" s="53" t="s">
        <v>796</v>
      </c>
      <c r="E36" s="27"/>
      <c r="F36" s="28"/>
      <c r="G36" s="29"/>
      <c r="H36" s="30">
        <v>2500.0</v>
      </c>
      <c r="I36" s="31"/>
      <c r="J36" s="32"/>
      <c r="K36" s="33"/>
      <c r="L36" s="17">
        <v>2500.0</v>
      </c>
      <c r="M36" s="18">
        <f t="shared" si="1"/>
        <v>0</v>
      </c>
    </row>
    <row r="37">
      <c r="A37" s="41">
        <v>33.0</v>
      </c>
      <c r="B37" s="53" t="s">
        <v>1038</v>
      </c>
      <c r="C37" s="53">
        <v>50871.0</v>
      </c>
      <c r="D37" s="53" t="s">
        <v>105</v>
      </c>
      <c r="E37" s="27"/>
      <c r="F37" s="28"/>
      <c r="G37" s="29"/>
      <c r="H37" s="30">
        <v>56450.0</v>
      </c>
      <c r="I37" s="31"/>
      <c r="J37" s="32"/>
      <c r="K37" s="33"/>
      <c r="L37" s="17">
        <v>56450.0</v>
      </c>
      <c r="M37" s="18">
        <f t="shared" si="1"/>
        <v>0</v>
      </c>
    </row>
    <row r="38">
      <c r="A38" s="41">
        <v>34.0</v>
      </c>
      <c r="B38" s="53" t="s">
        <v>1039</v>
      </c>
      <c r="C38" s="53">
        <v>26005.0</v>
      </c>
      <c r="D38" s="53" t="s">
        <v>86</v>
      </c>
      <c r="E38" s="27"/>
      <c r="F38" s="37">
        <v>32500.0</v>
      </c>
      <c r="G38" s="29"/>
      <c r="H38" s="30"/>
      <c r="I38" s="31"/>
      <c r="J38" s="32"/>
      <c r="K38" s="33"/>
      <c r="L38" s="17">
        <v>32500.0</v>
      </c>
      <c r="M38" s="18">
        <f t="shared" si="1"/>
        <v>0</v>
      </c>
    </row>
    <row r="39">
      <c r="A39" s="41">
        <v>35.0</v>
      </c>
      <c r="B39" s="53" t="s">
        <v>1040</v>
      </c>
      <c r="C39" s="53">
        <v>26005.0</v>
      </c>
      <c r="D39" s="53" t="s">
        <v>86</v>
      </c>
      <c r="E39" s="38">
        <v>270.0</v>
      </c>
      <c r="F39" s="28"/>
      <c r="G39" s="29"/>
      <c r="H39" s="30"/>
      <c r="I39" s="31"/>
      <c r="J39" s="35"/>
      <c r="K39" s="33"/>
      <c r="L39" s="17">
        <v>270.0</v>
      </c>
      <c r="M39" s="18">
        <f t="shared" si="1"/>
        <v>0</v>
      </c>
    </row>
    <row r="40">
      <c r="A40" s="41">
        <v>36.0</v>
      </c>
      <c r="B40" s="53" t="s">
        <v>1041</v>
      </c>
      <c r="C40" s="53">
        <v>25541.0</v>
      </c>
      <c r="D40" s="53" t="s">
        <v>1042</v>
      </c>
      <c r="E40" s="27"/>
      <c r="F40" s="37">
        <v>500.0</v>
      </c>
      <c r="G40" s="29"/>
      <c r="H40" s="30"/>
      <c r="I40" s="36"/>
      <c r="J40" s="32"/>
      <c r="K40" s="33"/>
      <c r="L40" s="17">
        <v>500.0</v>
      </c>
      <c r="M40" s="18">
        <f t="shared" si="1"/>
        <v>0</v>
      </c>
    </row>
    <row r="41">
      <c r="A41" s="41">
        <v>37.0</v>
      </c>
      <c r="B41" s="53" t="s">
        <v>1043</v>
      </c>
      <c r="C41" s="53">
        <v>42071.0</v>
      </c>
      <c r="D41" s="53" t="s">
        <v>30</v>
      </c>
      <c r="E41" s="27"/>
      <c r="F41" s="28"/>
      <c r="G41" s="29"/>
      <c r="H41" s="30"/>
      <c r="I41" s="31">
        <v>204.0</v>
      </c>
      <c r="J41" s="35"/>
      <c r="K41" s="33"/>
      <c r="L41" s="17">
        <v>204.0</v>
      </c>
      <c r="M41" s="18">
        <f t="shared" si="1"/>
        <v>0</v>
      </c>
    </row>
    <row r="42">
      <c r="A42" s="41">
        <v>38.0</v>
      </c>
      <c r="B42" s="53" t="s">
        <v>1044</v>
      </c>
      <c r="C42" s="53">
        <v>44149.0</v>
      </c>
      <c r="D42" s="53" t="s">
        <v>32</v>
      </c>
      <c r="E42" s="27"/>
      <c r="F42" s="28"/>
      <c r="G42" s="29"/>
      <c r="H42" s="30">
        <v>3000.0</v>
      </c>
      <c r="I42" s="31"/>
      <c r="J42" s="35"/>
      <c r="K42" s="33"/>
      <c r="L42" s="17">
        <v>3000.0</v>
      </c>
      <c r="M42" s="18">
        <f t="shared" si="1"/>
        <v>0</v>
      </c>
    </row>
    <row r="43">
      <c r="A43" s="41">
        <v>39.0</v>
      </c>
      <c r="B43" s="53" t="s">
        <v>1045</v>
      </c>
      <c r="C43" s="53">
        <v>50538.0</v>
      </c>
      <c r="D43" s="53" t="s">
        <v>605</v>
      </c>
      <c r="E43" s="27"/>
      <c r="F43" s="28"/>
      <c r="G43" s="29"/>
      <c r="H43" s="30">
        <v>430.0</v>
      </c>
      <c r="I43" s="36"/>
      <c r="J43" s="32"/>
      <c r="K43" s="33"/>
      <c r="L43" s="17">
        <v>430.0</v>
      </c>
      <c r="M43" s="18">
        <f t="shared" si="1"/>
        <v>0</v>
      </c>
    </row>
    <row r="44">
      <c r="A44" s="41">
        <v>40.0</v>
      </c>
      <c r="B44" s="53" t="s">
        <v>1046</v>
      </c>
      <c r="C44" s="53">
        <v>10006.0</v>
      </c>
      <c r="D44" s="53" t="s">
        <v>654</v>
      </c>
      <c r="E44" s="27"/>
      <c r="F44" s="28"/>
      <c r="G44" s="29"/>
      <c r="H44" s="30">
        <v>15000.0</v>
      </c>
      <c r="I44" s="31"/>
      <c r="J44" s="32"/>
      <c r="K44" s="33"/>
      <c r="L44" s="17">
        <v>15000.0</v>
      </c>
      <c r="M44" s="18">
        <f t="shared" si="1"/>
        <v>0</v>
      </c>
    </row>
    <row r="45">
      <c r="A45" s="41">
        <v>41.0</v>
      </c>
      <c r="B45" s="53" t="s">
        <v>1047</v>
      </c>
      <c r="C45" s="53">
        <v>50593.0</v>
      </c>
      <c r="D45" s="53" t="s">
        <v>1048</v>
      </c>
      <c r="E45" s="27"/>
      <c r="F45" s="28"/>
      <c r="G45" s="29"/>
      <c r="H45" s="30"/>
      <c r="I45" s="31">
        <v>357500.0</v>
      </c>
      <c r="J45" s="32"/>
      <c r="K45" s="33"/>
      <c r="L45" s="17">
        <v>357500.0</v>
      </c>
      <c r="M45" s="18">
        <f t="shared" si="1"/>
        <v>0</v>
      </c>
    </row>
    <row r="46">
      <c r="A46" s="41">
        <v>42.0</v>
      </c>
      <c r="B46" s="53" t="s">
        <v>1049</v>
      </c>
      <c r="C46" s="53">
        <v>54455.0</v>
      </c>
      <c r="D46" s="53" t="s">
        <v>360</v>
      </c>
      <c r="E46" s="38"/>
      <c r="F46" s="37"/>
      <c r="G46" s="29"/>
      <c r="H46" s="30"/>
      <c r="I46" s="31">
        <v>15000.0</v>
      </c>
      <c r="J46" s="32"/>
      <c r="K46" s="33"/>
      <c r="L46" s="17">
        <v>15000.0</v>
      </c>
      <c r="M46" s="18">
        <f t="shared" si="1"/>
        <v>0</v>
      </c>
    </row>
    <row r="47">
      <c r="A47" s="41">
        <v>43.0</v>
      </c>
      <c r="B47" s="53" t="s">
        <v>1050</v>
      </c>
      <c r="C47" s="53">
        <v>52576.0</v>
      </c>
      <c r="D47" s="53" t="s">
        <v>394</v>
      </c>
      <c r="E47" s="38"/>
      <c r="F47" s="37"/>
      <c r="G47" s="29"/>
      <c r="H47" s="30">
        <v>15000.0</v>
      </c>
      <c r="I47" s="31"/>
      <c r="J47" s="32"/>
      <c r="K47" s="33"/>
      <c r="L47" s="17">
        <v>15000.0</v>
      </c>
      <c r="M47" s="18">
        <f t="shared" si="1"/>
        <v>0</v>
      </c>
    </row>
    <row r="48">
      <c r="A48" s="41">
        <v>44.0</v>
      </c>
      <c r="B48" s="53" t="s">
        <v>1051</v>
      </c>
      <c r="C48" s="53">
        <v>52882.0</v>
      </c>
      <c r="D48" s="53" t="s">
        <v>720</v>
      </c>
      <c r="E48" s="27"/>
      <c r="F48" s="28"/>
      <c r="G48" s="29"/>
      <c r="H48" s="30">
        <v>10000.0</v>
      </c>
      <c r="I48" s="31"/>
      <c r="J48" s="32"/>
      <c r="K48" s="33"/>
      <c r="L48" s="17">
        <v>10000.0</v>
      </c>
      <c r="M48" s="18">
        <f t="shared" si="1"/>
        <v>0</v>
      </c>
    </row>
    <row r="49">
      <c r="A49" s="41">
        <v>45.0</v>
      </c>
      <c r="B49" s="53" t="s">
        <v>1052</v>
      </c>
      <c r="C49" s="53">
        <v>33065.0</v>
      </c>
      <c r="D49" s="53" t="s">
        <v>36</v>
      </c>
      <c r="E49" s="27"/>
      <c r="F49" s="28"/>
      <c r="G49" s="29"/>
      <c r="H49" s="30">
        <v>10000.0</v>
      </c>
      <c r="I49" s="31"/>
      <c r="J49" s="32"/>
      <c r="K49" s="33"/>
      <c r="L49" s="17">
        <v>10000.0</v>
      </c>
      <c r="M49" s="18">
        <f t="shared" si="1"/>
        <v>0</v>
      </c>
    </row>
    <row r="50">
      <c r="A50" s="41">
        <v>46.0</v>
      </c>
      <c r="B50" s="53" t="s">
        <v>1053</v>
      </c>
      <c r="C50" s="53">
        <v>48973.0</v>
      </c>
      <c r="D50" s="53" t="s">
        <v>716</v>
      </c>
      <c r="E50" s="27"/>
      <c r="F50" s="37"/>
      <c r="G50" s="29"/>
      <c r="H50" s="30">
        <v>27000.0</v>
      </c>
      <c r="I50" s="31"/>
      <c r="J50" s="32"/>
      <c r="K50" s="33"/>
      <c r="L50" s="17">
        <v>27000.0</v>
      </c>
      <c r="M50" s="18">
        <f t="shared" si="1"/>
        <v>0</v>
      </c>
    </row>
    <row r="51">
      <c r="A51" s="41">
        <v>47.0</v>
      </c>
      <c r="B51" s="53" t="s">
        <v>1054</v>
      </c>
      <c r="C51" s="53">
        <v>55403.0</v>
      </c>
      <c r="D51" s="53" t="s">
        <v>1055</v>
      </c>
      <c r="E51" s="27"/>
      <c r="F51" s="37">
        <v>500.0</v>
      </c>
      <c r="G51" s="29"/>
      <c r="H51" s="30"/>
      <c r="I51" s="31"/>
      <c r="J51" s="32"/>
      <c r="K51" s="33"/>
      <c r="L51" s="17">
        <v>500.0</v>
      </c>
      <c r="M51" s="18">
        <f t="shared" si="1"/>
        <v>0</v>
      </c>
    </row>
    <row r="52">
      <c r="A52" s="41">
        <v>48.0</v>
      </c>
      <c r="B52" s="53" t="s">
        <v>1056</v>
      </c>
      <c r="C52" s="53">
        <v>21818.0</v>
      </c>
      <c r="D52" s="53" t="s">
        <v>69</v>
      </c>
      <c r="E52" s="27"/>
      <c r="F52" s="28"/>
      <c r="G52" s="39"/>
      <c r="H52" s="30"/>
      <c r="I52" s="36"/>
      <c r="J52" s="35">
        <v>1000.0</v>
      </c>
      <c r="K52" s="33"/>
      <c r="L52" s="17">
        <v>1000.0</v>
      </c>
      <c r="M52" s="18">
        <f t="shared" si="1"/>
        <v>0</v>
      </c>
    </row>
    <row r="53">
      <c r="A53" s="41">
        <v>49.0</v>
      </c>
      <c r="B53" s="53" t="s">
        <v>1057</v>
      </c>
      <c r="C53" s="53">
        <v>50878.0</v>
      </c>
      <c r="D53" s="53" t="s">
        <v>1058</v>
      </c>
      <c r="E53" s="27"/>
      <c r="F53" s="37"/>
      <c r="G53" s="29"/>
      <c r="H53" s="30">
        <v>300.0</v>
      </c>
      <c r="I53" s="31"/>
      <c r="J53" s="32"/>
      <c r="K53" s="33"/>
      <c r="L53" s="17">
        <v>300.0</v>
      </c>
      <c r="M53" s="18">
        <f t="shared" si="1"/>
        <v>0</v>
      </c>
    </row>
    <row r="54">
      <c r="A54" s="41">
        <v>50.0</v>
      </c>
      <c r="B54" s="53" t="s">
        <v>1059</v>
      </c>
      <c r="C54" s="53">
        <v>44168.0</v>
      </c>
      <c r="D54" s="53" t="s">
        <v>55</v>
      </c>
      <c r="E54" s="27"/>
      <c r="F54" s="28"/>
      <c r="G54" s="29"/>
      <c r="H54" s="30"/>
      <c r="I54" s="31">
        <v>1400.0</v>
      </c>
      <c r="J54" s="32"/>
      <c r="K54" s="33"/>
      <c r="L54" s="17">
        <v>1400.0</v>
      </c>
      <c r="M54" s="18">
        <f t="shared" si="1"/>
        <v>0</v>
      </c>
    </row>
    <row r="55">
      <c r="A55" s="41">
        <v>51.0</v>
      </c>
      <c r="B55" s="53" t="s">
        <v>1060</v>
      </c>
      <c r="C55" s="53">
        <v>10683.0</v>
      </c>
      <c r="D55" s="53" t="s">
        <v>568</v>
      </c>
      <c r="E55" s="27"/>
      <c r="F55" s="28"/>
      <c r="G55" s="29"/>
      <c r="H55" s="30">
        <v>1550.0</v>
      </c>
      <c r="I55" s="31"/>
      <c r="J55" s="32"/>
      <c r="K55" s="33"/>
      <c r="L55" s="17">
        <v>1550.0</v>
      </c>
      <c r="M55" s="18">
        <f t="shared" si="1"/>
        <v>0</v>
      </c>
    </row>
    <row r="56">
      <c r="A56" s="41">
        <v>52.0</v>
      </c>
      <c r="B56" s="53" t="s">
        <v>1061</v>
      </c>
      <c r="C56" s="53">
        <v>48631.0</v>
      </c>
      <c r="D56" s="53" t="s">
        <v>118</v>
      </c>
      <c r="E56" s="27"/>
      <c r="F56" s="28"/>
      <c r="G56" s="29"/>
      <c r="H56" s="30">
        <v>350.0</v>
      </c>
      <c r="I56" s="31"/>
      <c r="J56" s="32"/>
      <c r="K56" s="33"/>
      <c r="L56" s="17">
        <v>350.0</v>
      </c>
      <c r="M56" s="18">
        <f t="shared" si="1"/>
        <v>0</v>
      </c>
    </row>
    <row r="57">
      <c r="A57" s="41">
        <v>53.0</v>
      </c>
      <c r="B57" s="53" t="s">
        <v>1062</v>
      </c>
      <c r="C57" s="53">
        <v>37642.0</v>
      </c>
      <c r="D57" s="53" t="s">
        <v>482</v>
      </c>
      <c r="E57" s="27"/>
      <c r="F57" s="37">
        <v>40000.0</v>
      </c>
      <c r="G57" s="29"/>
      <c r="H57" s="30"/>
      <c r="I57" s="31"/>
      <c r="J57" s="32"/>
      <c r="K57" s="33"/>
      <c r="L57" s="17">
        <v>40000.0</v>
      </c>
      <c r="M57" s="18">
        <f t="shared" si="1"/>
        <v>0</v>
      </c>
    </row>
    <row r="58">
      <c r="A58" s="41">
        <v>54.0</v>
      </c>
      <c r="B58" s="53" t="s">
        <v>1063</v>
      </c>
      <c r="C58" s="53">
        <v>35245.0</v>
      </c>
      <c r="D58" s="53" t="s">
        <v>34</v>
      </c>
      <c r="E58" s="27"/>
      <c r="F58" s="28"/>
      <c r="G58" s="29"/>
      <c r="H58" s="30">
        <v>16307.0</v>
      </c>
      <c r="I58" s="31"/>
      <c r="J58" s="32"/>
      <c r="K58" s="33"/>
      <c r="L58" s="17">
        <v>16307.0</v>
      </c>
      <c r="M58" s="18">
        <f t="shared" si="1"/>
        <v>0</v>
      </c>
    </row>
    <row r="59">
      <c r="A59" s="41">
        <v>55.0</v>
      </c>
      <c r="B59" s="53" t="s">
        <v>1064</v>
      </c>
      <c r="C59" s="53">
        <v>46368.0</v>
      </c>
      <c r="D59" s="53" t="s">
        <v>1065</v>
      </c>
      <c r="E59" s="27"/>
      <c r="F59" s="28"/>
      <c r="G59" s="29"/>
      <c r="H59" s="30"/>
      <c r="I59" s="31">
        <v>10000.0</v>
      </c>
      <c r="J59" s="32"/>
      <c r="K59" s="33"/>
      <c r="L59" s="17">
        <v>10000.0</v>
      </c>
      <c r="M59" s="18">
        <f t="shared" si="1"/>
        <v>0</v>
      </c>
    </row>
    <row r="60">
      <c r="A60" s="41">
        <v>56.0</v>
      </c>
      <c r="B60" s="53" t="s">
        <v>1066</v>
      </c>
      <c r="C60" s="53">
        <v>54421.0</v>
      </c>
      <c r="D60" s="53" t="s">
        <v>1067</v>
      </c>
      <c r="E60" s="27"/>
      <c r="F60" s="28"/>
      <c r="G60" s="29"/>
      <c r="H60" s="30">
        <v>400.0</v>
      </c>
      <c r="I60" s="31"/>
      <c r="J60" s="32"/>
      <c r="K60" s="33"/>
      <c r="L60" s="17">
        <v>400.0</v>
      </c>
      <c r="M60" s="18">
        <f t="shared" si="1"/>
        <v>0</v>
      </c>
    </row>
    <row r="61">
      <c r="A61" s="41">
        <v>57.0</v>
      </c>
      <c r="B61" s="53" t="s">
        <v>1068</v>
      </c>
      <c r="C61" s="53">
        <v>55403.0</v>
      </c>
      <c r="D61" s="53" t="s">
        <v>1055</v>
      </c>
      <c r="E61" s="38"/>
      <c r="F61" s="37">
        <v>500.0</v>
      </c>
      <c r="G61" s="29"/>
      <c r="H61" s="30"/>
      <c r="I61" s="31"/>
      <c r="J61" s="32"/>
      <c r="K61" s="33"/>
      <c r="L61" s="17">
        <v>500.0</v>
      </c>
      <c r="M61" s="18">
        <f t="shared" si="1"/>
        <v>0</v>
      </c>
    </row>
    <row r="62">
      <c r="A62" s="41">
        <v>58.0</v>
      </c>
      <c r="B62" s="53" t="s">
        <v>1069</v>
      </c>
      <c r="C62" s="53">
        <v>35227.0</v>
      </c>
      <c r="D62" s="53" t="s">
        <v>386</v>
      </c>
      <c r="E62" s="38">
        <v>250.0</v>
      </c>
      <c r="F62" s="28"/>
      <c r="G62" s="39"/>
      <c r="H62" s="30"/>
      <c r="I62" s="31">
        <v>1000.0</v>
      </c>
      <c r="J62" s="35"/>
      <c r="K62" s="33"/>
      <c r="L62" s="17">
        <v>1250.0</v>
      </c>
      <c r="M62" s="18">
        <f t="shared" si="1"/>
        <v>0</v>
      </c>
    </row>
    <row r="63">
      <c r="A63" s="41">
        <v>59.0</v>
      </c>
      <c r="B63" s="53" t="s">
        <v>1070</v>
      </c>
      <c r="C63" s="53">
        <v>43395.0</v>
      </c>
      <c r="D63" s="53" t="s">
        <v>1071</v>
      </c>
      <c r="E63" s="27"/>
      <c r="F63" s="28"/>
      <c r="G63" s="29"/>
      <c r="H63" s="30">
        <v>4600.0</v>
      </c>
      <c r="I63" s="31"/>
      <c r="J63" s="32"/>
      <c r="K63" s="33"/>
      <c r="L63" s="17">
        <v>4600.0</v>
      </c>
      <c r="M63" s="18">
        <f t="shared" si="1"/>
        <v>0</v>
      </c>
    </row>
    <row r="64">
      <c r="A64" s="41">
        <v>60.0</v>
      </c>
      <c r="B64" s="53" t="s">
        <v>1072</v>
      </c>
      <c r="C64" s="53">
        <v>51040.0</v>
      </c>
      <c r="D64" s="53" t="s">
        <v>196</v>
      </c>
      <c r="E64" s="38"/>
      <c r="F64" s="37">
        <v>34500.0</v>
      </c>
      <c r="G64" s="29"/>
      <c r="H64" s="30"/>
      <c r="I64" s="31"/>
      <c r="J64" s="32"/>
      <c r="K64" s="33"/>
      <c r="L64" s="17">
        <v>34500.0</v>
      </c>
      <c r="M64" s="18">
        <f t="shared" si="1"/>
        <v>0</v>
      </c>
    </row>
    <row r="65">
      <c r="A65" s="41">
        <v>61.0</v>
      </c>
      <c r="B65" s="53" t="s">
        <v>1073</v>
      </c>
      <c r="C65" s="53">
        <v>13781.0</v>
      </c>
      <c r="D65" s="53" t="s">
        <v>278</v>
      </c>
      <c r="E65" s="27"/>
      <c r="F65" s="37"/>
      <c r="G65" s="29"/>
      <c r="H65" s="30">
        <v>3600.0</v>
      </c>
      <c r="I65" s="31"/>
      <c r="J65" s="32"/>
      <c r="K65" s="33"/>
      <c r="L65" s="17">
        <v>3600.0</v>
      </c>
      <c r="M65" s="18">
        <f t="shared" si="1"/>
        <v>0</v>
      </c>
    </row>
    <row r="66">
      <c r="A66" s="41">
        <v>62.0</v>
      </c>
      <c r="B66" s="53" t="s">
        <v>1074</v>
      </c>
      <c r="C66" s="53">
        <v>51040.0</v>
      </c>
      <c r="D66" s="53" t="s">
        <v>196</v>
      </c>
      <c r="E66" s="27"/>
      <c r="F66" s="37">
        <v>200.0</v>
      </c>
      <c r="G66" s="29"/>
      <c r="H66" s="30"/>
      <c r="I66" s="36"/>
      <c r="J66" s="32"/>
      <c r="K66" s="33"/>
      <c r="L66" s="17">
        <v>200.0</v>
      </c>
      <c r="M66" s="18">
        <f t="shared" si="1"/>
        <v>0</v>
      </c>
    </row>
    <row r="67">
      <c r="A67" s="41">
        <v>63.0</v>
      </c>
      <c r="B67" s="53" t="s">
        <v>1075</v>
      </c>
      <c r="C67" s="53">
        <v>21384.0</v>
      </c>
      <c r="D67" s="53" t="s">
        <v>38</v>
      </c>
      <c r="E67" s="27"/>
      <c r="F67" s="28"/>
      <c r="G67" s="29"/>
      <c r="H67" s="30">
        <v>350.0</v>
      </c>
      <c r="I67" s="36"/>
      <c r="J67" s="32"/>
      <c r="K67" s="33"/>
      <c r="L67" s="17">
        <v>350.0</v>
      </c>
      <c r="M67" s="18">
        <f t="shared" si="1"/>
        <v>0</v>
      </c>
    </row>
    <row r="68">
      <c r="A68" s="41">
        <v>64.0</v>
      </c>
      <c r="B68" s="53" t="s">
        <v>1076</v>
      </c>
      <c r="C68" s="53">
        <v>52755.0</v>
      </c>
      <c r="D68" s="53" t="s">
        <v>1077</v>
      </c>
      <c r="E68" s="38">
        <v>100.0</v>
      </c>
      <c r="F68" s="37"/>
      <c r="G68" s="29"/>
      <c r="H68" s="30"/>
      <c r="I68" s="31"/>
      <c r="J68" s="32"/>
      <c r="K68" s="33"/>
      <c r="L68" s="17">
        <v>100.0</v>
      </c>
      <c r="M68" s="18">
        <f t="shared" si="1"/>
        <v>0</v>
      </c>
    </row>
    <row r="69">
      <c r="A69" s="41">
        <v>65.0</v>
      </c>
      <c r="B69" s="53" t="s">
        <v>1078</v>
      </c>
      <c r="C69" s="53">
        <v>22332.0</v>
      </c>
      <c r="D69" s="53" t="s">
        <v>138</v>
      </c>
      <c r="E69" s="27"/>
      <c r="F69" s="28"/>
      <c r="G69" s="29"/>
      <c r="H69" s="30">
        <v>10000.0</v>
      </c>
      <c r="I69" s="31"/>
      <c r="J69" s="35"/>
      <c r="K69" s="33"/>
      <c r="L69" s="17">
        <v>10000.0</v>
      </c>
      <c r="M69" s="18">
        <f t="shared" si="1"/>
        <v>0</v>
      </c>
    </row>
    <row r="70">
      <c r="A70" s="41">
        <v>66.0</v>
      </c>
      <c r="B70" s="53" t="s">
        <v>1079</v>
      </c>
      <c r="C70" s="53">
        <v>43349.0</v>
      </c>
      <c r="D70" s="53" t="s">
        <v>916</v>
      </c>
      <c r="E70" s="27"/>
      <c r="F70" s="28"/>
      <c r="G70" s="29"/>
      <c r="H70" s="30">
        <v>5000.0</v>
      </c>
      <c r="I70" s="31"/>
      <c r="J70" s="32"/>
      <c r="K70" s="33"/>
      <c r="L70" s="17">
        <v>5000.0</v>
      </c>
      <c r="M70" s="18">
        <f t="shared" si="1"/>
        <v>0</v>
      </c>
    </row>
    <row r="71">
      <c r="A71" s="41">
        <v>67.0</v>
      </c>
      <c r="B71" s="53" t="s">
        <v>1080</v>
      </c>
      <c r="C71" s="53">
        <v>57541.0</v>
      </c>
      <c r="D71" s="53" t="s">
        <v>1081</v>
      </c>
      <c r="E71" s="38"/>
      <c r="F71" s="37">
        <v>27000.0</v>
      </c>
      <c r="G71" s="29"/>
      <c r="H71" s="30"/>
      <c r="I71" s="31"/>
      <c r="J71" s="32"/>
      <c r="K71" s="33"/>
      <c r="L71" s="17">
        <v>27000.0</v>
      </c>
      <c r="M71" s="18">
        <f t="shared" si="1"/>
        <v>0</v>
      </c>
    </row>
    <row r="72">
      <c r="A72" s="41">
        <v>68.0</v>
      </c>
      <c r="B72" s="53" t="s">
        <v>1082</v>
      </c>
      <c r="C72" s="53">
        <v>43349.0</v>
      </c>
      <c r="D72" s="53" t="s">
        <v>916</v>
      </c>
      <c r="E72" s="38"/>
      <c r="F72" s="37"/>
      <c r="G72" s="29"/>
      <c r="H72" s="30">
        <v>17000.0</v>
      </c>
      <c r="I72" s="31"/>
      <c r="J72" s="32"/>
      <c r="K72" s="33"/>
      <c r="L72" s="17">
        <v>17000.0</v>
      </c>
      <c r="M72" s="18">
        <f t="shared" si="1"/>
        <v>0</v>
      </c>
    </row>
    <row r="73">
      <c r="A73" s="41">
        <v>69.0</v>
      </c>
      <c r="B73" s="53" t="s">
        <v>1083</v>
      </c>
      <c r="C73" s="53">
        <v>52960.0</v>
      </c>
      <c r="D73" s="53" t="s">
        <v>92</v>
      </c>
      <c r="E73" s="27"/>
      <c r="F73" s="28"/>
      <c r="G73" s="29"/>
      <c r="H73" s="30">
        <v>7650.0</v>
      </c>
      <c r="I73" s="31"/>
      <c r="J73" s="32"/>
      <c r="K73" s="33"/>
      <c r="L73" s="17">
        <v>7650.0</v>
      </c>
      <c r="M73" s="18">
        <f t="shared" si="1"/>
        <v>0</v>
      </c>
    </row>
    <row r="74">
      <c r="A74" s="41">
        <v>70.0</v>
      </c>
      <c r="B74" s="53" t="s">
        <v>1084</v>
      </c>
      <c r="C74" s="53">
        <v>50595.0</v>
      </c>
      <c r="D74" s="53" t="s">
        <v>158</v>
      </c>
      <c r="E74" s="27"/>
      <c r="F74" s="28"/>
      <c r="G74" s="29"/>
      <c r="H74" s="30">
        <v>50000.0</v>
      </c>
      <c r="I74" s="31"/>
      <c r="J74" s="32"/>
      <c r="K74" s="33"/>
      <c r="L74" s="17">
        <v>50000.0</v>
      </c>
      <c r="M74" s="18">
        <f t="shared" si="1"/>
        <v>0</v>
      </c>
    </row>
    <row r="75">
      <c r="A75" s="41">
        <v>71.0</v>
      </c>
      <c r="B75" s="53" t="s">
        <v>1085</v>
      </c>
      <c r="C75" s="53">
        <v>56745.0</v>
      </c>
      <c r="D75" s="53" t="s">
        <v>589</v>
      </c>
      <c r="E75" s="27"/>
      <c r="F75" s="28"/>
      <c r="G75" s="29"/>
      <c r="H75" s="30"/>
      <c r="I75" s="31">
        <v>2650.0</v>
      </c>
      <c r="J75" s="32"/>
      <c r="K75" s="33"/>
      <c r="L75" s="17">
        <v>2650.0</v>
      </c>
      <c r="M75" s="18">
        <f t="shared" si="1"/>
        <v>0</v>
      </c>
    </row>
    <row r="76">
      <c r="A76" s="41">
        <v>72.0</v>
      </c>
      <c r="B76" s="53" t="s">
        <v>1086</v>
      </c>
      <c r="C76" s="53">
        <v>50474.0</v>
      </c>
      <c r="D76" s="53" t="s">
        <v>179</v>
      </c>
      <c r="E76" s="27"/>
      <c r="F76" s="28"/>
      <c r="G76" s="29"/>
      <c r="H76" s="30">
        <v>50000.0</v>
      </c>
      <c r="I76" s="31"/>
      <c r="J76" s="32"/>
      <c r="K76" s="33"/>
      <c r="L76" s="17">
        <v>50000.0</v>
      </c>
      <c r="M76" s="18">
        <f t="shared" si="1"/>
        <v>0</v>
      </c>
    </row>
    <row r="77">
      <c r="A77" s="41">
        <v>73.0</v>
      </c>
      <c r="B77" s="53" t="s">
        <v>1087</v>
      </c>
      <c r="C77" s="53">
        <v>42137.0</v>
      </c>
      <c r="D77" s="53" t="s">
        <v>1088</v>
      </c>
      <c r="E77" s="27"/>
      <c r="F77" s="28"/>
      <c r="G77" s="29"/>
      <c r="H77" s="30">
        <v>5150.0</v>
      </c>
      <c r="I77" s="31"/>
      <c r="J77" s="32"/>
      <c r="K77" s="33"/>
      <c r="L77" s="17">
        <v>5150.0</v>
      </c>
      <c r="M77" s="18">
        <f t="shared" si="1"/>
        <v>0</v>
      </c>
    </row>
    <row r="78">
      <c r="A78" s="41">
        <v>74.0</v>
      </c>
      <c r="B78" s="53" t="s">
        <v>1089</v>
      </c>
      <c r="C78" s="53">
        <v>49918.0</v>
      </c>
      <c r="D78" s="53" t="s">
        <v>114</v>
      </c>
      <c r="E78" s="27"/>
      <c r="F78" s="28"/>
      <c r="G78" s="29"/>
      <c r="H78" s="30">
        <v>1250.0</v>
      </c>
      <c r="I78" s="31"/>
      <c r="J78" s="32"/>
      <c r="K78" s="33"/>
      <c r="L78" s="17">
        <v>1250.0</v>
      </c>
      <c r="M78" s="18">
        <f t="shared" si="1"/>
        <v>0</v>
      </c>
    </row>
    <row r="79">
      <c r="A79" s="41">
        <v>75.0</v>
      </c>
      <c r="B79" s="53" t="s">
        <v>1090</v>
      </c>
      <c r="C79" s="53">
        <v>52049.0</v>
      </c>
      <c r="D79" s="53" t="s">
        <v>1091</v>
      </c>
      <c r="E79" s="27"/>
      <c r="F79" s="28"/>
      <c r="G79" s="39"/>
      <c r="H79" s="30"/>
      <c r="I79" s="31">
        <v>15650.0</v>
      </c>
      <c r="J79" s="32"/>
      <c r="K79" s="33"/>
      <c r="L79" s="17">
        <v>15650.0</v>
      </c>
      <c r="M79" s="18">
        <f t="shared" si="1"/>
        <v>0</v>
      </c>
    </row>
    <row r="80">
      <c r="A80" s="41">
        <v>76.0</v>
      </c>
      <c r="B80" s="53" t="s">
        <v>1092</v>
      </c>
      <c r="C80" s="53">
        <v>48343.0</v>
      </c>
      <c r="D80" s="53" t="s">
        <v>792</v>
      </c>
      <c r="E80" s="27"/>
      <c r="F80" s="28"/>
      <c r="G80" s="29"/>
      <c r="H80" s="30">
        <v>3600.0</v>
      </c>
      <c r="I80" s="31"/>
      <c r="J80" s="32"/>
      <c r="K80" s="33"/>
      <c r="L80" s="17">
        <v>3600.0</v>
      </c>
      <c r="M80" s="18">
        <f t="shared" si="1"/>
        <v>0</v>
      </c>
    </row>
    <row r="81">
      <c r="A81" s="41">
        <v>77.0</v>
      </c>
      <c r="B81" s="53" t="s">
        <v>1093</v>
      </c>
      <c r="C81" s="53">
        <v>48343.0</v>
      </c>
      <c r="D81" s="53" t="s">
        <v>792</v>
      </c>
      <c r="E81" s="27"/>
      <c r="F81" s="28"/>
      <c r="G81" s="29"/>
      <c r="H81" s="30">
        <v>6400.0</v>
      </c>
      <c r="I81" s="31"/>
      <c r="J81" s="32"/>
      <c r="K81" s="33"/>
      <c r="L81" s="17">
        <v>6400.0</v>
      </c>
      <c r="M81" s="18">
        <f t="shared" si="1"/>
        <v>0</v>
      </c>
    </row>
    <row r="82">
      <c r="A82" s="41">
        <v>78.0</v>
      </c>
      <c r="B82" s="53" t="s">
        <v>1094</v>
      </c>
      <c r="C82" s="53">
        <v>44986.0</v>
      </c>
      <c r="D82" s="53" t="s">
        <v>98</v>
      </c>
      <c r="E82" s="27"/>
      <c r="F82" s="28"/>
      <c r="G82" s="29"/>
      <c r="H82" s="30">
        <v>10000.0</v>
      </c>
      <c r="I82" s="31"/>
      <c r="J82" s="32"/>
      <c r="K82" s="33"/>
      <c r="L82" s="17">
        <v>10000.0</v>
      </c>
      <c r="M82" s="18">
        <f t="shared" si="1"/>
        <v>0</v>
      </c>
    </row>
    <row r="83">
      <c r="A83" s="41">
        <v>79.0</v>
      </c>
      <c r="B83" s="53" t="s">
        <v>1095</v>
      </c>
      <c r="C83" s="53">
        <v>43375.0</v>
      </c>
      <c r="D83" s="53" t="s">
        <v>328</v>
      </c>
      <c r="E83" s="27"/>
      <c r="F83" s="28"/>
      <c r="G83" s="29"/>
      <c r="H83" s="30">
        <v>10000.0</v>
      </c>
      <c r="I83" s="31"/>
      <c r="J83" s="32"/>
      <c r="K83" s="33"/>
      <c r="L83" s="17">
        <v>10000.0</v>
      </c>
      <c r="M83" s="18">
        <f t="shared" si="1"/>
        <v>0</v>
      </c>
    </row>
    <row r="84">
      <c r="A84" s="41">
        <v>80.0</v>
      </c>
      <c r="B84" s="53" t="s">
        <v>1096</v>
      </c>
      <c r="C84" s="53">
        <v>35245.0</v>
      </c>
      <c r="D84" s="53" t="s">
        <v>34</v>
      </c>
      <c r="E84" s="27"/>
      <c r="F84" s="28"/>
      <c r="G84" s="29"/>
      <c r="H84" s="30">
        <v>25000.0</v>
      </c>
      <c r="I84" s="31"/>
      <c r="J84" s="32"/>
      <c r="K84" s="33"/>
      <c r="L84" s="17">
        <v>25000.0</v>
      </c>
      <c r="M84" s="18">
        <f t="shared" si="1"/>
        <v>0</v>
      </c>
    </row>
    <row r="85">
      <c r="A85" s="41">
        <v>81.0</v>
      </c>
      <c r="B85" s="53" t="s">
        <v>1097</v>
      </c>
      <c r="C85" s="53">
        <v>49961.0</v>
      </c>
      <c r="D85" s="53" t="s">
        <v>1098</v>
      </c>
      <c r="E85" s="27"/>
      <c r="F85" s="28"/>
      <c r="G85" s="29"/>
      <c r="H85" s="30"/>
      <c r="I85" s="31">
        <v>5000.0</v>
      </c>
      <c r="J85" s="32"/>
      <c r="K85" s="33"/>
      <c r="L85" s="17">
        <v>5000.0</v>
      </c>
      <c r="M85" s="18">
        <f t="shared" si="1"/>
        <v>0</v>
      </c>
    </row>
    <row r="86">
      <c r="A86" s="41">
        <v>82.0</v>
      </c>
      <c r="B86" s="53" t="s">
        <v>1099</v>
      </c>
      <c r="C86" s="53">
        <v>49961.0</v>
      </c>
      <c r="D86" s="53" t="s">
        <v>1098</v>
      </c>
      <c r="E86" s="27"/>
      <c r="F86" s="28"/>
      <c r="G86" s="29"/>
      <c r="H86" s="30"/>
      <c r="I86" s="31">
        <v>20000.0</v>
      </c>
      <c r="J86" s="35"/>
      <c r="K86" s="33"/>
      <c r="L86" s="17">
        <v>20000.0</v>
      </c>
      <c r="M86" s="18">
        <f t="shared" si="1"/>
        <v>0</v>
      </c>
    </row>
    <row r="87">
      <c r="A87" s="41">
        <v>83.0</v>
      </c>
      <c r="B87" s="53" t="s">
        <v>1100</v>
      </c>
      <c r="C87" s="53">
        <v>55293.0</v>
      </c>
      <c r="D87" s="53" t="s">
        <v>367</v>
      </c>
      <c r="E87" s="27"/>
      <c r="F87" s="28"/>
      <c r="G87" s="29"/>
      <c r="H87" s="30"/>
      <c r="I87" s="31">
        <v>10000.0</v>
      </c>
      <c r="J87" s="32"/>
      <c r="K87" s="33"/>
      <c r="L87" s="17">
        <v>10000.0</v>
      </c>
      <c r="M87" s="18">
        <f t="shared" si="1"/>
        <v>0</v>
      </c>
    </row>
    <row r="88">
      <c r="A88" s="41">
        <v>84.0</v>
      </c>
      <c r="B88" s="53" t="s">
        <v>1101</v>
      </c>
      <c r="C88" s="53">
        <v>39588.0</v>
      </c>
      <c r="D88" s="53" t="s">
        <v>274</v>
      </c>
      <c r="E88" s="27"/>
      <c r="F88" s="28"/>
      <c r="G88" s="29"/>
      <c r="H88" s="30">
        <v>6750.0</v>
      </c>
      <c r="I88" s="31"/>
      <c r="J88" s="32"/>
      <c r="K88" s="33"/>
      <c r="L88" s="17">
        <v>6750.0</v>
      </c>
      <c r="M88" s="18">
        <f t="shared" si="1"/>
        <v>0</v>
      </c>
    </row>
    <row r="89">
      <c r="A89" s="41">
        <v>85.0</v>
      </c>
      <c r="B89" s="53" t="s">
        <v>1102</v>
      </c>
      <c r="C89" s="53">
        <v>46690.0</v>
      </c>
      <c r="D89" s="53" t="s">
        <v>1103</v>
      </c>
      <c r="E89" s="27"/>
      <c r="F89" s="28"/>
      <c r="G89" s="29"/>
      <c r="H89" s="30">
        <v>2650.0</v>
      </c>
      <c r="I89" s="31"/>
      <c r="J89" s="32"/>
      <c r="K89" s="33"/>
      <c r="L89" s="17">
        <v>2650.0</v>
      </c>
      <c r="M89" s="18">
        <f t="shared" si="1"/>
        <v>0</v>
      </c>
    </row>
    <row r="90">
      <c r="A90" s="41">
        <v>86.0</v>
      </c>
      <c r="B90" s="53" t="s">
        <v>1104</v>
      </c>
      <c r="C90" s="53">
        <v>50821.0</v>
      </c>
      <c r="D90" s="53" t="s">
        <v>465</v>
      </c>
      <c r="E90" s="27"/>
      <c r="F90" s="28"/>
      <c r="G90" s="29"/>
      <c r="H90" s="30">
        <v>1250.0</v>
      </c>
      <c r="I90" s="31"/>
      <c r="J90" s="32"/>
      <c r="K90" s="33"/>
      <c r="L90" s="17">
        <v>1250.0</v>
      </c>
      <c r="M90" s="18">
        <f t="shared" si="1"/>
        <v>0</v>
      </c>
    </row>
    <row r="91">
      <c r="A91" s="41">
        <v>87.0</v>
      </c>
      <c r="B91" s="53" t="s">
        <v>1105</v>
      </c>
      <c r="C91" s="53">
        <v>50821.0</v>
      </c>
      <c r="D91" s="53" t="s">
        <v>465</v>
      </c>
      <c r="E91" s="27"/>
      <c r="F91" s="28"/>
      <c r="G91" s="29"/>
      <c r="H91" s="30">
        <v>300.0</v>
      </c>
      <c r="I91" s="31"/>
      <c r="J91" s="32"/>
      <c r="K91" s="33"/>
      <c r="L91" s="17">
        <v>300.0</v>
      </c>
      <c r="M91" s="18">
        <f t="shared" si="1"/>
        <v>0</v>
      </c>
    </row>
    <row r="92">
      <c r="A92" s="41">
        <v>88.0</v>
      </c>
      <c r="B92" s="53" t="s">
        <v>1106</v>
      </c>
      <c r="C92" s="53">
        <v>42046.0</v>
      </c>
      <c r="D92" s="53" t="s">
        <v>24</v>
      </c>
      <c r="E92" s="27"/>
      <c r="F92" s="37">
        <v>34500.0</v>
      </c>
      <c r="G92" s="29"/>
      <c r="H92" s="30"/>
      <c r="I92" s="31"/>
      <c r="J92" s="32"/>
      <c r="K92" s="33"/>
      <c r="L92" s="17">
        <v>34500.0</v>
      </c>
      <c r="M92" s="18">
        <f t="shared" si="1"/>
        <v>0</v>
      </c>
    </row>
    <row r="93">
      <c r="A93" s="41">
        <v>89.0</v>
      </c>
      <c r="B93" s="53" t="s">
        <v>1107</v>
      </c>
      <c r="C93" s="53">
        <v>42046.0</v>
      </c>
      <c r="D93" s="53" t="s">
        <v>24</v>
      </c>
      <c r="E93" s="27"/>
      <c r="F93" s="37">
        <v>15300.0</v>
      </c>
      <c r="G93" s="29"/>
      <c r="H93" s="30"/>
      <c r="I93" s="31"/>
      <c r="J93" s="32"/>
      <c r="K93" s="33"/>
      <c r="L93" s="17">
        <v>15300.0</v>
      </c>
      <c r="M93" s="18">
        <f t="shared" si="1"/>
        <v>0</v>
      </c>
    </row>
    <row r="94">
      <c r="A94" s="41">
        <v>90.0</v>
      </c>
      <c r="B94" s="53" t="s">
        <v>1108</v>
      </c>
      <c r="C94" s="53">
        <v>44390.0</v>
      </c>
      <c r="D94" s="53" t="s">
        <v>1109</v>
      </c>
      <c r="E94" s="27"/>
      <c r="F94" s="28"/>
      <c r="G94" s="29"/>
      <c r="H94" s="30">
        <v>1350.0</v>
      </c>
      <c r="I94" s="31"/>
      <c r="J94" s="32"/>
      <c r="K94" s="33"/>
      <c r="L94" s="17">
        <v>1350.0</v>
      </c>
      <c r="M94" s="18">
        <f t="shared" si="1"/>
        <v>0</v>
      </c>
    </row>
    <row r="95">
      <c r="A95" s="41">
        <v>91.0</v>
      </c>
      <c r="B95" s="53" t="s">
        <v>1110</v>
      </c>
      <c r="C95" s="53">
        <v>21818.0</v>
      </c>
      <c r="D95" s="53" t="s">
        <v>69</v>
      </c>
      <c r="E95" s="27"/>
      <c r="F95" s="28"/>
      <c r="G95" s="29"/>
      <c r="H95" s="30"/>
      <c r="I95" s="31"/>
      <c r="J95" s="35">
        <v>1000.0</v>
      </c>
      <c r="K95" s="33"/>
      <c r="L95" s="17">
        <v>1000.0</v>
      </c>
      <c r="M95" s="18">
        <f t="shared" si="1"/>
        <v>0</v>
      </c>
    </row>
    <row r="96">
      <c r="A96" s="41">
        <v>92.0</v>
      </c>
      <c r="B96" s="53" t="s">
        <v>1111</v>
      </c>
      <c r="C96" s="53">
        <v>43349.0</v>
      </c>
      <c r="D96" s="53" t="s">
        <v>916</v>
      </c>
      <c r="E96" s="27"/>
      <c r="F96" s="28"/>
      <c r="G96" s="29"/>
      <c r="H96" s="30"/>
      <c r="I96" s="31">
        <v>15000.0</v>
      </c>
      <c r="J96" s="32"/>
      <c r="K96" s="33"/>
      <c r="L96" s="17">
        <v>15000.0</v>
      </c>
      <c r="M96" s="18">
        <f t="shared" si="1"/>
        <v>0</v>
      </c>
    </row>
    <row r="97">
      <c r="A97" s="41">
        <v>93.0</v>
      </c>
      <c r="B97" s="53" t="s">
        <v>1112</v>
      </c>
      <c r="C97" s="53">
        <v>47136.0</v>
      </c>
      <c r="D97" s="53" t="s">
        <v>1113</v>
      </c>
      <c r="E97" s="27"/>
      <c r="F97" s="28"/>
      <c r="G97" s="29"/>
      <c r="H97" s="30">
        <v>2500.0</v>
      </c>
      <c r="I97" s="31"/>
      <c r="J97" s="32"/>
      <c r="K97" s="33"/>
      <c r="L97" s="17">
        <v>2500.0</v>
      </c>
      <c r="M97" s="18">
        <f t="shared" si="1"/>
        <v>0</v>
      </c>
    </row>
    <row r="98">
      <c r="A98" s="41">
        <v>94.0</v>
      </c>
      <c r="B98" s="53" t="s">
        <v>1114</v>
      </c>
      <c r="C98" s="53">
        <v>16390.0</v>
      </c>
      <c r="D98" s="53" t="s">
        <v>1115</v>
      </c>
      <c r="E98" s="27"/>
      <c r="F98" s="28"/>
      <c r="G98" s="29"/>
      <c r="H98" s="30"/>
      <c r="I98" s="31">
        <v>15000.0</v>
      </c>
      <c r="J98" s="32"/>
      <c r="K98" s="33"/>
      <c r="L98" s="17">
        <v>15000.0</v>
      </c>
      <c r="M98" s="18">
        <f t="shared" si="1"/>
        <v>0</v>
      </c>
    </row>
    <row r="99">
      <c r="A99" s="41">
        <v>95.0</v>
      </c>
      <c r="B99" s="53" t="s">
        <v>1116</v>
      </c>
      <c r="C99" s="53">
        <v>16390.0</v>
      </c>
      <c r="D99" s="53" t="s">
        <v>1115</v>
      </c>
      <c r="E99" s="27"/>
      <c r="F99" s="28"/>
      <c r="G99" s="29"/>
      <c r="H99" s="30">
        <v>5000.0</v>
      </c>
      <c r="I99" s="31"/>
      <c r="J99" s="32"/>
      <c r="K99" s="33"/>
      <c r="L99" s="17">
        <v>5000.0</v>
      </c>
      <c r="M99" s="18">
        <f t="shared" si="1"/>
        <v>0</v>
      </c>
    </row>
    <row r="100">
      <c r="A100" s="41">
        <v>96.0</v>
      </c>
      <c r="B100" s="53" t="s">
        <v>1117</v>
      </c>
      <c r="C100" s="53">
        <v>16390.0</v>
      </c>
      <c r="D100" s="53" t="s">
        <v>1115</v>
      </c>
      <c r="E100" s="27"/>
      <c r="F100" s="28"/>
      <c r="G100" s="29"/>
      <c r="H100" s="30"/>
      <c r="I100" s="31">
        <v>5000.0</v>
      </c>
      <c r="J100" s="32"/>
      <c r="K100" s="33"/>
      <c r="L100" s="17">
        <v>5000.0</v>
      </c>
      <c r="M100" s="18">
        <f t="shared" si="1"/>
        <v>0</v>
      </c>
    </row>
    <row r="101">
      <c r="A101" s="41">
        <v>97.0</v>
      </c>
      <c r="B101" s="53" t="s">
        <v>1118</v>
      </c>
      <c r="C101" s="53">
        <v>55383.0</v>
      </c>
      <c r="D101" s="53" t="s">
        <v>1119</v>
      </c>
      <c r="E101" s="27"/>
      <c r="F101" s="37">
        <v>4000.0</v>
      </c>
      <c r="G101" s="29"/>
      <c r="H101" s="30"/>
      <c r="I101" s="31"/>
      <c r="J101" s="32"/>
      <c r="K101" s="33"/>
      <c r="L101" s="17">
        <v>4000.0</v>
      </c>
      <c r="M101" s="18">
        <f t="shared" si="1"/>
        <v>0</v>
      </c>
    </row>
    <row r="102">
      <c r="A102" s="41">
        <v>98.0</v>
      </c>
      <c r="B102" s="53" t="s">
        <v>1120</v>
      </c>
      <c r="C102" s="53">
        <v>55383.0</v>
      </c>
      <c r="D102" s="53" t="s">
        <v>1119</v>
      </c>
      <c r="E102" s="27"/>
      <c r="F102" s="37">
        <v>300.0</v>
      </c>
      <c r="G102" s="29"/>
      <c r="H102" s="30"/>
      <c r="I102" s="31"/>
      <c r="J102" s="32"/>
      <c r="K102" s="33"/>
      <c r="L102" s="17">
        <v>300.0</v>
      </c>
      <c r="M102" s="18">
        <f t="shared" si="1"/>
        <v>0</v>
      </c>
    </row>
    <row r="103">
      <c r="A103" s="41">
        <v>99.0</v>
      </c>
      <c r="B103" s="53" t="s">
        <v>1121</v>
      </c>
      <c r="C103" s="53">
        <v>47136.0</v>
      </c>
      <c r="D103" s="53" t="s">
        <v>1113</v>
      </c>
      <c r="E103" s="27"/>
      <c r="F103" s="28"/>
      <c r="G103" s="29"/>
      <c r="H103" s="30">
        <v>5000.0</v>
      </c>
      <c r="I103" s="31"/>
      <c r="J103" s="32"/>
      <c r="K103" s="33"/>
      <c r="L103" s="17">
        <v>5000.0</v>
      </c>
      <c r="M103" s="18">
        <f t="shared" si="1"/>
        <v>0</v>
      </c>
    </row>
    <row r="104">
      <c r="A104" s="41">
        <v>100.0</v>
      </c>
      <c r="B104" s="53" t="s">
        <v>1122</v>
      </c>
      <c r="C104" s="53">
        <v>47136.0</v>
      </c>
      <c r="D104" s="53" t="s">
        <v>1113</v>
      </c>
      <c r="E104" s="27"/>
      <c r="F104" s="28"/>
      <c r="G104" s="29"/>
      <c r="H104" s="30">
        <v>7500.0</v>
      </c>
      <c r="I104" s="31"/>
      <c r="J104" s="32"/>
      <c r="K104" s="33"/>
      <c r="L104" s="17">
        <v>7500.0</v>
      </c>
      <c r="M104" s="18">
        <f t="shared" si="1"/>
        <v>0</v>
      </c>
    </row>
    <row r="105">
      <c r="A105" s="41">
        <v>101.0</v>
      </c>
      <c r="B105" s="53" t="s">
        <v>1123</v>
      </c>
      <c r="C105" s="53">
        <v>50900.0</v>
      </c>
      <c r="D105" s="53" t="s">
        <v>1124</v>
      </c>
      <c r="E105" s="27"/>
      <c r="F105" s="28"/>
      <c r="G105" s="39">
        <v>15000.0</v>
      </c>
      <c r="H105" s="30"/>
      <c r="I105" s="31"/>
      <c r="J105" s="32"/>
      <c r="K105" s="33"/>
      <c r="L105" s="17">
        <v>15000.0</v>
      </c>
      <c r="M105" s="18">
        <f t="shared" si="1"/>
        <v>0</v>
      </c>
    </row>
    <row r="106">
      <c r="A106" s="41">
        <v>102.0</v>
      </c>
      <c r="B106" s="53" t="s">
        <v>1125</v>
      </c>
      <c r="C106" s="53">
        <v>55463.0</v>
      </c>
      <c r="D106" s="53" t="s">
        <v>90</v>
      </c>
      <c r="E106" s="27"/>
      <c r="F106" s="28"/>
      <c r="G106" s="29"/>
      <c r="H106" s="30">
        <v>25000.0</v>
      </c>
      <c r="I106" s="31"/>
      <c r="J106" s="32"/>
      <c r="K106" s="33"/>
      <c r="L106" s="17">
        <v>25000.0</v>
      </c>
      <c r="M106" s="18">
        <f t="shared" si="1"/>
        <v>0</v>
      </c>
    </row>
    <row r="107">
      <c r="A107" s="41">
        <v>103.0</v>
      </c>
      <c r="B107" s="53" t="s">
        <v>1126</v>
      </c>
      <c r="C107" s="53">
        <v>55446.0</v>
      </c>
      <c r="D107" s="53" t="s">
        <v>1127</v>
      </c>
      <c r="E107" s="27"/>
      <c r="F107" s="28"/>
      <c r="G107" s="29"/>
      <c r="H107" s="30">
        <v>1550.0</v>
      </c>
      <c r="I107" s="31"/>
      <c r="J107" s="32"/>
      <c r="K107" s="33"/>
      <c r="L107" s="17">
        <v>1550.0</v>
      </c>
      <c r="M107" s="18">
        <f t="shared" si="1"/>
        <v>0</v>
      </c>
    </row>
    <row r="108">
      <c r="A108" s="41">
        <v>104.0</v>
      </c>
      <c r="B108" s="53" t="s">
        <v>1128</v>
      </c>
      <c r="C108" s="53">
        <v>52236.0</v>
      </c>
      <c r="D108" s="53" t="s">
        <v>1129</v>
      </c>
      <c r="E108" s="27"/>
      <c r="F108" s="37">
        <v>4050.0</v>
      </c>
      <c r="G108" s="29"/>
      <c r="H108" s="30"/>
      <c r="I108" s="31"/>
      <c r="J108" s="32"/>
      <c r="K108" s="33"/>
      <c r="L108" s="17">
        <v>4050.0</v>
      </c>
      <c r="M108" s="18">
        <f t="shared" si="1"/>
        <v>0</v>
      </c>
    </row>
    <row r="109">
      <c r="A109" s="41">
        <v>105.0</v>
      </c>
      <c r="B109" s="53" t="s">
        <v>1130</v>
      </c>
      <c r="C109" s="53">
        <v>51040.0</v>
      </c>
      <c r="D109" s="53" t="s">
        <v>196</v>
      </c>
      <c r="E109" s="27"/>
      <c r="F109" s="37">
        <v>3600.0</v>
      </c>
      <c r="G109" s="29"/>
      <c r="H109" s="30"/>
      <c r="I109" s="31"/>
      <c r="J109" s="32"/>
      <c r="K109" s="33"/>
      <c r="L109" s="17">
        <v>3600.0</v>
      </c>
      <c r="M109" s="18">
        <f t="shared" si="1"/>
        <v>0</v>
      </c>
    </row>
    <row r="110">
      <c r="A110" s="41">
        <v>106.0</v>
      </c>
      <c r="B110" s="53" t="s">
        <v>1131</v>
      </c>
      <c r="C110" s="53">
        <v>50596.0</v>
      </c>
      <c r="D110" s="53" t="s">
        <v>493</v>
      </c>
      <c r="E110" s="27"/>
      <c r="F110" s="37"/>
      <c r="G110" s="29"/>
      <c r="H110" s="30">
        <v>31750.0</v>
      </c>
      <c r="I110" s="31"/>
      <c r="J110" s="32"/>
      <c r="K110" s="33"/>
      <c r="L110" s="17">
        <v>31750.0</v>
      </c>
      <c r="M110" s="18">
        <f t="shared" si="1"/>
        <v>0</v>
      </c>
    </row>
    <row r="111">
      <c r="A111" s="41">
        <v>107.0</v>
      </c>
      <c r="B111" s="53" t="s">
        <v>1132</v>
      </c>
      <c r="C111" s="53">
        <v>16390.0</v>
      </c>
      <c r="D111" s="53" t="s">
        <v>1115</v>
      </c>
      <c r="E111" s="27"/>
      <c r="F111" s="28"/>
      <c r="G111" s="29"/>
      <c r="H111" s="30">
        <v>200.0</v>
      </c>
      <c r="I111" s="31"/>
      <c r="J111" s="32"/>
      <c r="K111" s="33"/>
      <c r="L111" s="17">
        <v>200.0</v>
      </c>
      <c r="M111" s="18">
        <f t="shared" si="1"/>
        <v>0</v>
      </c>
    </row>
    <row r="112">
      <c r="A112" s="41">
        <v>108.0</v>
      </c>
      <c r="B112" s="53" t="s">
        <v>1133</v>
      </c>
      <c r="C112" s="53">
        <v>51406.0</v>
      </c>
      <c r="D112" s="53" t="s">
        <v>18</v>
      </c>
      <c r="E112" s="27"/>
      <c r="F112" s="28"/>
      <c r="G112" s="29"/>
      <c r="H112" s="30"/>
      <c r="I112" s="31">
        <v>20000.0</v>
      </c>
      <c r="J112" s="32"/>
      <c r="K112" s="33"/>
      <c r="L112" s="17">
        <v>20000.0</v>
      </c>
      <c r="M112" s="18">
        <f t="shared" si="1"/>
        <v>0</v>
      </c>
    </row>
    <row r="113">
      <c r="A113" s="41">
        <v>109.0</v>
      </c>
      <c r="B113" s="53" t="s">
        <v>1134</v>
      </c>
      <c r="C113" s="53">
        <v>10320.0</v>
      </c>
      <c r="D113" s="53" t="s">
        <v>447</v>
      </c>
      <c r="E113" s="27"/>
      <c r="F113" s="28"/>
      <c r="G113" s="29"/>
      <c r="H113" s="30">
        <v>4000.0</v>
      </c>
      <c r="I113" s="31"/>
      <c r="J113" s="32"/>
      <c r="K113" s="33"/>
      <c r="L113" s="17">
        <v>4000.0</v>
      </c>
      <c r="M113" s="18">
        <f t="shared" si="1"/>
        <v>0</v>
      </c>
    </row>
    <row r="114">
      <c r="A114" s="41">
        <v>110.0</v>
      </c>
      <c r="B114" s="53" t="s">
        <v>1135</v>
      </c>
      <c r="C114" s="53">
        <v>48854.0</v>
      </c>
      <c r="D114" s="53" t="s">
        <v>301</v>
      </c>
      <c r="E114" s="27"/>
      <c r="F114" s="28"/>
      <c r="G114" s="29"/>
      <c r="H114" s="30">
        <v>5000.0</v>
      </c>
      <c r="I114" s="31"/>
      <c r="J114" s="32"/>
      <c r="K114" s="33"/>
      <c r="L114" s="17">
        <v>5000.0</v>
      </c>
      <c r="M114" s="18">
        <f t="shared" si="1"/>
        <v>0</v>
      </c>
    </row>
    <row r="115">
      <c r="A115" s="41">
        <v>111.0</v>
      </c>
      <c r="B115" s="53" t="s">
        <v>1136</v>
      </c>
      <c r="C115" s="53">
        <v>50878.0</v>
      </c>
      <c r="D115" s="53" t="s">
        <v>1058</v>
      </c>
      <c r="E115" s="27"/>
      <c r="F115" s="28"/>
      <c r="G115" s="29"/>
      <c r="H115" s="30">
        <v>300.0</v>
      </c>
      <c r="I115" s="31"/>
      <c r="J115" s="32"/>
      <c r="K115" s="33"/>
      <c r="L115" s="17">
        <v>300.0</v>
      </c>
      <c r="M115" s="18">
        <f t="shared" si="1"/>
        <v>0</v>
      </c>
    </row>
    <row r="116">
      <c r="A116" s="41">
        <v>112.0</v>
      </c>
      <c r="B116" s="53" t="s">
        <v>1137</v>
      </c>
      <c r="C116" s="53">
        <v>57536.0</v>
      </c>
      <c r="D116" s="53" t="s">
        <v>1138</v>
      </c>
      <c r="E116" s="27"/>
      <c r="F116" s="28"/>
      <c r="G116" s="29"/>
      <c r="H116" s="30">
        <v>27000.0</v>
      </c>
      <c r="I116" s="31"/>
      <c r="J116" s="32"/>
      <c r="K116" s="33"/>
      <c r="L116" s="17">
        <v>27000.0</v>
      </c>
      <c r="M116" s="18">
        <f t="shared" si="1"/>
        <v>0</v>
      </c>
    </row>
    <row r="117">
      <c r="A117" s="41">
        <v>113.0</v>
      </c>
      <c r="B117" s="53" t="s">
        <v>1139</v>
      </c>
      <c r="C117" s="53">
        <v>29620.0</v>
      </c>
      <c r="D117" s="53" t="s">
        <v>1140</v>
      </c>
      <c r="E117" s="27"/>
      <c r="F117" s="37">
        <v>7500.0</v>
      </c>
      <c r="G117" s="29"/>
      <c r="H117" s="30"/>
      <c r="I117" s="31"/>
      <c r="J117" s="32"/>
      <c r="K117" s="33"/>
      <c r="L117" s="17">
        <v>7500.0</v>
      </c>
      <c r="M117" s="18">
        <f t="shared" si="1"/>
        <v>0</v>
      </c>
    </row>
    <row r="118">
      <c r="A118" s="41">
        <v>114.0</v>
      </c>
      <c r="B118" s="53" t="s">
        <v>1141</v>
      </c>
      <c r="C118" s="53">
        <v>41639.0</v>
      </c>
      <c r="D118" s="53" t="s">
        <v>1142</v>
      </c>
      <c r="E118" s="27"/>
      <c r="F118" s="37">
        <v>8000.0</v>
      </c>
      <c r="G118" s="29"/>
      <c r="H118" s="30"/>
      <c r="I118" s="31"/>
      <c r="J118" s="32"/>
      <c r="K118" s="33"/>
      <c r="L118" s="17">
        <v>8000.0</v>
      </c>
      <c r="M118" s="18">
        <f t="shared" si="1"/>
        <v>0</v>
      </c>
    </row>
    <row r="119">
      <c r="A119" s="41">
        <v>115.0</v>
      </c>
      <c r="B119" s="53" t="s">
        <v>1143</v>
      </c>
      <c r="C119" s="53">
        <v>27464.0</v>
      </c>
      <c r="D119" s="53" t="s">
        <v>1144</v>
      </c>
      <c r="E119" s="27"/>
      <c r="F119" s="37">
        <v>3600.0</v>
      </c>
      <c r="G119" s="29"/>
      <c r="H119" s="30"/>
      <c r="I119" s="31"/>
      <c r="J119" s="32"/>
      <c r="K119" s="33"/>
      <c r="L119" s="17">
        <v>3600.0</v>
      </c>
      <c r="M119" s="18">
        <f t="shared" si="1"/>
        <v>0</v>
      </c>
    </row>
    <row r="120">
      <c r="A120" s="41">
        <v>116.0</v>
      </c>
      <c r="B120" s="53" t="s">
        <v>1145</v>
      </c>
      <c r="C120" s="53">
        <v>36253.0</v>
      </c>
      <c r="D120" s="53" t="s">
        <v>1146</v>
      </c>
      <c r="E120" s="27"/>
      <c r="F120" s="37">
        <v>3600.0</v>
      </c>
      <c r="G120" s="39"/>
      <c r="H120" s="30"/>
      <c r="I120" s="31"/>
      <c r="J120" s="32"/>
      <c r="K120" s="33"/>
      <c r="L120" s="17">
        <v>3600.0</v>
      </c>
      <c r="M120" s="18">
        <f t="shared" si="1"/>
        <v>0</v>
      </c>
    </row>
    <row r="121">
      <c r="A121" s="41">
        <v>117.0</v>
      </c>
      <c r="B121" s="53" t="s">
        <v>1147</v>
      </c>
      <c r="C121" s="53">
        <v>21384.0</v>
      </c>
      <c r="D121" s="53" t="s">
        <v>38</v>
      </c>
      <c r="E121" s="27"/>
      <c r="F121" s="28"/>
      <c r="G121" s="39"/>
      <c r="H121" s="30">
        <v>5000.0</v>
      </c>
      <c r="I121" s="31"/>
      <c r="J121" s="32"/>
      <c r="K121" s="33"/>
      <c r="L121" s="17">
        <v>5000.0</v>
      </c>
      <c r="M121" s="18">
        <f t="shared" si="1"/>
        <v>0</v>
      </c>
    </row>
    <row r="122">
      <c r="A122" s="41">
        <v>118.0</v>
      </c>
      <c r="B122" s="53" t="s">
        <v>1148</v>
      </c>
      <c r="C122" s="53">
        <v>51208.0</v>
      </c>
      <c r="D122" s="53" t="s">
        <v>525</v>
      </c>
      <c r="E122" s="27"/>
      <c r="F122" s="28"/>
      <c r="G122" s="39"/>
      <c r="H122" s="30">
        <v>5000.0</v>
      </c>
      <c r="I122" s="31"/>
      <c r="J122" s="32"/>
      <c r="K122" s="33"/>
      <c r="L122" s="17">
        <v>5000.0</v>
      </c>
      <c r="M122" s="18">
        <f t="shared" si="1"/>
        <v>0</v>
      </c>
    </row>
    <row r="123">
      <c r="A123" s="41">
        <v>119.0</v>
      </c>
      <c r="B123" s="53" t="s">
        <v>1149</v>
      </c>
      <c r="C123" s="53">
        <v>35227.0</v>
      </c>
      <c r="D123" s="53" t="s">
        <v>386</v>
      </c>
      <c r="E123" s="27"/>
      <c r="F123" s="28"/>
      <c r="G123" s="39"/>
      <c r="H123" s="30"/>
      <c r="I123" s="31">
        <v>900.0</v>
      </c>
      <c r="J123" s="32"/>
      <c r="K123" s="33"/>
      <c r="L123" s="17">
        <v>900.0</v>
      </c>
      <c r="M123" s="18">
        <f t="shared" si="1"/>
        <v>0</v>
      </c>
    </row>
    <row r="124">
      <c r="A124" s="41">
        <v>120.0</v>
      </c>
      <c r="B124" s="53" t="s">
        <v>1150</v>
      </c>
      <c r="C124" s="53">
        <v>25650.0</v>
      </c>
      <c r="D124" s="53" t="s">
        <v>378</v>
      </c>
      <c r="E124" s="27"/>
      <c r="F124" s="28"/>
      <c r="G124" s="39">
        <v>6250.0</v>
      </c>
      <c r="H124" s="30"/>
      <c r="I124" s="31"/>
      <c r="J124" s="32"/>
      <c r="K124" s="33"/>
      <c r="L124" s="17">
        <v>6250.0</v>
      </c>
      <c r="M124" s="18">
        <f t="shared" si="1"/>
        <v>0</v>
      </c>
    </row>
    <row r="125">
      <c r="A125" s="41">
        <v>121.0</v>
      </c>
      <c r="B125" s="53" t="s">
        <v>1151</v>
      </c>
      <c r="C125" s="53">
        <v>42071.0</v>
      </c>
      <c r="D125" s="53" t="s">
        <v>30</v>
      </c>
      <c r="E125" s="27"/>
      <c r="F125" s="28"/>
      <c r="G125" s="39">
        <v>15000.0</v>
      </c>
      <c r="H125" s="30"/>
      <c r="I125" s="31"/>
      <c r="J125" s="32"/>
      <c r="K125" s="33"/>
      <c r="L125" s="17">
        <v>15000.0</v>
      </c>
      <c r="M125" s="18">
        <f t="shared" si="1"/>
        <v>0</v>
      </c>
    </row>
    <row r="126">
      <c r="A126" s="41">
        <v>122.0</v>
      </c>
      <c r="B126" s="53" t="s">
        <v>1152</v>
      </c>
      <c r="C126" s="53">
        <v>21937.0</v>
      </c>
      <c r="D126" s="53" t="s">
        <v>1153</v>
      </c>
      <c r="E126" s="27"/>
      <c r="F126" s="28"/>
      <c r="G126" s="39">
        <v>350.0</v>
      </c>
      <c r="H126" s="30"/>
      <c r="I126" s="31"/>
      <c r="J126" s="32"/>
      <c r="K126" s="33"/>
      <c r="L126" s="17">
        <v>350.0</v>
      </c>
      <c r="M126" s="18">
        <f t="shared" si="1"/>
        <v>0</v>
      </c>
    </row>
    <row r="127">
      <c r="A127" s="41">
        <v>123.0</v>
      </c>
      <c r="B127" s="53" t="s">
        <v>1154</v>
      </c>
      <c r="C127" s="53">
        <v>51035.0</v>
      </c>
      <c r="D127" s="53" t="s">
        <v>1155</v>
      </c>
      <c r="E127" s="27"/>
      <c r="F127" s="28"/>
      <c r="G127" s="39">
        <v>2500.0</v>
      </c>
      <c r="H127" s="30"/>
      <c r="I127" s="31"/>
      <c r="J127" s="35"/>
      <c r="K127" s="33"/>
      <c r="L127" s="17">
        <v>2500.0</v>
      </c>
      <c r="M127" s="18">
        <f t="shared" si="1"/>
        <v>0</v>
      </c>
    </row>
    <row r="128">
      <c r="A128" s="41">
        <v>124.0</v>
      </c>
      <c r="B128" s="53" t="s">
        <v>1156</v>
      </c>
      <c r="C128" s="53">
        <v>52387.0</v>
      </c>
      <c r="D128" s="53" t="s">
        <v>240</v>
      </c>
      <c r="E128" s="27"/>
      <c r="F128" s="37"/>
      <c r="G128" s="39">
        <v>350.0</v>
      </c>
      <c r="H128" s="30"/>
      <c r="I128" s="31"/>
      <c r="J128" s="35"/>
      <c r="K128" s="33"/>
      <c r="L128" s="17">
        <v>350.0</v>
      </c>
      <c r="M128" s="18">
        <f t="shared" si="1"/>
        <v>0</v>
      </c>
    </row>
    <row r="129">
      <c r="A129" s="41"/>
      <c r="B129" s="45"/>
      <c r="C129" s="45"/>
      <c r="D129" s="44"/>
      <c r="E129" s="22">
        <f t="shared" ref="E129:J129" si="2">SUM(E5:E128)</f>
        <v>620</v>
      </c>
      <c r="F129" s="22">
        <f t="shared" si="2"/>
        <v>220150</v>
      </c>
      <c r="G129" s="22">
        <f t="shared" si="2"/>
        <v>39450</v>
      </c>
      <c r="H129" s="22">
        <f t="shared" si="2"/>
        <v>701387</v>
      </c>
      <c r="I129" s="22">
        <f t="shared" si="2"/>
        <v>495731</v>
      </c>
      <c r="J129" s="22">
        <f t="shared" si="2"/>
        <v>2000</v>
      </c>
      <c r="K129" s="22">
        <f>SUM(K24:K128)</f>
        <v>0</v>
      </c>
      <c r="L129" s="22">
        <f t="shared" ref="L129:M129" si="3">SUM(L5:L128)</f>
        <v>1459367</v>
      </c>
      <c r="M129" s="18">
        <f t="shared" si="3"/>
        <v>-29</v>
      </c>
    </row>
    <row r="130">
      <c r="A130" s="23"/>
      <c r="B130" s="23"/>
      <c r="C130" s="23"/>
      <c r="D130" s="23"/>
      <c r="E130" s="24">
        <f>SUM(K129:M129)</f>
        <v>1459338</v>
      </c>
      <c r="F130" s="6"/>
      <c r="G130" s="6"/>
      <c r="H130" s="6"/>
      <c r="I130" s="6"/>
      <c r="J130" s="6"/>
      <c r="K130" s="7"/>
      <c r="L130" s="25"/>
      <c r="M130" s="23"/>
    </row>
    <row r="131">
      <c r="L131" s="40" t="s">
        <v>254</v>
      </c>
    </row>
  </sheetData>
  <mergeCells count="14">
    <mergeCell ref="F3:G3"/>
    <mergeCell ref="H3:I3"/>
    <mergeCell ref="J3:J4"/>
    <mergeCell ref="K3:K4"/>
    <mergeCell ref="E130:K130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5"/>
    <col customWidth="1" min="2" max="2" width="24.75"/>
    <col customWidth="1" min="4" max="4" width="43.25"/>
    <col customWidth="1" min="5" max="5" width="9.5"/>
  </cols>
  <sheetData>
    <row r="1">
      <c r="A1" s="1" t="s">
        <v>1157</v>
      </c>
    </row>
    <row r="2">
      <c r="A2" s="2" t="s">
        <v>1</v>
      </c>
      <c r="B2" s="3" t="s">
        <v>2</v>
      </c>
      <c r="C2" s="2" t="s">
        <v>3</v>
      </c>
      <c r="D2" s="4" t="s">
        <v>4</v>
      </c>
      <c r="E2" s="5" t="s">
        <v>5</v>
      </c>
      <c r="F2" s="6"/>
      <c r="G2" s="6"/>
      <c r="H2" s="6"/>
      <c r="I2" s="6"/>
      <c r="J2" s="6"/>
      <c r="K2" s="6"/>
      <c r="L2" s="6"/>
      <c r="M2" s="7"/>
    </row>
    <row r="3">
      <c r="A3" s="8"/>
      <c r="B3" s="8"/>
      <c r="C3" s="8"/>
      <c r="D3" s="8"/>
      <c r="E3" s="2" t="s">
        <v>6</v>
      </c>
      <c r="F3" s="5" t="s">
        <v>7</v>
      </c>
      <c r="G3" s="7"/>
      <c r="H3" s="5" t="s">
        <v>8</v>
      </c>
      <c r="I3" s="7"/>
      <c r="J3" s="2" t="s">
        <v>9</v>
      </c>
      <c r="K3" s="4" t="s">
        <v>10</v>
      </c>
      <c r="L3" s="2" t="s">
        <v>11</v>
      </c>
      <c r="M3" s="2" t="s">
        <v>12</v>
      </c>
    </row>
    <row r="4">
      <c r="A4" s="9"/>
      <c r="B4" s="9"/>
      <c r="C4" s="9"/>
      <c r="D4" s="9"/>
      <c r="E4" s="9"/>
      <c r="F4" s="10" t="s">
        <v>13</v>
      </c>
      <c r="G4" s="10" t="s">
        <v>14</v>
      </c>
      <c r="H4" s="10" t="s">
        <v>15</v>
      </c>
      <c r="I4" s="11" t="s">
        <v>16</v>
      </c>
      <c r="J4" s="9"/>
      <c r="K4" s="9"/>
      <c r="L4" s="9"/>
      <c r="M4" s="9"/>
    </row>
    <row r="5">
      <c r="A5" s="41">
        <v>1.0</v>
      </c>
      <c r="B5" s="46" t="s">
        <v>1158</v>
      </c>
      <c r="C5" s="46">
        <v>56538.0</v>
      </c>
      <c r="D5" s="46" t="s">
        <v>1159</v>
      </c>
      <c r="E5" s="27"/>
      <c r="F5" s="28"/>
      <c r="G5" s="29"/>
      <c r="H5" s="30"/>
      <c r="I5" s="31">
        <v>5150.0</v>
      </c>
      <c r="J5" s="32"/>
      <c r="K5" s="33"/>
      <c r="L5" s="47">
        <v>5150.0</v>
      </c>
      <c r="M5" s="18">
        <f t="shared" ref="M5:M91" si="1">SUM(E5+F5+G5+H5+I5+J5+K5-L5)</f>
        <v>0</v>
      </c>
    </row>
    <row r="6">
      <c r="A6" s="41">
        <v>2.0</v>
      </c>
      <c r="B6" s="46" t="s">
        <v>1160</v>
      </c>
      <c r="C6" s="46">
        <v>19688.0</v>
      </c>
      <c r="D6" s="46" t="s">
        <v>679</v>
      </c>
      <c r="E6" s="27"/>
      <c r="F6" s="28"/>
      <c r="G6" s="29"/>
      <c r="H6" s="34"/>
      <c r="I6" s="31">
        <v>10000.0</v>
      </c>
      <c r="J6" s="35"/>
      <c r="K6" s="33"/>
      <c r="L6" s="47">
        <v>10000.0</v>
      </c>
      <c r="M6" s="18">
        <f t="shared" si="1"/>
        <v>0</v>
      </c>
    </row>
    <row r="7">
      <c r="A7" s="41">
        <v>3.0</v>
      </c>
      <c r="B7" s="46" t="s">
        <v>1161</v>
      </c>
      <c r="C7" s="46">
        <v>50871.0</v>
      </c>
      <c r="D7" s="46" t="s">
        <v>105</v>
      </c>
      <c r="E7" s="27"/>
      <c r="F7" s="28"/>
      <c r="G7" s="29"/>
      <c r="H7" s="30">
        <v>65700.0</v>
      </c>
      <c r="I7" s="31"/>
      <c r="J7" s="32"/>
      <c r="K7" s="33"/>
      <c r="L7" s="47">
        <v>65700.0</v>
      </c>
      <c r="M7" s="18">
        <f t="shared" si="1"/>
        <v>0</v>
      </c>
    </row>
    <row r="8">
      <c r="A8" s="41">
        <v>4.0</v>
      </c>
      <c r="B8" s="46" t="s">
        <v>1162</v>
      </c>
      <c r="C8" s="46">
        <v>39317.0</v>
      </c>
      <c r="D8" s="46" t="s">
        <v>84</v>
      </c>
      <c r="E8" s="27"/>
      <c r="F8" s="28"/>
      <c r="G8" s="29"/>
      <c r="H8" s="30"/>
      <c r="I8" s="31">
        <v>10000.0</v>
      </c>
      <c r="J8" s="32"/>
      <c r="K8" s="33"/>
      <c r="L8" s="47">
        <v>10000.0</v>
      </c>
      <c r="M8" s="18">
        <f t="shared" si="1"/>
        <v>0</v>
      </c>
    </row>
    <row r="9">
      <c r="A9" s="41">
        <v>5.0</v>
      </c>
      <c r="B9" s="46" t="s">
        <v>1163</v>
      </c>
      <c r="C9" s="46">
        <v>43134.0</v>
      </c>
      <c r="D9" s="46" t="s">
        <v>599</v>
      </c>
      <c r="E9" s="27"/>
      <c r="F9" s="28"/>
      <c r="G9" s="29"/>
      <c r="H9" s="30"/>
      <c r="I9" s="31">
        <v>0.0</v>
      </c>
      <c r="J9" s="32"/>
      <c r="K9" s="33"/>
      <c r="L9" s="47">
        <v>20000.0</v>
      </c>
      <c r="M9" s="18">
        <f t="shared" si="1"/>
        <v>-20000</v>
      </c>
    </row>
    <row r="10">
      <c r="A10" s="41">
        <v>6.0</v>
      </c>
      <c r="B10" s="46" t="s">
        <v>1164</v>
      </c>
      <c r="C10" s="46">
        <v>41079.0</v>
      </c>
      <c r="D10" s="46" t="s">
        <v>634</v>
      </c>
      <c r="E10" s="27"/>
      <c r="F10" s="28"/>
      <c r="G10" s="29"/>
      <c r="H10" s="30">
        <v>7500.0</v>
      </c>
      <c r="I10" s="31"/>
      <c r="J10" s="32"/>
      <c r="K10" s="33"/>
      <c r="L10" s="47">
        <v>7500.0</v>
      </c>
      <c r="M10" s="18">
        <f t="shared" si="1"/>
        <v>0</v>
      </c>
    </row>
    <row r="11">
      <c r="A11" s="41">
        <v>7.0</v>
      </c>
      <c r="B11" s="46" t="s">
        <v>1165</v>
      </c>
      <c r="C11" s="46">
        <v>50616.0</v>
      </c>
      <c r="D11" s="46" t="s">
        <v>1166</v>
      </c>
      <c r="E11" s="27"/>
      <c r="F11" s="28"/>
      <c r="G11" s="29"/>
      <c r="H11" s="30"/>
      <c r="I11" s="31">
        <v>458.0</v>
      </c>
      <c r="J11" s="35"/>
      <c r="K11" s="33"/>
      <c r="L11" s="47">
        <v>458.0</v>
      </c>
      <c r="M11" s="18">
        <f t="shared" si="1"/>
        <v>0</v>
      </c>
    </row>
    <row r="12">
      <c r="A12" s="41">
        <v>8.0</v>
      </c>
      <c r="B12" s="46" t="s">
        <v>1167</v>
      </c>
      <c r="C12" s="46">
        <v>13781.0</v>
      </c>
      <c r="D12" s="46" t="s">
        <v>278</v>
      </c>
      <c r="E12" s="27"/>
      <c r="F12" s="28"/>
      <c r="G12" s="29"/>
      <c r="H12" s="30">
        <v>2500.0</v>
      </c>
      <c r="I12" s="31"/>
      <c r="J12" s="32"/>
      <c r="K12" s="33"/>
      <c r="L12" s="47">
        <v>2500.0</v>
      </c>
      <c r="M12" s="18">
        <f t="shared" si="1"/>
        <v>0</v>
      </c>
    </row>
    <row r="13">
      <c r="A13" s="41">
        <v>9.0</v>
      </c>
      <c r="B13" s="46" t="s">
        <v>1168</v>
      </c>
      <c r="C13" s="46">
        <v>22341.0</v>
      </c>
      <c r="D13" s="46" t="s">
        <v>293</v>
      </c>
      <c r="E13" s="27"/>
      <c r="F13" s="28"/>
      <c r="G13" s="29"/>
      <c r="H13" s="30">
        <v>2650.0</v>
      </c>
      <c r="I13" s="31"/>
      <c r="J13" s="32"/>
      <c r="K13" s="33"/>
      <c r="L13" s="47">
        <v>2650.0</v>
      </c>
      <c r="M13" s="18">
        <f t="shared" si="1"/>
        <v>0</v>
      </c>
    </row>
    <row r="14">
      <c r="A14" s="41">
        <v>10.0</v>
      </c>
      <c r="B14" s="46" t="s">
        <v>1169</v>
      </c>
      <c r="C14" s="46">
        <v>38576.0</v>
      </c>
      <c r="D14" s="46" t="s">
        <v>1170</v>
      </c>
      <c r="E14" s="27"/>
      <c r="F14" s="28"/>
      <c r="G14" s="29"/>
      <c r="H14" s="30"/>
      <c r="I14" s="31">
        <v>3750.0</v>
      </c>
      <c r="J14" s="32"/>
      <c r="K14" s="33"/>
      <c r="L14" s="47">
        <v>3750.0</v>
      </c>
      <c r="M14" s="18">
        <f t="shared" si="1"/>
        <v>0</v>
      </c>
    </row>
    <row r="15">
      <c r="A15" s="41">
        <v>11.0</v>
      </c>
      <c r="B15" s="46" t="s">
        <v>1171</v>
      </c>
      <c r="C15" s="46">
        <v>36928.0</v>
      </c>
      <c r="D15" s="46" t="s">
        <v>258</v>
      </c>
      <c r="E15" s="27"/>
      <c r="F15" s="28"/>
      <c r="G15" s="29"/>
      <c r="H15" s="30"/>
      <c r="I15" s="31">
        <v>1450.0</v>
      </c>
      <c r="J15" s="32"/>
      <c r="K15" s="33"/>
      <c r="L15" s="47">
        <v>1450.0</v>
      </c>
      <c r="M15" s="18">
        <f t="shared" si="1"/>
        <v>0</v>
      </c>
    </row>
    <row r="16">
      <c r="A16" s="41">
        <v>12.0</v>
      </c>
      <c r="B16" s="46" t="s">
        <v>1172</v>
      </c>
      <c r="C16" s="46">
        <v>29621.0</v>
      </c>
      <c r="D16" s="46" t="s">
        <v>174</v>
      </c>
      <c r="E16" s="27"/>
      <c r="F16" s="28"/>
      <c r="G16" s="29"/>
      <c r="H16" s="30"/>
      <c r="I16" s="31">
        <v>15000.0</v>
      </c>
      <c r="J16" s="35"/>
      <c r="K16" s="33"/>
      <c r="L16" s="47">
        <v>15000.0</v>
      </c>
      <c r="M16" s="18">
        <f t="shared" si="1"/>
        <v>0</v>
      </c>
    </row>
    <row r="17">
      <c r="A17" s="41">
        <v>13.0</v>
      </c>
      <c r="B17" s="46" t="s">
        <v>1173</v>
      </c>
      <c r="C17" s="46">
        <v>51406.0</v>
      </c>
      <c r="D17" s="46" t="s">
        <v>18</v>
      </c>
      <c r="E17" s="27"/>
      <c r="F17" s="28"/>
      <c r="G17" s="29"/>
      <c r="H17" s="30"/>
      <c r="I17" s="31">
        <v>2500.0</v>
      </c>
      <c r="J17" s="35"/>
      <c r="K17" s="33"/>
      <c r="L17" s="47">
        <v>2500.0</v>
      </c>
      <c r="M17" s="18">
        <f t="shared" si="1"/>
        <v>0</v>
      </c>
    </row>
    <row r="18">
      <c r="A18" s="41">
        <v>14.0</v>
      </c>
      <c r="B18" s="46" t="s">
        <v>1174</v>
      </c>
      <c r="C18" s="46">
        <v>44149.0</v>
      </c>
      <c r="D18" s="46" t="s">
        <v>32</v>
      </c>
      <c r="E18" s="27"/>
      <c r="F18" s="37"/>
      <c r="G18" s="29"/>
      <c r="H18" s="30">
        <v>125800.0</v>
      </c>
      <c r="I18" s="31"/>
      <c r="J18" s="32"/>
      <c r="K18" s="33"/>
      <c r="L18" s="47">
        <v>125800.0</v>
      </c>
      <c r="M18" s="18">
        <f t="shared" si="1"/>
        <v>0</v>
      </c>
    </row>
    <row r="19">
      <c r="A19" s="41">
        <v>15.0</v>
      </c>
      <c r="B19" s="46" t="s">
        <v>1175</v>
      </c>
      <c r="C19" s="46">
        <v>47862.0</v>
      </c>
      <c r="D19" s="46" t="s">
        <v>940</v>
      </c>
      <c r="E19" s="27"/>
      <c r="F19" s="28"/>
      <c r="G19" s="29"/>
      <c r="H19" s="30">
        <v>5150.0</v>
      </c>
      <c r="I19" s="31"/>
      <c r="J19" s="32"/>
      <c r="K19" s="33"/>
      <c r="L19" s="47">
        <v>5150.0</v>
      </c>
      <c r="M19" s="18">
        <f t="shared" si="1"/>
        <v>0</v>
      </c>
    </row>
    <row r="20">
      <c r="A20" s="41">
        <v>16.0</v>
      </c>
      <c r="B20" s="46" t="s">
        <v>1176</v>
      </c>
      <c r="C20" s="46">
        <v>31738.0</v>
      </c>
      <c r="D20" s="46" t="s">
        <v>154</v>
      </c>
      <c r="E20" s="27"/>
      <c r="F20" s="28"/>
      <c r="G20" s="29"/>
      <c r="H20" s="30">
        <v>2650.0</v>
      </c>
      <c r="I20" s="31"/>
      <c r="J20" s="32"/>
      <c r="K20" s="33"/>
      <c r="L20" s="47">
        <v>2650.0</v>
      </c>
      <c r="M20" s="18">
        <f t="shared" si="1"/>
        <v>0</v>
      </c>
    </row>
    <row r="21">
      <c r="A21" s="41">
        <v>17.0</v>
      </c>
      <c r="B21" s="46" t="s">
        <v>1177</v>
      </c>
      <c r="C21" s="46">
        <v>50173.0</v>
      </c>
      <c r="D21" s="46" t="s">
        <v>67</v>
      </c>
      <c r="E21" s="27"/>
      <c r="F21" s="28"/>
      <c r="G21" s="29"/>
      <c r="H21" s="30"/>
      <c r="I21" s="31">
        <v>5000.0</v>
      </c>
      <c r="J21" s="32"/>
      <c r="K21" s="33"/>
      <c r="L21" s="47">
        <v>5000.0</v>
      </c>
      <c r="M21" s="18">
        <f t="shared" si="1"/>
        <v>0</v>
      </c>
    </row>
    <row r="22">
      <c r="A22" s="41">
        <v>18.0</v>
      </c>
      <c r="B22" s="46" t="s">
        <v>1178</v>
      </c>
      <c r="C22" s="46">
        <v>41245.0</v>
      </c>
      <c r="D22" s="46" t="s">
        <v>729</v>
      </c>
      <c r="E22" s="27"/>
      <c r="F22" s="37"/>
      <c r="G22" s="29"/>
      <c r="H22" s="30">
        <v>5150.0</v>
      </c>
      <c r="I22" s="31"/>
      <c r="J22" s="32"/>
      <c r="K22" s="33"/>
      <c r="L22" s="47">
        <v>5150.0</v>
      </c>
      <c r="M22" s="18">
        <f t="shared" si="1"/>
        <v>0</v>
      </c>
    </row>
    <row r="23">
      <c r="A23" s="41">
        <v>19.0</v>
      </c>
      <c r="B23" s="46" t="s">
        <v>1179</v>
      </c>
      <c r="C23" s="46">
        <v>24751.0</v>
      </c>
      <c r="D23" s="46" t="s">
        <v>610</v>
      </c>
      <c r="E23" s="27"/>
      <c r="F23" s="28"/>
      <c r="G23" s="29"/>
      <c r="H23" s="30">
        <v>900.0</v>
      </c>
      <c r="I23" s="31"/>
      <c r="J23" s="32"/>
      <c r="K23" s="33"/>
      <c r="L23" s="47">
        <v>900.0</v>
      </c>
      <c r="M23" s="18">
        <f t="shared" si="1"/>
        <v>0</v>
      </c>
    </row>
    <row r="24">
      <c r="A24" s="41">
        <v>20.0</v>
      </c>
      <c r="B24" s="46" t="s">
        <v>1180</v>
      </c>
      <c r="C24" s="46">
        <v>21818.0</v>
      </c>
      <c r="D24" s="46" t="s">
        <v>69</v>
      </c>
      <c r="E24" s="27"/>
      <c r="F24" s="28"/>
      <c r="G24" s="29"/>
      <c r="H24" s="30">
        <v>5150.0</v>
      </c>
      <c r="I24" s="31"/>
      <c r="J24" s="32"/>
      <c r="K24" s="33"/>
      <c r="L24" s="47">
        <v>5150.0</v>
      </c>
      <c r="M24" s="18">
        <f t="shared" si="1"/>
        <v>0</v>
      </c>
    </row>
    <row r="25">
      <c r="A25" s="41">
        <v>21.0</v>
      </c>
      <c r="B25" s="46" t="s">
        <v>1181</v>
      </c>
      <c r="C25" s="46">
        <v>29621.0</v>
      </c>
      <c r="D25" s="46" t="s">
        <v>174</v>
      </c>
      <c r="E25" s="27"/>
      <c r="F25" s="37"/>
      <c r="G25" s="29"/>
      <c r="H25" s="30">
        <v>15000.0</v>
      </c>
      <c r="I25" s="36"/>
      <c r="J25" s="32"/>
      <c r="K25" s="33"/>
      <c r="L25" s="47">
        <v>15000.0</v>
      </c>
      <c r="M25" s="18">
        <f t="shared" si="1"/>
        <v>0</v>
      </c>
    </row>
    <row r="26">
      <c r="A26" s="41">
        <v>22.0</v>
      </c>
      <c r="B26" s="46" t="s">
        <v>1182</v>
      </c>
      <c r="C26" s="46">
        <v>45937.0</v>
      </c>
      <c r="D26" s="46" t="s">
        <v>337</v>
      </c>
      <c r="E26" s="38"/>
      <c r="F26" s="28"/>
      <c r="G26" s="29"/>
      <c r="H26" s="30">
        <v>2500.0</v>
      </c>
      <c r="I26" s="36"/>
      <c r="J26" s="32"/>
      <c r="K26" s="33"/>
      <c r="L26" s="47">
        <v>2500.0</v>
      </c>
      <c r="M26" s="18">
        <f t="shared" si="1"/>
        <v>0</v>
      </c>
    </row>
    <row r="27">
      <c r="A27" s="41">
        <v>23.0</v>
      </c>
      <c r="B27" s="46" t="s">
        <v>1183</v>
      </c>
      <c r="C27" s="46">
        <v>43380.0</v>
      </c>
      <c r="D27" s="46" t="s">
        <v>61</v>
      </c>
      <c r="E27" s="27"/>
      <c r="F27" s="37"/>
      <c r="G27" s="29"/>
      <c r="H27" s="30"/>
      <c r="I27" s="31">
        <v>15000.0</v>
      </c>
      <c r="J27" s="35"/>
      <c r="K27" s="33"/>
      <c r="L27" s="47">
        <v>15000.0</v>
      </c>
      <c r="M27" s="18">
        <f t="shared" si="1"/>
        <v>0</v>
      </c>
    </row>
    <row r="28">
      <c r="A28" s="41">
        <v>24.0</v>
      </c>
      <c r="B28" s="46" t="s">
        <v>1184</v>
      </c>
      <c r="C28" s="46">
        <v>56683.0</v>
      </c>
      <c r="D28" s="46" t="s">
        <v>403</v>
      </c>
      <c r="E28" s="27"/>
      <c r="F28" s="28"/>
      <c r="G28" s="29"/>
      <c r="H28" s="30">
        <v>350.0</v>
      </c>
      <c r="I28" s="31"/>
      <c r="J28" s="32"/>
      <c r="K28" s="33"/>
      <c r="L28" s="47">
        <v>350.0</v>
      </c>
      <c r="M28" s="18">
        <f t="shared" si="1"/>
        <v>0</v>
      </c>
    </row>
    <row r="29">
      <c r="A29" s="41">
        <v>25.0</v>
      </c>
      <c r="B29" s="46" t="s">
        <v>1185</v>
      </c>
      <c r="C29" s="46">
        <v>48052.0</v>
      </c>
      <c r="D29" s="46" t="s">
        <v>796</v>
      </c>
      <c r="E29" s="27"/>
      <c r="F29" s="28"/>
      <c r="G29" s="29"/>
      <c r="H29" s="30">
        <v>1250.0</v>
      </c>
      <c r="I29" s="31"/>
      <c r="J29" s="32"/>
      <c r="K29" s="33"/>
      <c r="L29" s="47">
        <v>1250.0</v>
      </c>
      <c r="M29" s="18">
        <f t="shared" si="1"/>
        <v>0</v>
      </c>
    </row>
    <row r="30">
      <c r="A30" s="41">
        <v>26.0</v>
      </c>
      <c r="B30" s="46" t="s">
        <v>1186</v>
      </c>
      <c r="C30" s="46">
        <v>55763.0</v>
      </c>
      <c r="D30" s="46" t="s">
        <v>1187</v>
      </c>
      <c r="E30" s="27"/>
      <c r="F30" s="28"/>
      <c r="G30" s="29"/>
      <c r="H30" s="30"/>
      <c r="I30" s="31">
        <v>3000.0</v>
      </c>
      <c r="J30" s="32"/>
      <c r="K30" s="33"/>
      <c r="L30" s="47">
        <v>3000.0</v>
      </c>
      <c r="M30" s="18">
        <f t="shared" si="1"/>
        <v>0</v>
      </c>
    </row>
    <row r="31">
      <c r="A31" s="41">
        <v>27.0</v>
      </c>
      <c r="B31" s="46" t="s">
        <v>1188</v>
      </c>
      <c r="C31" s="46">
        <v>28414.0</v>
      </c>
      <c r="D31" s="46" t="s">
        <v>833</v>
      </c>
      <c r="E31" s="27"/>
      <c r="F31" s="28"/>
      <c r="G31" s="29"/>
      <c r="H31" s="30">
        <v>1600.0</v>
      </c>
      <c r="I31" s="31"/>
      <c r="J31" s="32"/>
      <c r="K31" s="33"/>
      <c r="L31" s="47">
        <v>1600.0</v>
      </c>
      <c r="M31" s="18">
        <f t="shared" si="1"/>
        <v>0</v>
      </c>
    </row>
    <row r="32">
      <c r="A32" s="41">
        <v>28.0</v>
      </c>
      <c r="B32" s="46" t="s">
        <v>1189</v>
      </c>
      <c r="C32" s="46">
        <v>48059.0</v>
      </c>
      <c r="D32" s="46" t="s">
        <v>1190</v>
      </c>
      <c r="E32" s="27"/>
      <c r="F32" s="28"/>
      <c r="G32" s="29"/>
      <c r="H32" s="30"/>
      <c r="I32" s="31">
        <v>15000.0</v>
      </c>
      <c r="J32" s="32"/>
      <c r="K32" s="33"/>
      <c r="L32" s="47">
        <v>15000.0</v>
      </c>
      <c r="M32" s="18">
        <f t="shared" si="1"/>
        <v>0</v>
      </c>
    </row>
    <row r="33">
      <c r="A33" s="41">
        <v>29.0</v>
      </c>
      <c r="B33" s="46" t="s">
        <v>1191</v>
      </c>
      <c r="C33" s="46">
        <v>56613.0</v>
      </c>
      <c r="D33" s="46" t="s">
        <v>1192</v>
      </c>
      <c r="E33" s="27"/>
      <c r="F33" s="37">
        <v>7500.0</v>
      </c>
      <c r="G33" s="29"/>
      <c r="H33" s="30"/>
      <c r="I33" s="31"/>
      <c r="J33" s="32"/>
      <c r="K33" s="33"/>
      <c r="L33" s="47">
        <v>7500.0</v>
      </c>
      <c r="M33" s="18">
        <f t="shared" si="1"/>
        <v>0</v>
      </c>
    </row>
    <row r="34">
      <c r="A34" s="41">
        <v>30.0</v>
      </c>
      <c r="B34" s="46" t="s">
        <v>1193</v>
      </c>
      <c r="C34" s="46">
        <v>53330.0</v>
      </c>
      <c r="D34" s="46" t="s">
        <v>382</v>
      </c>
      <c r="E34" s="27"/>
      <c r="F34" s="37">
        <v>7550.0</v>
      </c>
      <c r="G34" s="29"/>
      <c r="H34" s="30"/>
      <c r="I34" s="31"/>
      <c r="J34" s="32"/>
      <c r="K34" s="33"/>
      <c r="L34" s="47">
        <v>7550.0</v>
      </c>
      <c r="M34" s="18">
        <f t="shared" si="1"/>
        <v>0</v>
      </c>
    </row>
    <row r="35">
      <c r="A35" s="41">
        <v>31.0</v>
      </c>
      <c r="B35" s="46" t="s">
        <v>1194</v>
      </c>
      <c r="C35" s="46">
        <v>55562.0</v>
      </c>
      <c r="D35" s="46" t="s">
        <v>1195</v>
      </c>
      <c r="E35" s="27"/>
      <c r="F35" s="28"/>
      <c r="G35" s="29"/>
      <c r="H35" s="30">
        <v>5000.0</v>
      </c>
      <c r="I35" s="31"/>
      <c r="J35" s="32"/>
      <c r="K35" s="33"/>
      <c r="L35" s="47">
        <v>5000.0</v>
      </c>
      <c r="M35" s="18">
        <f t="shared" si="1"/>
        <v>0</v>
      </c>
    </row>
    <row r="36">
      <c r="A36" s="41">
        <v>32.0</v>
      </c>
      <c r="B36" s="46" t="s">
        <v>1196</v>
      </c>
      <c r="C36" s="46">
        <v>55562.0</v>
      </c>
      <c r="D36" s="46" t="s">
        <v>1195</v>
      </c>
      <c r="E36" s="27"/>
      <c r="F36" s="28"/>
      <c r="G36" s="29"/>
      <c r="H36" s="30">
        <v>5000.0</v>
      </c>
      <c r="I36" s="31"/>
      <c r="J36" s="32"/>
      <c r="K36" s="33"/>
      <c r="L36" s="47">
        <v>5000.0</v>
      </c>
      <c r="M36" s="18">
        <f t="shared" si="1"/>
        <v>0</v>
      </c>
    </row>
    <row r="37">
      <c r="A37" s="41">
        <v>33.0</v>
      </c>
      <c r="B37" s="46" t="s">
        <v>1197</v>
      </c>
      <c r="C37" s="46">
        <v>14329.0</v>
      </c>
      <c r="D37" s="46" t="s">
        <v>210</v>
      </c>
      <c r="E37" s="27"/>
      <c r="F37" s="28"/>
      <c r="G37" s="29"/>
      <c r="H37" s="30"/>
      <c r="I37" s="31">
        <v>25000.0</v>
      </c>
      <c r="J37" s="32"/>
      <c r="K37" s="33"/>
      <c r="L37" s="47">
        <v>25000.0</v>
      </c>
      <c r="M37" s="18">
        <f t="shared" si="1"/>
        <v>0</v>
      </c>
    </row>
    <row r="38">
      <c r="A38" s="41">
        <v>34.0</v>
      </c>
      <c r="B38" s="46" t="s">
        <v>1198</v>
      </c>
      <c r="C38" s="46">
        <v>35245.0</v>
      </c>
      <c r="D38" s="46" t="s">
        <v>34</v>
      </c>
      <c r="E38" s="27"/>
      <c r="F38" s="28"/>
      <c r="G38" s="29"/>
      <c r="H38" s="30">
        <v>15000.0</v>
      </c>
      <c r="I38" s="31"/>
      <c r="J38" s="35"/>
      <c r="K38" s="33"/>
      <c r="L38" s="47">
        <v>15000.0</v>
      </c>
      <c r="M38" s="18">
        <f t="shared" si="1"/>
        <v>0</v>
      </c>
    </row>
    <row r="39">
      <c r="A39" s="41">
        <v>35.0</v>
      </c>
      <c r="B39" s="46" t="s">
        <v>1199</v>
      </c>
      <c r="C39" s="46">
        <v>46778.0</v>
      </c>
      <c r="D39" s="46" t="s">
        <v>109</v>
      </c>
      <c r="E39" s="27"/>
      <c r="F39" s="28"/>
      <c r="G39" s="29"/>
      <c r="H39" s="30"/>
      <c r="I39" s="31">
        <v>10000.0</v>
      </c>
      <c r="J39" s="32"/>
      <c r="K39" s="33"/>
      <c r="L39" s="47">
        <v>10000.0</v>
      </c>
      <c r="M39" s="18">
        <f t="shared" si="1"/>
        <v>0</v>
      </c>
    </row>
    <row r="40">
      <c r="A40" s="41">
        <v>36.0</v>
      </c>
      <c r="B40" s="46" t="s">
        <v>1200</v>
      </c>
      <c r="C40" s="46">
        <v>51797.0</v>
      </c>
      <c r="D40" s="46" t="s">
        <v>684</v>
      </c>
      <c r="E40" s="27"/>
      <c r="F40" s="28"/>
      <c r="G40" s="29"/>
      <c r="H40" s="30"/>
      <c r="I40" s="31">
        <v>5000.0</v>
      </c>
      <c r="J40" s="35"/>
      <c r="K40" s="33"/>
      <c r="L40" s="47">
        <v>5000.0</v>
      </c>
      <c r="M40" s="18">
        <f t="shared" si="1"/>
        <v>0</v>
      </c>
    </row>
    <row r="41">
      <c r="A41" s="41">
        <v>37.0</v>
      </c>
      <c r="B41" s="46" t="s">
        <v>1201</v>
      </c>
      <c r="C41" s="46">
        <v>51797.0</v>
      </c>
      <c r="D41" s="46" t="s">
        <v>684</v>
      </c>
      <c r="E41" s="27"/>
      <c r="F41" s="28"/>
      <c r="G41" s="29"/>
      <c r="H41" s="30"/>
      <c r="I41" s="31">
        <v>5000.0</v>
      </c>
      <c r="J41" s="35"/>
      <c r="K41" s="33"/>
      <c r="L41" s="47">
        <v>5000.0</v>
      </c>
      <c r="M41" s="18">
        <f t="shared" si="1"/>
        <v>0</v>
      </c>
    </row>
    <row r="42">
      <c r="A42" s="41">
        <v>38.0</v>
      </c>
      <c r="B42" s="46" t="s">
        <v>1202</v>
      </c>
      <c r="C42" s="46">
        <v>22727.0</v>
      </c>
      <c r="D42" s="46" t="s">
        <v>162</v>
      </c>
      <c r="E42" s="27"/>
      <c r="F42" s="28"/>
      <c r="G42" s="29"/>
      <c r="H42" s="30"/>
      <c r="I42" s="31">
        <v>10000.0</v>
      </c>
      <c r="J42" s="32"/>
      <c r="K42" s="33"/>
      <c r="L42" s="47">
        <v>10000.0</v>
      </c>
      <c r="M42" s="18">
        <f t="shared" si="1"/>
        <v>0</v>
      </c>
    </row>
    <row r="43">
      <c r="A43" s="41">
        <v>39.0</v>
      </c>
      <c r="B43" s="46" t="s">
        <v>1203</v>
      </c>
      <c r="C43" s="46">
        <v>22727.0</v>
      </c>
      <c r="D43" s="46" t="s">
        <v>162</v>
      </c>
      <c r="E43" s="27"/>
      <c r="F43" s="28"/>
      <c r="G43" s="29"/>
      <c r="H43" s="30"/>
      <c r="I43" s="31">
        <v>5150.0</v>
      </c>
      <c r="J43" s="32"/>
      <c r="K43" s="33"/>
      <c r="L43" s="47">
        <v>5150.0</v>
      </c>
      <c r="M43" s="18">
        <f t="shared" si="1"/>
        <v>0</v>
      </c>
    </row>
    <row r="44">
      <c r="A44" s="41">
        <v>40.0</v>
      </c>
      <c r="B44" s="46" t="s">
        <v>1204</v>
      </c>
      <c r="C44" s="46">
        <v>19688.0</v>
      </c>
      <c r="D44" s="46" t="s">
        <v>679</v>
      </c>
      <c r="E44" s="27"/>
      <c r="F44" s="28"/>
      <c r="G44" s="29"/>
      <c r="H44" s="30">
        <v>8750.0</v>
      </c>
      <c r="I44" s="31"/>
      <c r="J44" s="32"/>
      <c r="K44" s="33"/>
      <c r="L44" s="47">
        <v>8750.0</v>
      </c>
      <c r="M44" s="18">
        <f t="shared" si="1"/>
        <v>0</v>
      </c>
    </row>
    <row r="45">
      <c r="A45" s="41">
        <v>41.0</v>
      </c>
      <c r="B45" s="46" t="s">
        <v>1205</v>
      </c>
      <c r="C45" s="46">
        <v>16755.0</v>
      </c>
      <c r="D45" s="46" t="s">
        <v>1206</v>
      </c>
      <c r="E45" s="38"/>
      <c r="F45" s="37"/>
      <c r="G45" s="29"/>
      <c r="H45" s="30">
        <v>8000.0</v>
      </c>
      <c r="I45" s="31"/>
      <c r="J45" s="32"/>
      <c r="K45" s="33"/>
      <c r="L45" s="47">
        <v>8000.0</v>
      </c>
      <c r="M45" s="18">
        <f t="shared" si="1"/>
        <v>0</v>
      </c>
    </row>
    <row r="46">
      <c r="A46" s="41">
        <v>42.0</v>
      </c>
      <c r="B46" s="46" t="s">
        <v>1207</v>
      </c>
      <c r="C46" s="46">
        <v>51965.0</v>
      </c>
      <c r="D46" s="46" t="s">
        <v>1208</v>
      </c>
      <c r="E46" s="38"/>
      <c r="F46" s="37"/>
      <c r="G46" s="29"/>
      <c r="H46" s="30">
        <v>8550.0</v>
      </c>
      <c r="I46" s="31"/>
      <c r="J46" s="32"/>
      <c r="K46" s="33"/>
      <c r="L46" s="47">
        <v>8550.0</v>
      </c>
      <c r="M46" s="18">
        <f t="shared" si="1"/>
        <v>0</v>
      </c>
    </row>
    <row r="47">
      <c r="A47" s="41">
        <v>43.0</v>
      </c>
      <c r="B47" s="46" t="s">
        <v>1209</v>
      </c>
      <c r="C47" s="46">
        <v>22332.0</v>
      </c>
      <c r="D47" s="46" t="s">
        <v>138</v>
      </c>
      <c r="E47" s="27"/>
      <c r="F47" s="28"/>
      <c r="G47" s="29"/>
      <c r="H47" s="30">
        <v>3350.0</v>
      </c>
      <c r="I47" s="31"/>
      <c r="J47" s="32"/>
      <c r="K47" s="33"/>
      <c r="L47" s="47">
        <v>3350.0</v>
      </c>
      <c r="M47" s="18">
        <f t="shared" si="1"/>
        <v>0</v>
      </c>
    </row>
    <row r="48">
      <c r="A48" s="41">
        <v>44.0</v>
      </c>
      <c r="B48" s="46" t="s">
        <v>1210</v>
      </c>
      <c r="C48" s="46">
        <v>10001.0</v>
      </c>
      <c r="D48" s="46" t="s">
        <v>218</v>
      </c>
      <c r="E48" s="27"/>
      <c r="F48" s="28"/>
      <c r="G48" s="29"/>
      <c r="H48" s="30">
        <v>5150.0</v>
      </c>
      <c r="I48" s="31"/>
      <c r="J48" s="32"/>
      <c r="K48" s="33"/>
      <c r="L48" s="47">
        <v>5150.0</v>
      </c>
      <c r="M48" s="18">
        <f t="shared" si="1"/>
        <v>0</v>
      </c>
    </row>
    <row r="49">
      <c r="A49" s="41">
        <v>45.0</v>
      </c>
      <c r="B49" s="46" t="s">
        <v>1211</v>
      </c>
      <c r="C49" s="46">
        <v>22332.0</v>
      </c>
      <c r="D49" s="46" t="s">
        <v>138</v>
      </c>
      <c r="E49" s="27"/>
      <c r="F49" s="28"/>
      <c r="G49" s="29"/>
      <c r="H49" s="30">
        <v>9700.0</v>
      </c>
      <c r="I49" s="31"/>
      <c r="J49" s="32"/>
      <c r="K49" s="33"/>
      <c r="L49" s="47">
        <v>9700.0</v>
      </c>
      <c r="M49" s="18">
        <f t="shared" si="1"/>
        <v>0</v>
      </c>
    </row>
    <row r="50">
      <c r="A50" s="41">
        <v>46.0</v>
      </c>
      <c r="B50" s="46" t="s">
        <v>1212</v>
      </c>
      <c r="C50" s="46">
        <v>12102.0</v>
      </c>
      <c r="D50" s="46" t="s">
        <v>345</v>
      </c>
      <c r="E50" s="27"/>
      <c r="F50" s="28"/>
      <c r="G50" s="29"/>
      <c r="H50" s="30">
        <v>942.0</v>
      </c>
      <c r="I50" s="31"/>
      <c r="J50" s="32"/>
      <c r="K50" s="33"/>
      <c r="L50" s="47">
        <v>942.0</v>
      </c>
      <c r="M50" s="18">
        <f t="shared" si="1"/>
        <v>0</v>
      </c>
    </row>
    <row r="51">
      <c r="A51" s="41">
        <v>47.0</v>
      </c>
      <c r="B51" s="46" t="s">
        <v>1213</v>
      </c>
      <c r="C51" s="46">
        <v>30895.0</v>
      </c>
      <c r="D51" s="46" t="s">
        <v>603</v>
      </c>
      <c r="E51" s="27"/>
      <c r="F51" s="28"/>
      <c r="G51" s="39"/>
      <c r="H51" s="30"/>
      <c r="I51" s="31">
        <v>1250.0</v>
      </c>
      <c r="J51" s="32"/>
      <c r="K51" s="33"/>
      <c r="L51" s="47">
        <v>1250.0</v>
      </c>
      <c r="M51" s="18">
        <f t="shared" si="1"/>
        <v>0</v>
      </c>
    </row>
    <row r="52">
      <c r="A52" s="41">
        <v>48.0</v>
      </c>
      <c r="B52" s="46" t="s">
        <v>1214</v>
      </c>
      <c r="C52" s="46">
        <v>48631.0</v>
      </c>
      <c r="D52" s="46" t="s">
        <v>118</v>
      </c>
      <c r="E52" s="27"/>
      <c r="F52" s="37"/>
      <c r="G52" s="29"/>
      <c r="H52" s="30">
        <v>8200.0</v>
      </c>
      <c r="I52" s="31"/>
      <c r="J52" s="32"/>
      <c r="K52" s="33"/>
      <c r="L52" s="47">
        <v>8200.0</v>
      </c>
      <c r="M52" s="18">
        <f t="shared" si="1"/>
        <v>0</v>
      </c>
    </row>
    <row r="53">
      <c r="A53" s="41">
        <v>49.0</v>
      </c>
      <c r="B53" s="46" t="s">
        <v>1215</v>
      </c>
      <c r="C53" s="46">
        <v>31738.0</v>
      </c>
      <c r="D53" s="46" t="s">
        <v>154</v>
      </c>
      <c r="E53" s="27"/>
      <c r="F53" s="28"/>
      <c r="G53" s="29"/>
      <c r="H53" s="30">
        <v>7650.0</v>
      </c>
      <c r="I53" s="31"/>
      <c r="J53" s="32"/>
      <c r="K53" s="33"/>
      <c r="L53" s="47">
        <v>7650.0</v>
      </c>
      <c r="M53" s="18">
        <f t="shared" si="1"/>
        <v>0</v>
      </c>
    </row>
    <row r="54">
      <c r="A54" s="41">
        <v>50.0</v>
      </c>
      <c r="B54" s="46" t="s">
        <v>1216</v>
      </c>
      <c r="C54" s="46">
        <v>48526.0</v>
      </c>
      <c r="D54" s="46" t="s">
        <v>1217</v>
      </c>
      <c r="E54" s="27"/>
      <c r="F54" s="28"/>
      <c r="G54" s="29"/>
      <c r="H54" s="30"/>
      <c r="I54" s="31">
        <v>15000.0</v>
      </c>
      <c r="J54" s="32"/>
      <c r="K54" s="33"/>
      <c r="L54" s="47">
        <v>15000.0</v>
      </c>
      <c r="M54" s="18">
        <f t="shared" si="1"/>
        <v>0</v>
      </c>
    </row>
    <row r="55">
      <c r="A55" s="41">
        <v>51.0</v>
      </c>
      <c r="B55" s="46" t="s">
        <v>1218</v>
      </c>
      <c r="C55" s="46">
        <v>51406.0</v>
      </c>
      <c r="D55" s="46" t="s">
        <v>18</v>
      </c>
      <c r="E55" s="27"/>
      <c r="F55" s="28"/>
      <c r="G55" s="29"/>
      <c r="H55" s="30"/>
      <c r="I55" s="31">
        <v>18000.0</v>
      </c>
      <c r="J55" s="32"/>
      <c r="K55" s="33"/>
      <c r="L55" s="47">
        <v>18000.0</v>
      </c>
      <c r="M55" s="18">
        <f t="shared" si="1"/>
        <v>0</v>
      </c>
    </row>
    <row r="56">
      <c r="A56" s="41">
        <v>52.0</v>
      </c>
      <c r="B56" s="46" t="s">
        <v>1219</v>
      </c>
      <c r="C56" s="46">
        <v>42046.0</v>
      </c>
      <c r="D56" s="46" t="s">
        <v>24</v>
      </c>
      <c r="E56" s="27"/>
      <c r="F56" s="28"/>
      <c r="G56" s="29"/>
      <c r="H56" s="30">
        <v>5300.0</v>
      </c>
      <c r="I56" s="31"/>
      <c r="J56" s="32"/>
      <c r="K56" s="33"/>
      <c r="L56" s="47">
        <v>5300.0</v>
      </c>
      <c r="M56" s="18">
        <f t="shared" si="1"/>
        <v>0</v>
      </c>
    </row>
    <row r="57">
      <c r="A57" s="41">
        <v>53.0</v>
      </c>
      <c r="B57" s="46" t="s">
        <v>1220</v>
      </c>
      <c r="C57" s="46">
        <v>43375.0</v>
      </c>
      <c r="D57" s="46" t="s">
        <v>328</v>
      </c>
      <c r="E57" s="27"/>
      <c r="F57" s="28"/>
      <c r="G57" s="29"/>
      <c r="H57" s="30">
        <v>15000.0</v>
      </c>
      <c r="I57" s="31"/>
      <c r="J57" s="32"/>
      <c r="K57" s="33"/>
      <c r="L57" s="47">
        <v>15000.0</v>
      </c>
      <c r="M57" s="18">
        <f t="shared" si="1"/>
        <v>0</v>
      </c>
    </row>
    <row r="58">
      <c r="A58" s="41">
        <v>54.0</v>
      </c>
      <c r="B58" s="46" t="s">
        <v>1221</v>
      </c>
      <c r="C58" s="46">
        <v>43375.0</v>
      </c>
      <c r="D58" s="46" t="s">
        <v>328</v>
      </c>
      <c r="E58" s="27"/>
      <c r="F58" s="28"/>
      <c r="G58" s="29"/>
      <c r="H58" s="30">
        <v>25000.0</v>
      </c>
      <c r="I58" s="31"/>
      <c r="J58" s="32"/>
      <c r="K58" s="33"/>
      <c r="L58" s="47">
        <v>25000.0</v>
      </c>
      <c r="M58" s="18">
        <f t="shared" si="1"/>
        <v>0</v>
      </c>
    </row>
    <row r="59">
      <c r="A59" s="41">
        <v>55.0</v>
      </c>
      <c r="B59" s="46" t="s">
        <v>1222</v>
      </c>
      <c r="C59" s="46">
        <v>41079.0</v>
      </c>
      <c r="D59" s="46" t="s">
        <v>634</v>
      </c>
      <c r="E59" s="27"/>
      <c r="F59" s="28"/>
      <c r="G59" s="29"/>
      <c r="H59" s="30">
        <v>2500.0</v>
      </c>
      <c r="I59" s="31"/>
      <c r="J59" s="32"/>
      <c r="K59" s="33"/>
      <c r="L59" s="47">
        <v>2500.0</v>
      </c>
      <c r="M59" s="18">
        <f t="shared" si="1"/>
        <v>0</v>
      </c>
    </row>
    <row r="60">
      <c r="A60" s="41">
        <v>56.0</v>
      </c>
      <c r="B60" s="46" t="s">
        <v>1223</v>
      </c>
      <c r="C60" s="46">
        <v>42097.0</v>
      </c>
      <c r="D60" s="46" t="s">
        <v>1224</v>
      </c>
      <c r="E60" s="38"/>
      <c r="F60" s="37"/>
      <c r="G60" s="29"/>
      <c r="H60" s="30">
        <v>2250.0</v>
      </c>
      <c r="I60" s="31"/>
      <c r="J60" s="32"/>
      <c r="K60" s="33"/>
      <c r="L60" s="47">
        <v>2250.0</v>
      </c>
      <c r="M60" s="18">
        <f t="shared" si="1"/>
        <v>0</v>
      </c>
    </row>
    <row r="61">
      <c r="A61" s="41">
        <v>57.0</v>
      </c>
      <c r="B61" s="46" t="s">
        <v>1225</v>
      </c>
      <c r="C61" s="46">
        <v>48631.0</v>
      </c>
      <c r="D61" s="46" t="s">
        <v>118</v>
      </c>
      <c r="E61" s="27"/>
      <c r="F61" s="28"/>
      <c r="G61" s="29"/>
      <c r="H61" s="30">
        <v>350.0</v>
      </c>
      <c r="I61" s="31"/>
      <c r="J61" s="35"/>
      <c r="K61" s="33"/>
      <c r="L61" s="47">
        <v>350.0</v>
      </c>
      <c r="M61" s="18">
        <f t="shared" si="1"/>
        <v>0</v>
      </c>
    </row>
    <row r="62">
      <c r="A62" s="41">
        <v>58.0</v>
      </c>
      <c r="B62" s="46" t="s">
        <v>1226</v>
      </c>
      <c r="C62" s="46">
        <v>44813.0</v>
      </c>
      <c r="D62" s="46" t="s">
        <v>1227</v>
      </c>
      <c r="E62" s="27"/>
      <c r="F62" s="28"/>
      <c r="G62" s="29"/>
      <c r="H62" s="30">
        <v>7040.0</v>
      </c>
      <c r="I62" s="31"/>
      <c r="J62" s="32"/>
      <c r="K62" s="33"/>
      <c r="L62" s="47">
        <v>7040.0</v>
      </c>
      <c r="M62" s="18">
        <f t="shared" si="1"/>
        <v>0</v>
      </c>
    </row>
    <row r="63">
      <c r="A63" s="41">
        <v>59.0</v>
      </c>
      <c r="B63" s="46" t="s">
        <v>1228</v>
      </c>
      <c r="C63" s="46">
        <v>50148.0</v>
      </c>
      <c r="D63" s="46" t="s">
        <v>244</v>
      </c>
      <c r="E63" s="38"/>
      <c r="F63" s="37"/>
      <c r="G63" s="29"/>
      <c r="H63" s="30">
        <v>466.0</v>
      </c>
      <c r="I63" s="31"/>
      <c r="J63" s="32"/>
      <c r="K63" s="33"/>
      <c r="L63" s="47">
        <v>466.0</v>
      </c>
      <c r="M63" s="18">
        <f t="shared" si="1"/>
        <v>0</v>
      </c>
    </row>
    <row r="64">
      <c r="A64" s="41">
        <v>60.0</v>
      </c>
      <c r="B64" s="46" t="s">
        <v>1229</v>
      </c>
      <c r="C64" s="46">
        <v>50221.0</v>
      </c>
      <c r="D64" s="46" t="s">
        <v>252</v>
      </c>
      <c r="E64" s="27"/>
      <c r="F64" s="28"/>
      <c r="G64" s="29"/>
      <c r="H64" s="30">
        <v>430.0</v>
      </c>
      <c r="I64" s="31"/>
      <c r="J64" s="32"/>
      <c r="K64" s="33"/>
      <c r="L64" s="47">
        <v>430.0</v>
      </c>
      <c r="M64" s="18">
        <f t="shared" si="1"/>
        <v>0</v>
      </c>
    </row>
    <row r="65">
      <c r="A65" s="41">
        <v>61.0</v>
      </c>
      <c r="B65" s="46" t="s">
        <v>1230</v>
      </c>
      <c r="C65" s="46">
        <v>39501.0</v>
      </c>
      <c r="D65" s="46" t="s">
        <v>272</v>
      </c>
      <c r="E65" s="27"/>
      <c r="F65" s="28"/>
      <c r="G65" s="29"/>
      <c r="H65" s="30">
        <v>3600.0</v>
      </c>
      <c r="I65" s="36"/>
      <c r="J65" s="32"/>
      <c r="K65" s="33"/>
      <c r="L65" s="47">
        <v>3600.0</v>
      </c>
      <c r="M65" s="18">
        <f t="shared" si="1"/>
        <v>0</v>
      </c>
    </row>
    <row r="66">
      <c r="A66" s="41">
        <v>62.0</v>
      </c>
      <c r="B66" s="46" t="s">
        <v>1231</v>
      </c>
      <c r="C66" s="46">
        <v>10908.0</v>
      </c>
      <c r="D66" s="46" t="s">
        <v>1232</v>
      </c>
      <c r="E66" s="27"/>
      <c r="F66" s="28"/>
      <c r="G66" s="29"/>
      <c r="H66" s="30"/>
      <c r="I66" s="31">
        <v>3600.0</v>
      </c>
      <c r="J66" s="32"/>
      <c r="K66" s="33"/>
      <c r="L66" s="47">
        <v>3600.0</v>
      </c>
      <c r="M66" s="18">
        <f t="shared" si="1"/>
        <v>0</v>
      </c>
    </row>
    <row r="67">
      <c r="A67" s="41">
        <v>63.0</v>
      </c>
      <c r="B67" s="46" t="s">
        <v>1233</v>
      </c>
      <c r="C67" s="46">
        <v>54440.0</v>
      </c>
      <c r="D67" s="46" t="s">
        <v>1234</v>
      </c>
      <c r="E67" s="27"/>
      <c r="F67" s="37"/>
      <c r="G67" s="29"/>
      <c r="H67" s="30"/>
      <c r="I67" s="31">
        <v>3600.0</v>
      </c>
      <c r="J67" s="32"/>
      <c r="K67" s="33"/>
      <c r="L67" s="47">
        <v>3600.0</v>
      </c>
      <c r="M67" s="18">
        <f t="shared" si="1"/>
        <v>0</v>
      </c>
    </row>
    <row r="68">
      <c r="A68" s="41">
        <v>64.0</v>
      </c>
      <c r="B68" s="46" t="s">
        <v>1235</v>
      </c>
      <c r="C68" s="46">
        <v>10270.0</v>
      </c>
      <c r="D68" s="46" t="s">
        <v>1236</v>
      </c>
      <c r="E68" s="27"/>
      <c r="F68" s="28"/>
      <c r="G68" s="29"/>
      <c r="H68" s="30"/>
      <c r="I68" s="31">
        <v>3600.0</v>
      </c>
      <c r="J68" s="35"/>
      <c r="K68" s="33"/>
      <c r="L68" s="47">
        <v>3600.0</v>
      </c>
      <c r="M68" s="18">
        <f t="shared" si="1"/>
        <v>0</v>
      </c>
    </row>
    <row r="69">
      <c r="A69" s="41">
        <v>65.0</v>
      </c>
      <c r="B69" s="46" t="s">
        <v>1237</v>
      </c>
      <c r="C69" s="46">
        <v>57526.0</v>
      </c>
      <c r="D69" s="46" t="s">
        <v>1238</v>
      </c>
      <c r="E69" s="27"/>
      <c r="F69" s="28"/>
      <c r="G69" s="29"/>
      <c r="H69" s="30">
        <v>2650.0</v>
      </c>
      <c r="I69" s="31"/>
      <c r="J69" s="32"/>
      <c r="K69" s="33"/>
      <c r="L69" s="47">
        <v>2650.0</v>
      </c>
      <c r="M69" s="18">
        <f t="shared" si="1"/>
        <v>0</v>
      </c>
    </row>
    <row r="70">
      <c r="A70" s="41">
        <v>66.0</v>
      </c>
      <c r="B70" s="46" t="s">
        <v>1239</v>
      </c>
      <c r="C70" s="46">
        <v>57559.0</v>
      </c>
      <c r="D70" s="46" t="s">
        <v>1240</v>
      </c>
      <c r="E70" s="38"/>
      <c r="F70" s="28"/>
      <c r="G70" s="29"/>
      <c r="H70" s="30">
        <v>27000.0</v>
      </c>
      <c r="I70" s="31"/>
      <c r="J70" s="32"/>
      <c r="K70" s="33"/>
      <c r="L70" s="47">
        <v>27000.0</v>
      </c>
      <c r="M70" s="18">
        <f t="shared" si="1"/>
        <v>0</v>
      </c>
    </row>
    <row r="71">
      <c r="A71" s="41">
        <v>67.0</v>
      </c>
      <c r="B71" s="46" t="s">
        <v>1241</v>
      </c>
      <c r="C71" s="46">
        <v>50821.0</v>
      </c>
      <c r="D71" s="46" t="s">
        <v>465</v>
      </c>
      <c r="E71" s="38"/>
      <c r="F71" s="37"/>
      <c r="G71" s="29"/>
      <c r="H71" s="30">
        <v>2500.0</v>
      </c>
      <c r="I71" s="31"/>
      <c r="J71" s="32"/>
      <c r="K71" s="33"/>
      <c r="L71" s="47">
        <v>2500.0</v>
      </c>
      <c r="M71" s="18">
        <f t="shared" si="1"/>
        <v>0</v>
      </c>
    </row>
    <row r="72">
      <c r="A72" s="41">
        <v>68.0</v>
      </c>
      <c r="B72" s="46" t="s">
        <v>1242</v>
      </c>
      <c r="C72" s="46">
        <v>30908.0</v>
      </c>
      <c r="D72" s="46" t="s">
        <v>190</v>
      </c>
      <c r="E72" s="38">
        <v>5600.0</v>
      </c>
      <c r="F72" s="28"/>
      <c r="G72" s="29"/>
      <c r="H72" s="30"/>
      <c r="I72" s="31"/>
      <c r="J72" s="32"/>
      <c r="K72" s="33"/>
      <c r="L72" s="47">
        <v>5600.0</v>
      </c>
      <c r="M72" s="18">
        <f t="shared" si="1"/>
        <v>0</v>
      </c>
    </row>
    <row r="73">
      <c r="A73" s="41">
        <v>69.0</v>
      </c>
      <c r="B73" s="46" t="s">
        <v>1243</v>
      </c>
      <c r="C73" s="46">
        <v>10001.0</v>
      </c>
      <c r="D73" s="46" t="s">
        <v>218</v>
      </c>
      <c r="E73" s="38">
        <v>100.0</v>
      </c>
      <c r="F73" s="28"/>
      <c r="G73" s="29"/>
      <c r="H73" s="30"/>
      <c r="I73" s="31"/>
      <c r="J73" s="32"/>
      <c r="K73" s="33"/>
      <c r="L73" s="47">
        <v>100.0</v>
      </c>
      <c r="M73" s="18">
        <f t="shared" si="1"/>
        <v>0</v>
      </c>
    </row>
    <row r="74">
      <c r="A74" s="41">
        <v>70.0</v>
      </c>
      <c r="B74" s="46" t="s">
        <v>1244</v>
      </c>
      <c r="C74" s="46">
        <v>39286.0</v>
      </c>
      <c r="D74" s="46" t="s">
        <v>1245</v>
      </c>
      <c r="E74" s="27"/>
      <c r="F74" s="28"/>
      <c r="G74" s="29"/>
      <c r="H74" s="30"/>
      <c r="I74" s="31">
        <v>34500.0</v>
      </c>
      <c r="J74" s="32"/>
      <c r="K74" s="33"/>
      <c r="L74" s="47">
        <v>34500.0</v>
      </c>
      <c r="M74" s="18">
        <f t="shared" si="1"/>
        <v>0</v>
      </c>
    </row>
    <row r="75">
      <c r="A75" s="41">
        <v>71.0</v>
      </c>
      <c r="B75" s="46" t="s">
        <v>1246</v>
      </c>
      <c r="C75" s="46">
        <v>45937.0</v>
      </c>
      <c r="D75" s="46" t="s">
        <v>337</v>
      </c>
      <c r="E75" s="27"/>
      <c r="F75" s="28"/>
      <c r="G75" s="29"/>
      <c r="H75" s="30">
        <v>5000.0</v>
      </c>
      <c r="I75" s="31"/>
      <c r="J75" s="32"/>
      <c r="K75" s="33"/>
      <c r="L75" s="47">
        <v>5000.0</v>
      </c>
      <c r="M75" s="18">
        <f t="shared" si="1"/>
        <v>0</v>
      </c>
    </row>
    <row r="76">
      <c r="A76" s="41">
        <v>72.0</v>
      </c>
      <c r="B76" s="46" t="s">
        <v>1247</v>
      </c>
      <c r="C76" s="46">
        <v>43887.0</v>
      </c>
      <c r="D76" s="46" t="s">
        <v>856</v>
      </c>
      <c r="E76" s="27"/>
      <c r="F76" s="28"/>
      <c r="G76" s="29"/>
      <c r="H76" s="30"/>
      <c r="I76" s="31">
        <v>2700.0</v>
      </c>
      <c r="J76" s="32"/>
      <c r="K76" s="33"/>
      <c r="L76" s="47">
        <v>2700.0</v>
      </c>
      <c r="M76" s="18">
        <f t="shared" si="1"/>
        <v>0</v>
      </c>
    </row>
    <row r="77">
      <c r="A77" s="41">
        <v>73.0</v>
      </c>
      <c r="B77" s="46" t="s">
        <v>1248</v>
      </c>
      <c r="C77" s="46">
        <v>48072.0</v>
      </c>
      <c r="D77" s="46" t="s">
        <v>554</v>
      </c>
      <c r="E77" s="27"/>
      <c r="F77" s="28"/>
      <c r="G77" s="29"/>
      <c r="H77" s="30">
        <v>8750.0</v>
      </c>
      <c r="I77" s="31"/>
      <c r="J77" s="32"/>
      <c r="K77" s="33"/>
      <c r="L77" s="47">
        <v>8750.0</v>
      </c>
      <c r="M77" s="18">
        <f t="shared" si="1"/>
        <v>0</v>
      </c>
    </row>
    <row r="78">
      <c r="A78" s="41">
        <v>74.0</v>
      </c>
      <c r="B78" s="46" t="s">
        <v>1249</v>
      </c>
      <c r="C78" s="46">
        <v>22332.0</v>
      </c>
      <c r="D78" s="46" t="s">
        <v>138</v>
      </c>
      <c r="E78" s="27"/>
      <c r="F78" s="28"/>
      <c r="G78" s="39"/>
      <c r="H78" s="30">
        <v>2500.0</v>
      </c>
      <c r="I78" s="31"/>
      <c r="J78" s="32"/>
      <c r="K78" s="33"/>
      <c r="L78" s="47">
        <v>2500.0</v>
      </c>
      <c r="M78" s="18">
        <f t="shared" si="1"/>
        <v>0</v>
      </c>
    </row>
    <row r="79">
      <c r="A79" s="41">
        <v>75.0</v>
      </c>
      <c r="B79" s="46" t="s">
        <v>1250</v>
      </c>
      <c r="C79" s="46">
        <v>36879.0</v>
      </c>
      <c r="D79" s="46" t="s">
        <v>504</v>
      </c>
      <c r="E79" s="27"/>
      <c r="F79" s="28"/>
      <c r="G79" s="29"/>
      <c r="H79" s="30"/>
      <c r="I79" s="31">
        <v>2500.0</v>
      </c>
      <c r="J79" s="32"/>
      <c r="K79" s="33"/>
      <c r="L79" s="47">
        <v>2500.0</v>
      </c>
      <c r="M79" s="18">
        <f t="shared" si="1"/>
        <v>0</v>
      </c>
    </row>
    <row r="80">
      <c r="A80" s="41">
        <v>76.0</v>
      </c>
      <c r="B80" s="46" t="s">
        <v>1251</v>
      </c>
      <c r="C80" s="46">
        <v>57567.0</v>
      </c>
      <c r="D80" s="46" t="s">
        <v>1252</v>
      </c>
      <c r="E80" s="27"/>
      <c r="F80" s="37">
        <v>58500.0</v>
      </c>
      <c r="G80" s="29"/>
      <c r="H80" s="30"/>
      <c r="I80" s="31"/>
      <c r="J80" s="32"/>
      <c r="K80" s="33"/>
      <c r="L80" s="47">
        <v>58500.0</v>
      </c>
      <c r="M80" s="18">
        <f t="shared" si="1"/>
        <v>0</v>
      </c>
    </row>
    <row r="81">
      <c r="A81" s="41">
        <v>77.0</v>
      </c>
      <c r="B81" s="46" t="s">
        <v>1253</v>
      </c>
      <c r="C81" s="46">
        <v>36555.0</v>
      </c>
      <c r="D81" s="46" t="s">
        <v>172</v>
      </c>
      <c r="E81" s="27"/>
      <c r="F81" s="37">
        <v>10000.0</v>
      </c>
      <c r="G81" s="29"/>
      <c r="H81" s="30"/>
      <c r="I81" s="31"/>
      <c r="J81" s="32"/>
      <c r="K81" s="33"/>
      <c r="L81" s="47">
        <v>10000.0</v>
      </c>
      <c r="M81" s="18">
        <f t="shared" si="1"/>
        <v>0</v>
      </c>
    </row>
    <row r="82">
      <c r="A82" s="41">
        <v>78.0</v>
      </c>
      <c r="B82" s="46" t="s">
        <v>1254</v>
      </c>
      <c r="C82" s="46">
        <v>33994.0</v>
      </c>
      <c r="D82" s="46" t="s">
        <v>1255</v>
      </c>
      <c r="E82" s="27"/>
      <c r="F82" s="37">
        <v>3600.0</v>
      </c>
      <c r="G82" s="29"/>
      <c r="H82" s="30"/>
      <c r="I82" s="31"/>
      <c r="J82" s="32"/>
      <c r="K82" s="33"/>
      <c r="L82" s="47">
        <v>3600.0</v>
      </c>
      <c r="M82" s="18">
        <f t="shared" si="1"/>
        <v>0</v>
      </c>
    </row>
    <row r="83">
      <c r="A83" s="41">
        <v>79.0</v>
      </c>
      <c r="B83" s="46" t="s">
        <v>1256</v>
      </c>
      <c r="C83" s="46">
        <v>57568.0</v>
      </c>
      <c r="D83" s="46" t="s">
        <v>1257</v>
      </c>
      <c r="E83" s="27"/>
      <c r="F83" s="37">
        <v>27000.0</v>
      </c>
      <c r="G83" s="29"/>
      <c r="H83" s="30"/>
      <c r="I83" s="31"/>
      <c r="J83" s="32"/>
      <c r="K83" s="33"/>
      <c r="L83" s="47">
        <v>27000.0</v>
      </c>
      <c r="M83" s="18">
        <f t="shared" si="1"/>
        <v>0</v>
      </c>
    </row>
    <row r="84">
      <c r="A84" s="41">
        <v>80.0</v>
      </c>
      <c r="B84" s="46" t="s">
        <v>1258</v>
      </c>
      <c r="C84" s="46">
        <v>57568.0</v>
      </c>
      <c r="D84" s="46" t="s">
        <v>1257</v>
      </c>
      <c r="E84" s="27"/>
      <c r="F84" s="37">
        <v>3600.0</v>
      </c>
      <c r="G84" s="29"/>
      <c r="H84" s="30"/>
      <c r="I84" s="31"/>
      <c r="J84" s="32"/>
      <c r="K84" s="33"/>
      <c r="L84" s="47">
        <v>3600.0</v>
      </c>
      <c r="M84" s="18">
        <f t="shared" si="1"/>
        <v>0</v>
      </c>
    </row>
    <row r="85">
      <c r="A85" s="41">
        <v>81.0</v>
      </c>
      <c r="B85" s="46" t="s">
        <v>1259</v>
      </c>
      <c r="C85" s="46">
        <v>57568.0</v>
      </c>
      <c r="D85" s="46" t="s">
        <v>1257</v>
      </c>
      <c r="E85" s="27"/>
      <c r="F85" s="37">
        <v>1200.0</v>
      </c>
      <c r="G85" s="29"/>
      <c r="H85" s="30"/>
      <c r="I85" s="31"/>
      <c r="J85" s="35"/>
      <c r="K85" s="33"/>
      <c r="L85" s="47">
        <v>1200.0</v>
      </c>
      <c r="M85" s="18">
        <f t="shared" si="1"/>
        <v>0</v>
      </c>
    </row>
    <row r="86">
      <c r="A86" s="41">
        <v>82.0</v>
      </c>
      <c r="B86" s="46" t="s">
        <v>1260</v>
      </c>
      <c r="C86" s="46">
        <v>56745.0</v>
      </c>
      <c r="D86" s="46" t="s">
        <v>589</v>
      </c>
      <c r="E86" s="27"/>
      <c r="F86" s="28"/>
      <c r="G86" s="29"/>
      <c r="H86" s="30">
        <v>2650.0</v>
      </c>
      <c r="I86" s="31"/>
      <c r="J86" s="32"/>
      <c r="K86" s="33"/>
      <c r="L86" s="47">
        <v>2650.0</v>
      </c>
      <c r="M86" s="18">
        <f t="shared" si="1"/>
        <v>0</v>
      </c>
    </row>
    <row r="87">
      <c r="A87" s="41">
        <v>83.0</v>
      </c>
      <c r="B87" s="46" t="s">
        <v>1261</v>
      </c>
      <c r="C87" s="46">
        <v>49918.0</v>
      </c>
      <c r="D87" s="46" t="s">
        <v>114</v>
      </c>
      <c r="E87" s="27"/>
      <c r="F87" s="28"/>
      <c r="G87" s="39">
        <v>1750.0</v>
      </c>
      <c r="H87" s="30"/>
      <c r="I87" s="31"/>
      <c r="J87" s="32"/>
      <c r="K87" s="33"/>
      <c r="L87" s="47">
        <v>1750.0</v>
      </c>
      <c r="M87" s="18">
        <f t="shared" si="1"/>
        <v>0</v>
      </c>
    </row>
    <row r="88">
      <c r="A88" s="41">
        <v>84.0</v>
      </c>
      <c r="B88" s="46" t="s">
        <v>1262</v>
      </c>
      <c r="C88" s="46">
        <v>49953.0</v>
      </c>
      <c r="D88" s="46" t="s">
        <v>242</v>
      </c>
      <c r="E88" s="27"/>
      <c r="F88" s="28"/>
      <c r="G88" s="39">
        <v>4250.0</v>
      </c>
      <c r="H88" s="30"/>
      <c r="I88" s="31"/>
      <c r="J88" s="32"/>
      <c r="K88" s="33"/>
      <c r="L88" s="47">
        <v>4250.0</v>
      </c>
      <c r="M88" s="18">
        <f t="shared" si="1"/>
        <v>0</v>
      </c>
    </row>
    <row r="89">
      <c r="A89" s="41">
        <v>85.0</v>
      </c>
      <c r="B89" s="46" t="s">
        <v>1263</v>
      </c>
      <c r="C89" s="46">
        <v>49953.0</v>
      </c>
      <c r="D89" s="46" t="s">
        <v>242</v>
      </c>
      <c r="E89" s="27"/>
      <c r="F89" s="28"/>
      <c r="G89" s="39">
        <v>2500.0</v>
      </c>
      <c r="H89" s="30"/>
      <c r="I89" s="31"/>
      <c r="J89" s="32"/>
      <c r="K89" s="33"/>
      <c r="L89" s="47">
        <v>2500.0</v>
      </c>
      <c r="M89" s="18">
        <f t="shared" si="1"/>
        <v>0</v>
      </c>
    </row>
    <row r="90">
      <c r="A90" s="41">
        <v>86.0</v>
      </c>
      <c r="B90" s="46" t="s">
        <v>1264</v>
      </c>
      <c r="C90" s="46">
        <v>50221.0</v>
      </c>
      <c r="D90" s="46" t="s">
        <v>252</v>
      </c>
      <c r="E90" s="27"/>
      <c r="F90" s="28"/>
      <c r="G90" s="39">
        <v>2650.0</v>
      </c>
      <c r="H90" s="30"/>
      <c r="I90" s="31"/>
      <c r="J90" s="32"/>
      <c r="K90" s="33"/>
      <c r="L90" s="47">
        <v>2650.0</v>
      </c>
      <c r="M90" s="18">
        <f t="shared" si="1"/>
        <v>0</v>
      </c>
    </row>
    <row r="91">
      <c r="A91" s="41">
        <v>87.0</v>
      </c>
      <c r="B91" s="46" t="s">
        <v>1265</v>
      </c>
      <c r="C91" s="46">
        <v>10001.0</v>
      </c>
      <c r="D91" s="46" t="s">
        <v>218</v>
      </c>
      <c r="E91" s="27"/>
      <c r="F91" s="28"/>
      <c r="G91" s="39">
        <v>8900.0</v>
      </c>
      <c r="H91" s="30"/>
      <c r="I91" s="31"/>
      <c r="J91" s="32"/>
      <c r="K91" s="33"/>
      <c r="L91" s="47">
        <v>8900.0</v>
      </c>
      <c r="M91" s="18">
        <f t="shared" si="1"/>
        <v>0</v>
      </c>
    </row>
    <row r="92">
      <c r="A92" s="41"/>
      <c r="B92" s="45"/>
      <c r="C92" s="45"/>
      <c r="D92" s="44"/>
      <c r="E92" s="22">
        <f t="shared" ref="E92:J92" si="2">SUM(E5:E91)</f>
        <v>5700</v>
      </c>
      <c r="F92" s="22">
        <f t="shared" si="2"/>
        <v>118950</v>
      </c>
      <c r="G92" s="22">
        <f t="shared" si="2"/>
        <v>20050</v>
      </c>
      <c r="H92" s="22">
        <f t="shared" si="2"/>
        <v>442128</v>
      </c>
      <c r="I92" s="22">
        <f t="shared" si="2"/>
        <v>231208</v>
      </c>
      <c r="J92" s="22">
        <f t="shared" si="2"/>
        <v>0</v>
      </c>
      <c r="K92" s="22">
        <f>SUM(K23:K91)</f>
        <v>0</v>
      </c>
      <c r="L92" s="22">
        <f t="shared" ref="L92:M92" si="3">SUM(L5:L91)</f>
        <v>838036</v>
      </c>
      <c r="M92" s="18">
        <f t="shared" si="3"/>
        <v>-20000</v>
      </c>
    </row>
    <row r="93">
      <c r="A93" s="23"/>
      <c r="B93" s="23"/>
      <c r="C93" s="23"/>
      <c r="D93" s="23"/>
      <c r="E93" s="24">
        <f>SUM(K92:M92)</f>
        <v>818036</v>
      </c>
      <c r="F93" s="6"/>
      <c r="G93" s="6"/>
      <c r="H93" s="6"/>
      <c r="I93" s="6"/>
      <c r="J93" s="6"/>
      <c r="K93" s="7"/>
      <c r="L93" s="25"/>
      <c r="M93" s="23"/>
    </row>
    <row r="94">
      <c r="L94" s="40" t="s">
        <v>254</v>
      </c>
    </row>
  </sheetData>
  <mergeCells count="14">
    <mergeCell ref="F3:G3"/>
    <mergeCell ref="H3:I3"/>
    <mergeCell ref="J3:J4"/>
    <mergeCell ref="K3:K4"/>
    <mergeCell ref="E93:K93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5"/>
    <col customWidth="1" min="2" max="2" width="24.75"/>
    <col customWidth="1" min="4" max="4" width="43.25"/>
    <col customWidth="1" min="5" max="5" width="9.5"/>
  </cols>
  <sheetData>
    <row r="1">
      <c r="A1" s="1" t="s">
        <v>1266</v>
      </c>
    </row>
    <row r="2">
      <c r="A2" s="2" t="s">
        <v>1</v>
      </c>
      <c r="B2" s="3" t="s">
        <v>2</v>
      </c>
      <c r="C2" s="2" t="s">
        <v>3</v>
      </c>
      <c r="D2" s="4" t="s">
        <v>4</v>
      </c>
      <c r="E2" s="5" t="s">
        <v>5</v>
      </c>
      <c r="F2" s="6"/>
      <c r="G2" s="6"/>
      <c r="H2" s="6"/>
      <c r="I2" s="6"/>
      <c r="J2" s="6"/>
      <c r="K2" s="6"/>
      <c r="L2" s="6"/>
      <c r="M2" s="7"/>
    </row>
    <row r="3">
      <c r="A3" s="8"/>
      <c r="B3" s="8"/>
      <c r="C3" s="8"/>
      <c r="D3" s="8"/>
      <c r="E3" s="2" t="s">
        <v>6</v>
      </c>
      <c r="F3" s="5" t="s">
        <v>7</v>
      </c>
      <c r="G3" s="7"/>
      <c r="H3" s="5" t="s">
        <v>8</v>
      </c>
      <c r="I3" s="7"/>
      <c r="J3" s="2" t="s">
        <v>9</v>
      </c>
      <c r="K3" s="4" t="s">
        <v>10</v>
      </c>
      <c r="L3" s="2" t="s">
        <v>11</v>
      </c>
      <c r="M3" s="2" t="s">
        <v>12</v>
      </c>
    </row>
    <row r="4">
      <c r="A4" s="9"/>
      <c r="B4" s="9"/>
      <c r="C4" s="9"/>
      <c r="D4" s="9"/>
      <c r="E4" s="9"/>
      <c r="F4" s="10" t="s">
        <v>13</v>
      </c>
      <c r="G4" s="10" t="s">
        <v>14</v>
      </c>
      <c r="H4" s="10" t="s">
        <v>15</v>
      </c>
      <c r="I4" s="11" t="s">
        <v>16</v>
      </c>
      <c r="J4" s="9"/>
      <c r="K4" s="9"/>
      <c r="L4" s="9"/>
      <c r="M4" s="9"/>
    </row>
    <row r="5">
      <c r="A5" s="41">
        <v>1.0</v>
      </c>
      <c r="B5" s="26" t="s">
        <v>1267</v>
      </c>
      <c r="C5" s="26">
        <v>50873.0</v>
      </c>
      <c r="D5" s="26" t="s">
        <v>1268</v>
      </c>
      <c r="E5" s="27"/>
      <c r="F5" s="28"/>
      <c r="G5" s="29"/>
      <c r="H5" s="30"/>
      <c r="I5" s="31"/>
      <c r="J5" s="32"/>
      <c r="K5" s="50">
        <v>5000.0</v>
      </c>
      <c r="L5" s="17">
        <v>5000.0</v>
      </c>
      <c r="M5" s="18">
        <f t="shared" ref="M5:M71" si="1">SUM(E5+F5+G5+H5+I5+J5+K5-L5)</f>
        <v>0</v>
      </c>
    </row>
    <row r="6">
      <c r="A6" s="41">
        <v>2.0</v>
      </c>
      <c r="B6" s="26" t="s">
        <v>1269</v>
      </c>
      <c r="C6" s="26">
        <v>36555.0</v>
      </c>
      <c r="D6" s="26" t="s">
        <v>172</v>
      </c>
      <c r="E6" s="27"/>
      <c r="F6" s="37">
        <v>8000.0</v>
      </c>
      <c r="G6" s="29"/>
      <c r="H6" s="34"/>
      <c r="I6" s="31"/>
      <c r="J6" s="35"/>
      <c r="K6" s="33"/>
      <c r="L6" s="17">
        <v>8000.0</v>
      </c>
      <c r="M6" s="18">
        <f t="shared" si="1"/>
        <v>0</v>
      </c>
    </row>
    <row r="7">
      <c r="A7" s="41">
        <v>3.0</v>
      </c>
      <c r="B7" s="26" t="s">
        <v>1270</v>
      </c>
      <c r="C7" s="26">
        <v>48053.0</v>
      </c>
      <c r="D7" s="26" t="s">
        <v>409</v>
      </c>
      <c r="E7" s="27"/>
      <c r="F7" s="28"/>
      <c r="G7" s="29"/>
      <c r="H7" s="30">
        <v>350.0</v>
      </c>
      <c r="I7" s="31"/>
      <c r="J7" s="32"/>
      <c r="K7" s="33"/>
      <c r="L7" s="17">
        <v>350.0</v>
      </c>
      <c r="M7" s="18">
        <f t="shared" si="1"/>
        <v>0</v>
      </c>
    </row>
    <row r="8">
      <c r="A8" s="41">
        <v>4.0</v>
      </c>
      <c r="B8" s="26" t="s">
        <v>1271</v>
      </c>
      <c r="C8" s="26">
        <v>52647.0</v>
      </c>
      <c r="D8" s="26" t="s">
        <v>322</v>
      </c>
      <c r="E8" s="27"/>
      <c r="F8" s="28"/>
      <c r="G8" s="29"/>
      <c r="H8" s="30">
        <v>15000.0</v>
      </c>
      <c r="I8" s="31"/>
      <c r="J8" s="32"/>
      <c r="K8" s="33"/>
      <c r="L8" s="17">
        <v>15000.0</v>
      </c>
      <c r="M8" s="18">
        <f t="shared" si="1"/>
        <v>0</v>
      </c>
    </row>
    <row r="9">
      <c r="A9" s="41">
        <v>5.0</v>
      </c>
      <c r="B9" s="26" t="s">
        <v>1272</v>
      </c>
      <c r="C9" s="26">
        <v>44149.0</v>
      </c>
      <c r="D9" s="26" t="s">
        <v>32</v>
      </c>
      <c r="E9" s="27"/>
      <c r="F9" s="28"/>
      <c r="G9" s="29"/>
      <c r="H9" s="30">
        <v>2650.0</v>
      </c>
      <c r="I9" s="31"/>
      <c r="J9" s="32"/>
      <c r="K9" s="33"/>
      <c r="L9" s="17">
        <v>2650.0</v>
      </c>
      <c r="M9" s="18">
        <f t="shared" si="1"/>
        <v>0</v>
      </c>
    </row>
    <row r="10">
      <c r="A10" s="41">
        <v>6.0</v>
      </c>
      <c r="B10" s="26" t="s">
        <v>1273</v>
      </c>
      <c r="C10" s="26">
        <v>19688.0</v>
      </c>
      <c r="D10" s="26" t="s">
        <v>679</v>
      </c>
      <c r="E10" s="27"/>
      <c r="F10" s="28"/>
      <c r="G10" s="29"/>
      <c r="H10" s="30">
        <v>25000.0</v>
      </c>
      <c r="I10" s="31"/>
      <c r="J10" s="32"/>
      <c r="K10" s="33"/>
      <c r="L10" s="17">
        <v>25000.0</v>
      </c>
      <c r="M10" s="18">
        <f t="shared" si="1"/>
        <v>0</v>
      </c>
    </row>
    <row r="11">
      <c r="A11" s="41">
        <v>7.0</v>
      </c>
      <c r="B11" s="26" t="s">
        <v>1274</v>
      </c>
      <c r="C11" s="26">
        <v>50871.0</v>
      </c>
      <c r="D11" s="26" t="s">
        <v>105</v>
      </c>
      <c r="E11" s="27"/>
      <c r="F11" s="28"/>
      <c r="G11" s="29"/>
      <c r="H11" s="30">
        <v>101400.0</v>
      </c>
      <c r="I11" s="31"/>
      <c r="J11" s="35"/>
      <c r="K11" s="33"/>
      <c r="L11" s="17">
        <v>101400.0</v>
      </c>
      <c r="M11" s="18">
        <f t="shared" si="1"/>
        <v>0</v>
      </c>
    </row>
    <row r="12">
      <c r="A12" s="41">
        <v>8.0</v>
      </c>
      <c r="B12" s="26" t="s">
        <v>1275</v>
      </c>
      <c r="C12" s="26">
        <v>57230.0</v>
      </c>
      <c r="D12" s="26" t="s">
        <v>1276</v>
      </c>
      <c r="E12" s="27"/>
      <c r="F12" s="28"/>
      <c r="G12" s="29"/>
      <c r="H12" s="30"/>
      <c r="I12" s="31">
        <v>10000.0</v>
      </c>
      <c r="J12" s="32"/>
      <c r="K12" s="33"/>
      <c r="L12" s="17">
        <v>10000.0</v>
      </c>
      <c r="M12" s="18">
        <f t="shared" si="1"/>
        <v>0</v>
      </c>
    </row>
    <row r="13">
      <c r="A13" s="41">
        <v>9.0</v>
      </c>
      <c r="B13" s="26" t="s">
        <v>1277</v>
      </c>
      <c r="C13" s="26">
        <v>51406.0</v>
      </c>
      <c r="D13" s="26" t="s">
        <v>18</v>
      </c>
      <c r="E13" s="27"/>
      <c r="F13" s="28"/>
      <c r="G13" s="29"/>
      <c r="H13" s="30"/>
      <c r="I13" s="31">
        <v>13500.0</v>
      </c>
      <c r="J13" s="32"/>
      <c r="K13" s="33"/>
      <c r="L13" s="17">
        <v>13500.0</v>
      </c>
      <c r="M13" s="18">
        <f t="shared" si="1"/>
        <v>0</v>
      </c>
    </row>
    <row r="14">
      <c r="A14" s="41">
        <v>10.0</v>
      </c>
      <c r="B14" s="26" t="s">
        <v>1278</v>
      </c>
      <c r="C14" s="26">
        <v>50400.0</v>
      </c>
      <c r="D14" s="26" t="s">
        <v>1279</v>
      </c>
      <c r="E14" s="27"/>
      <c r="F14" s="28"/>
      <c r="G14" s="29"/>
      <c r="H14" s="30"/>
      <c r="I14" s="31">
        <v>1550.0</v>
      </c>
      <c r="J14" s="32"/>
      <c r="K14" s="33"/>
      <c r="L14" s="17">
        <v>1550.0</v>
      </c>
      <c r="M14" s="18">
        <f t="shared" si="1"/>
        <v>0</v>
      </c>
    </row>
    <row r="15">
      <c r="A15" s="41">
        <v>11.0</v>
      </c>
      <c r="B15" s="26" t="s">
        <v>1280</v>
      </c>
      <c r="C15" s="26">
        <v>57558.0</v>
      </c>
      <c r="D15" s="26" t="s">
        <v>1281</v>
      </c>
      <c r="E15" s="27"/>
      <c r="F15" s="28"/>
      <c r="G15" s="29"/>
      <c r="H15" s="30"/>
      <c r="I15" s="31">
        <v>1280.0</v>
      </c>
      <c r="J15" s="32"/>
      <c r="K15" s="33"/>
      <c r="L15" s="17">
        <v>1280.0</v>
      </c>
      <c r="M15" s="18">
        <f t="shared" si="1"/>
        <v>0</v>
      </c>
    </row>
    <row r="16">
      <c r="A16" s="41">
        <v>12.0</v>
      </c>
      <c r="B16" s="26" t="s">
        <v>1282</v>
      </c>
      <c r="C16" s="26">
        <v>52556.0</v>
      </c>
      <c r="D16" s="26" t="s">
        <v>1283</v>
      </c>
      <c r="E16" s="27"/>
      <c r="F16" s="28"/>
      <c r="G16" s="29"/>
      <c r="H16" s="30">
        <v>430.0</v>
      </c>
      <c r="I16" s="31"/>
      <c r="J16" s="35"/>
      <c r="K16" s="33"/>
      <c r="L16" s="17">
        <v>430.0</v>
      </c>
      <c r="M16" s="18">
        <f t="shared" si="1"/>
        <v>0</v>
      </c>
    </row>
    <row r="17">
      <c r="A17" s="41">
        <v>13.0</v>
      </c>
      <c r="B17" s="26" t="s">
        <v>1284</v>
      </c>
      <c r="C17" s="26">
        <v>39317.0</v>
      </c>
      <c r="D17" s="26" t="s">
        <v>84</v>
      </c>
      <c r="E17" s="27"/>
      <c r="F17" s="28"/>
      <c r="G17" s="29"/>
      <c r="H17" s="30"/>
      <c r="I17" s="31">
        <v>15000.0</v>
      </c>
      <c r="J17" s="35"/>
      <c r="K17" s="33"/>
      <c r="L17" s="17">
        <v>15000.0</v>
      </c>
      <c r="M17" s="18">
        <f t="shared" si="1"/>
        <v>0</v>
      </c>
    </row>
    <row r="18">
      <c r="A18" s="41">
        <v>14.0</v>
      </c>
      <c r="B18" s="26" t="s">
        <v>1285</v>
      </c>
      <c r="C18" s="26">
        <v>39317.0</v>
      </c>
      <c r="D18" s="26" t="s">
        <v>84</v>
      </c>
      <c r="E18" s="27"/>
      <c r="F18" s="37"/>
      <c r="G18" s="29"/>
      <c r="H18" s="30"/>
      <c r="I18" s="31">
        <v>3600.0</v>
      </c>
      <c r="J18" s="32"/>
      <c r="K18" s="33"/>
      <c r="L18" s="17">
        <v>3600.0</v>
      </c>
      <c r="M18" s="18">
        <f t="shared" si="1"/>
        <v>0</v>
      </c>
    </row>
    <row r="19">
      <c r="A19" s="41">
        <v>15.0</v>
      </c>
      <c r="B19" s="26" t="s">
        <v>1286</v>
      </c>
      <c r="C19" s="26">
        <v>48523.0</v>
      </c>
      <c r="D19" s="26" t="s">
        <v>1287</v>
      </c>
      <c r="E19" s="27"/>
      <c r="F19" s="28"/>
      <c r="G19" s="29"/>
      <c r="H19" s="30"/>
      <c r="I19" s="31">
        <v>3600.0</v>
      </c>
      <c r="J19" s="32"/>
      <c r="K19" s="33"/>
      <c r="L19" s="17">
        <v>3600.0</v>
      </c>
      <c r="M19" s="18">
        <f t="shared" si="1"/>
        <v>0</v>
      </c>
    </row>
    <row r="20">
      <c r="A20" s="41">
        <v>16.0</v>
      </c>
      <c r="B20" s="26" t="s">
        <v>1288</v>
      </c>
      <c r="C20" s="26">
        <v>28414.0</v>
      </c>
      <c r="D20" s="26" t="s">
        <v>833</v>
      </c>
      <c r="E20" s="27"/>
      <c r="F20" s="28"/>
      <c r="G20" s="29"/>
      <c r="H20" s="30">
        <v>2650.0</v>
      </c>
      <c r="I20" s="31"/>
      <c r="J20" s="32"/>
      <c r="K20" s="33"/>
      <c r="L20" s="17">
        <v>2650.0</v>
      </c>
      <c r="M20" s="18">
        <f t="shared" si="1"/>
        <v>0</v>
      </c>
    </row>
    <row r="21">
      <c r="A21" s="41">
        <v>17.0</v>
      </c>
      <c r="B21" s="26" t="s">
        <v>1289</v>
      </c>
      <c r="C21" s="26">
        <v>39588.0</v>
      </c>
      <c r="D21" s="26" t="s">
        <v>274</v>
      </c>
      <c r="E21" s="27"/>
      <c r="F21" s="28"/>
      <c r="G21" s="29"/>
      <c r="H21" s="30">
        <v>4500.0</v>
      </c>
      <c r="I21" s="31"/>
      <c r="J21" s="32"/>
      <c r="K21" s="33"/>
      <c r="L21" s="17">
        <v>4500.0</v>
      </c>
      <c r="M21" s="18">
        <f t="shared" si="1"/>
        <v>0</v>
      </c>
    </row>
    <row r="22">
      <c r="A22" s="41">
        <v>18.0</v>
      </c>
      <c r="B22" s="26" t="s">
        <v>1290</v>
      </c>
      <c r="C22" s="26">
        <v>53485.0</v>
      </c>
      <c r="D22" s="26" t="s">
        <v>1291</v>
      </c>
      <c r="E22" s="27"/>
      <c r="F22" s="37"/>
      <c r="G22" s="29"/>
      <c r="H22" s="30">
        <v>5000.0</v>
      </c>
      <c r="I22" s="31"/>
      <c r="J22" s="32"/>
      <c r="K22" s="33"/>
      <c r="L22" s="17">
        <v>5000.0</v>
      </c>
      <c r="M22" s="18">
        <f t="shared" si="1"/>
        <v>0</v>
      </c>
    </row>
    <row r="23">
      <c r="A23" s="41">
        <v>19.0</v>
      </c>
      <c r="B23" s="26" t="s">
        <v>1292</v>
      </c>
      <c r="C23" s="26">
        <v>53487.0</v>
      </c>
      <c r="D23" s="26" t="s">
        <v>1293</v>
      </c>
      <c r="E23" s="27"/>
      <c r="F23" s="28"/>
      <c r="G23" s="29"/>
      <c r="H23" s="30">
        <v>5000.0</v>
      </c>
      <c r="I23" s="31"/>
      <c r="J23" s="32"/>
      <c r="K23" s="33"/>
      <c r="L23" s="17">
        <v>5000.0</v>
      </c>
      <c r="M23" s="18">
        <f t="shared" si="1"/>
        <v>0</v>
      </c>
    </row>
    <row r="24">
      <c r="A24" s="41">
        <v>20.0</v>
      </c>
      <c r="B24" s="26" t="s">
        <v>1294</v>
      </c>
      <c r="C24" s="26">
        <v>52396.0</v>
      </c>
      <c r="D24" s="26" t="s">
        <v>905</v>
      </c>
      <c r="E24" s="27"/>
      <c r="F24" s="28"/>
      <c r="G24" s="29"/>
      <c r="H24" s="30"/>
      <c r="I24" s="31">
        <v>10000.0</v>
      </c>
      <c r="J24" s="32"/>
      <c r="K24" s="33"/>
      <c r="L24" s="17">
        <v>10000.0</v>
      </c>
      <c r="M24" s="18">
        <f t="shared" si="1"/>
        <v>0</v>
      </c>
    </row>
    <row r="25">
      <c r="A25" s="41">
        <v>21.0</v>
      </c>
      <c r="B25" s="26" t="s">
        <v>1295</v>
      </c>
      <c r="C25" s="26">
        <v>33065.0</v>
      </c>
      <c r="D25" s="26" t="s">
        <v>36</v>
      </c>
      <c r="E25" s="27"/>
      <c r="F25" s="37"/>
      <c r="G25" s="29"/>
      <c r="H25" s="30">
        <v>2650.0</v>
      </c>
      <c r="I25" s="36"/>
      <c r="J25" s="32"/>
      <c r="K25" s="33"/>
      <c r="L25" s="17">
        <v>2650.0</v>
      </c>
      <c r="M25" s="18">
        <f t="shared" si="1"/>
        <v>0</v>
      </c>
    </row>
    <row r="26">
      <c r="A26" s="41">
        <v>22.0</v>
      </c>
      <c r="B26" s="26" t="s">
        <v>1296</v>
      </c>
      <c r="C26" s="26">
        <v>33065.0</v>
      </c>
      <c r="D26" s="26" t="s">
        <v>36</v>
      </c>
      <c r="E26" s="38"/>
      <c r="F26" s="28"/>
      <c r="G26" s="29"/>
      <c r="H26" s="30">
        <v>2650.0</v>
      </c>
      <c r="I26" s="36"/>
      <c r="J26" s="32"/>
      <c r="K26" s="33"/>
      <c r="L26" s="17">
        <v>2650.0</v>
      </c>
      <c r="M26" s="18">
        <f t="shared" si="1"/>
        <v>0</v>
      </c>
    </row>
    <row r="27">
      <c r="A27" s="41">
        <v>23.0</v>
      </c>
      <c r="B27" s="26" t="s">
        <v>1297</v>
      </c>
      <c r="C27" s="26">
        <v>10320.0</v>
      </c>
      <c r="D27" s="26" t="s">
        <v>447</v>
      </c>
      <c r="E27" s="27"/>
      <c r="F27" s="37"/>
      <c r="G27" s="29"/>
      <c r="H27" s="30">
        <v>4600.0</v>
      </c>
      <c r="I27" s="31"/>
      <c r="J27" s="35"/>
      <c r="K27" s="33"/>
      <c r="L27" s="17">
        <v>4600.0</v>
      </c>
      <c r="M27" s="18">
        <f t="shared" si="1"/>
        <v>0</v>
      </c>
    </row>
    <row r="28">
      <c r="A28" s="41">
        <v>24.0</v>
      </c>
      <c r="B28" s="26" t="s">
        <v>1298</v>
      </c>
      <c r="C28" s="26">
        <v>51406.0</v>
      </c>
      <c r="D28" s="26" t="s">
        <v>18</v>
      </c>
      <c r="E28" s="27"/>
      <c r="F28" s="28"/>
      <c r="G28" s="29"/>
      <c r="H28" s="30"/>
      <c r="I28" s="31">
        <v>12200.0</v>
      </c>
      <c r="J28" s="32"/>
      <c r="K28" s="33"/>
      <c r="L28" s="17">
        <v>12200.0</v>
      </c>
      <c r="M28" s="18">
        <f t="shared" si="1"/>
        <v>0</v>
      </c>
    </row>
    <row r="29">
      <c r="A29" s="41">
        <v>25.0</v>
      </c>
      <c r="B29" s="26" t="s">
        <v>1299</v>
      </c>
      <c r="C29" s="26">
        <v>26831.0</v>
      </c>
      <c r="D29" s="26" t="s">
        <v>315</v>
      </c>
      <c r="E29" s="27"/>
      <c r="F29" s="28"/>
      <c r="G29" s="29"/>
      <c r="H29" s="30"/>
      <c r="I29" s="31">
        <v>20000.0</v>
      </c>
      <c r="J29" s="32"/>
      <c r="K29" s="33"/>
      <c r="L29" s="17">
        <v>20000.0</v>
      </c>
      <c r="M29" s="18">
        <f t="shared" si="1"/>
        <v>0</v>
      </c>
    </row>
    <row r="30">
      <c r="A30" s="41">
        <v>26.0</v>
      </c>
      <c r="B30" s="26" t="s">
        <v>1300</v>
      </c>
      <c r="C30" s="26">
        <v>41982.0</v>
      </c>
      <c r="D30" s="26" t="s">
        <v>59</v>
      </c>
      <c r="E30" s="27"/>
      <c r="F30" s="28"/>
      <c r="G30" s="29"/>
      <c r="H30" s="30"/>
      <c r="I30" s="31">
        <v>1450.0</v>
      </c>
      <c r="J30" s="35">
        <v>1500.0</v>
      </c>
      <c r="K30" s="33"/>
      <c r="L30" s="17">
        <v>2950.0</v>
      </c>
      <c r="M30" s="18">
        <f t="shared" si="1"/>
        <v>0</v>
      </c>
    </row>
    <row r="31">
      <c r="A31" s="41">
        <v>27.0</v>
      </c>
      <c r="B31" s="26" t="s">
        <v>1301</v>
      </c>
      <c r="C31" s="26">
        <v>43375.0</v>
      </c>
      <c r="D31" s="26" t="s">
        <v>328</v>
      </c>
      <c r="E31" s="27"/>
      <c r="F31" s="28"/>
      <c r="G31" s="29"/>
      <c r="H31" s="30">
        <v>30300.0</v>
      </c>
      <c r="I31" s="31"/>
      <c r="J31" s="32"/>
      <c r="K31" s="33"/>
      <c r="L31" s="17">
        <v>30300.0</v>
      </c>
      <c r="M31" s="18">
        <f t="shared" si="1"/>
        <v>0</v>
      </c>
    </row>
    <row r="32">
      <c r="A32" s="41">
        <v>28.0</v>
      </c>
      <c r="B32" s="26" t="s">
        <v>1302</v>
      </c>
      <c r="C32" s="26">
        <v>22332.0</v>
      </c>
      <c r="D32" s="26" t="s">
        <v>138</v>
      </c>
      <c r="E32" s="27"/>
      <c r="F32" s="28"/>
      <c r="G32" s="29"/>
      <c r="H32" s="30">
        <v>1500.0</v>
      </c>
      <c r="I32" s="31"/>
      <c r="J32" s="32"/>
      <c r="K32" s="33"/>
      <c r="L32" s="17">
        <v>1500.0</v>
      </c>
      <c r="M32" s="18">
        <f t="shared" si="1"/>
        <v>0</v>
      </c>
    </row>
    <row r="33">
      <c r="A33" s="41">
        <v>29.0</v>
      </c>
      <c r="B33" s="26" t="s">
        <v>1303</v>
      </c>
      <c r="C33" s="26">
        <v>52184.0</v>
      </c>
      <c r="D33" s="26" t="s">
        <v>1304</v>
      </c>
      <c r="E33" s="27"/>
      <c r="F33" s="37"/>
      <c r="G33" s="39"/>
      <c r="H33" s="30"/>
      <c r="I33" s="31">
        <v>3600.0</v>
      </c>
      <c r="J33" s="32"/>
      <c r="K33" s="33"/>
      <c r="L33" s="17">
        <v>3600.0</v>
      </c>
      <c r="M33" s="18">
        <f t="shared" si="1"/>
        <v>0</v>
      </c>
    </row>
    <row r="34">
      <c r="A34" s="41">
        <v>30.0</v>
      </c>
      <c r="B34" s="26" t="s">
        <v>1305</v>
      </c>
      <c r="C34" s="26">
        <v>42071.0</v>
      </c>
      <c r="D34" s="26" t="s">
        <v>30</v>
      </c>
      <c r="E34" s="27"/>
      <c r="F34" s="37"/>
      <c r="G34" s="39">
        <v>0.0</v>
      </c>
      <c r="H34" s="30"/>
      <c r="I34" s="31"/>
      <c r="J34" s="32"/>
      <c r="K34" s="33"/>
      <c r="L34" s="17">
        <v>15000.0</v>
      </c>
      <c r="M34" s="18">
        <f t="shared" si="1"/>
        <v>-15000</v>
      </c>
    </row>
    <row r="35">
      <c r="A35" s="41">
        <v>31.0</v>
      </c>
      <c r="B35" s="26" t="s">
        <v>1306</v>
      </c>
      <c r="C35" s="26">
        <v>47787.0</v>
      </c>
      <c r="D35" s="26" t="s">
        <v>506</v>
      </c>
      <c r="E35" s="27"/>
      <c r="F35" s="28"/>
      <c r="G35" s="29"/>
      <c r="H35" s="30">
        <v>1250.0</v>
      </c>
      <c r="I35" s="31"/>
      <c r="J35" s="32"/>
      <c r="K35" s="33"/>
      <c r="L35" s="17">
        <v>1250.0</v>
      </c>
      <c r="M35" s="18">
        <f t="shared" si="1"/>
        <v>0</v>
      </c>
    </row>
    <row r="36">
      <c r="A36" s="41">
        <v>32.0</v>
      </c>
      <c r="B36" s="26" t="s">
        <v>1307</v>
      </c>
      <c r="C36" s="26">
        <v>42071.0</v>
      </c>
      <c r="D36" s="26" t="s">
        <v>30</v>
      </c>
      <c r="E36" s="27"/>
      <c r="F36" s="28"/>
      <c r="G36" s="29"/>
      <c r="H36" s="30"/>
      <c r="I36" s="31">
        <v>2730.0</v>
      </c>
      <c r="J36" s="32"/>
      <c r="K36" s="33"/>
      <c r="L36" s="17">
        <v>2730.0</v>
      </c>
      <c r="M36" s="18">
        <f t="shared" si="1"/>
        <v>0</v>
      </c>
    </row>
    <row r="37">
      <c r="A37" s="41">
        <v>33.0</v>
      </c>
      <c r="B37" s="26" t="s">
        <v>1308</v>
      </c>
      <c r="C37" s="26">
        <v>50222.0</v>
      </c>
      <c r="D37" s="26" t="s">
        <v>47</v>
      </c>
      <c r="E37" s="27"/>
      <c r="F37" s="28"/>
      <c r="G37" s="29"/>
      <c r="H37" s="30">
        <v>1445.0</v>
      </c>
      <c r="I37" s="31"/>
      <c r="J37" s="32"/>
      <c r="K37" s="33"/>
      <c r="L37" s="17">
        <v>1445.0</v>
      </c>
      <c r="M37" s="18">
        <f t="shared" si="1"/>
        <v>0</v>
      </c>
    </row>
    <row r="38">
      <c r="A38" s="41">
        <v>34.0</v>
      </c>
      <c r="B38" s="26" t="s">
        <v>1309</v>
      </c>
      <c r="C38" s="26">
        <v>54099.0</v>
      </c>
      <c r="D38" s="26" t="s">
        <v>556</v>
      </c>
      <c r="E38" s="27"/>
      <c r="F38" s="28"/>
      <c r="G38" s="29"/>
      <c r="H38" s="30">
        <v>15000.0</v>
      </c>
      <c r="I38" s="31"/>
      <c r="J38" s="35"/>
      <c r="K38" s="33"/>
      <c r="L38" s="17">
        <v>15000.0</v>
      </c>
      <c r="M38" s="18">
        <f t="shared" si="1"/>
        <v>0</v>
      </c>
    </row>
    <row r="39">
      <c r="A39" s="41">
        <v>35.0</v>
      </c>
      <c r="B39" s="26" t="s">
        <v>1310</v>
      </c>
      <c r="C39" s="26">
        <v>10001.0</v>
      </c>
      <c r="D39" s="26" t="s">
        <v>218</v>
      </c>
      <c r="E39" s="27"/>
      <c r="F39" s="28"/>
      <c r="G39" s="29"/>
      <c r="H39" s="30">
        <v>2650.0</v>
      </c>
      <c r="I39" s="31"/>
      <c r="J39" s="32"/>
      <c r="K39" s="33"/>
      <c r="L39" s="17">
        <v>2650.0</v>
      </c>
      <c r="M39" s="18">
        <f t="shared" si="1"/>
        <v>0</v>
      </c>
    </row>
    <row r="40">
      <c r="A40" s="41">
        <v>36.0</v>
      </c>
      <c r="B40" s="26" t="s">
        <v>1311</v>
      </c>
      <c r="C40" s="26">
        <v>22332.0</v>
      </c>
      <c r="D40" s="26" t="s">
        <v>138</v>
      </c>
      <c r="E40" s="27"/>
      <c r="F40" s="28"/>
      <c r="G40" s="29"/>
      <c r="H40" s="30">
        <v>2850.0</v>
      </c>
      <c r="I40" s="31"/>
      <c r="J40" s="35"/>
      <c r="K40" s="33"/>
      <c r="L40" s="17">
        <v>2850.0</v>
      </c>
      <c r="M40" s="18">
        <f t="shared" si="1"/>
        <v>0</v>
      </c>
    </row>
    <row r="41">
      <c r="A41" s="41">
        <v>37.0</v>
      </c>
      <c r="B41" s="26" t="s">
        <v>1312</v>
      </c>
      <c r="C41" s="26">
        <v>52032.0</v>
      </c>
      <c r="D41" s="26" t="s">
        <v>233</v>
      </c>
      <c r="E41" s="27"/>
      <c r="F41" s="28"/>
      <c r="G41" s="29"/>
      <c r="H41" s="30">
        <v>10000.0</v>
      </c>
      <c r="I41" s="31"/>
      <c r="J41" s="35"/>
      <c r="K41" s="33"/>
      <c r="L41" s="17">
        <v>10000.0</v>
      </c>
      <c r="M41" s="18">
        <f t="shared" si="1"/>
        <v>0</v>
      </c>
    </row>
    <row r="42">
      <c r="A42" s="41">
        <v>38.0</v>
      </c>
      <c r="B42" s="26" t="s">
        <v>1313</v>
      </c>
      <c r="C42" s="26">
        <v>52576.0</v>
      </c>
      <c r="D42" s="26" t="s">
        <v>394</v>
      </c>
      <c r="E42" s="27"/>
      <c r="F42" s="28"/>
      <c r="G42" s="29"/>
      <c r="H42" s="30">
        <v>5000.0</v>
      </c>
      <c r="I42" s="31"/>
      <c r="J42" s="32"/>
      <c r="K42" s="33"/>
      <c r="L42" s="17">
        <v>5000.0</v>
      </c>
      <c r="M42" s="18">
        <f t="shared" si="1"/>
        <v>0</v>
      </c>
    </row>
    <row r="43">
      <c r="A43" s="41">
        <v>39.0</v>
      </c>
      <c r="B43" s="26" t="s">
        <v>1314</v>
      </c>
      <c r="C43" s="26">
        <v>49270.0</v>
      </c>
      <c r="D43" s="26" t="s">
        <v>1315</v>
      </c>
      <c r="E43" s="27"/>
      <c r="F43" s="28"/>
      <c r="G43" s="29"/>
      <c r="H43" s="30"/>
      <c r="I43" s="31">
        <v>1950.0</v>
      </c>
      <c r="J43" s="32"/>
      <c r="K43" s="33"/>
      <c r="L43" s="17">
        <v>1950.0</v>
      </c>
      <c r="M43" s="18">
        <f t="shared" si="1"/>
        <v>0</v>
      </c>
    </row>
    <row r="44">
      <c r="A44" s="41">
        <v>40.0</v>
      </c>
      <c r="B44" s="26" t="s">
        <v>1316</v>
      </c>
      <c r="C44" s="26">
        <v>52576.0</v>
      </c>
      <c r="D44" s="26" t="s">
        <v>394</v>
      </c>
      <c r="E44" s="27"/>
      <c r="F44" s="28"/>
      <c r="G44" s="29"/>
      <c r="H44" s="30">
        <v>3600.0</v>
      </c>
      <c r="I44" s="31"/>
      <c r="J44" s="32"/>
      <c r="K44" s="33"/>
      <c r="L44" s="17">
        <v>3600.0</v>
      </c>
      <c r="M44" s="18">
        <f t="shared" si="1"/>
        <v>0</v>
      </c>
    </row>
    <row r="45">
      <c r="A45" s="41">
        <v>41.0</v>
      </c>
      <c r="B45" s="26" t="s">
        <v>1317</v>
      </c>
      <c r="C45" s="26">
        <v>15380.0</v>
      </c>
      <c r="D45" s="26" t="s">
        <v>1318</v>
      </c>
      <c r="E45" s="38"/>
      <c r="F45" s="37"/>
      <c r="G45" s="29"/>
      <c r="H45" s="30"/>
      <c r="I45" s="31">
        <v>3700.0</v>
      </c>
      <c r="J45" s="32"/>
      <c r="K45" s="33"/>
      <c r="L45" s="17">
        <v>3700.0</v>
      </c>
      <c r="M45" s="18">
        <f t="shared" si="1"/>
        <v>0</v>
      </c>
    </row>
    <row r="46">
      <c r="A46" s="41">
        <v>42.0</v>
      </c>
      <c r="B46" s="26" t="s">
        <v>1319</v>
      </c>
      <c r="C46" s="26">
        <v>53364.0</v>
      </c>
      <c r="D46" s="26" t="s">
        <v>1320</v>
      </c>
      <c r="E46" s="38"/>
      <c r="F46" s="37"/>
      <c r="G46" s="29"/>
      <c r="H46" s="30">
        <v>5150.0</v>
      </c>
      <c r="I46" s="31"/>
      <c r="J46" s="32"/>
      <c r="K46" s="33"/>
      <c r="L46" s="17">
        <v>5150.0</v>
      </c>
      <c r="M46" s="18">
        <f t="shared" si="1"/>
        <v>0</v>
      </c>
    </row>
    <row r="47">
      <c r="A47" s="41">
        <v>43.0</v>
      </c>
      <c r="B47" s="26" t="s">
        <v>1321</v>
      </c>
      <c r="C47" s="26">
        <v>10271.0</v>
      </c>
      <c r="D47" s="26" t="s">
        <v>474</v>
      </c>
      <c r="E47" s="27"/>
      <c r="F47" s="28"/>
      <c r="G47" s="39"/>
      <c r="H47" s="30"/>
      <c r="I47" s="31">
        <v>2100.0</v>
      </c>
      <c r="J47" s="32"/>
      <c r="K47" s="33"/>
      <c r="L47" s="17">
        <v>2100.0</v>
      </c>
      <c r="M47" s="18">
        <f t="shared" si="1"/>
        <v>0</v>
      </c>
    </row>
    <row r="48">
      <c r="A48" s="41">
        <v>44.0</v>
      </c>
      <c r="B48" s="26" t="s">
        <v>1322</v>
      </c>
      <c r="C48" s="26">
        <v>50557.0</v>
      </c>
      <c r="D48" s="26" t="s">
        <v>94</v>
      </c>
      <c r="E48" s="27"/>
      <c r="F48" s="28"/>
      <c r="G48" s="29"/>
      <c r="H48" s="30">
        <v>26250.0</v>
      </c>
      <c r="I48" s="31"/>
      <c r="J48" s="32"/>
      <c r="K48" s="33"/>
      <c r="L48" s="17">
        <v>26250.0</v>
      </c>
      <c r="M48" s="18">
        <f t="shared" si="1"/>
        <v>0</v>
      </c>
    </row>
    <row r="49">
      <c r="A49" s="41">
        <v>45.0</v>
      </c>
      <c r="B49" s="26" t="s">
        <v>1323</v>
      </c>
      <c r="C49" s="26">
        <v>53037.0</v>
      </c>
      <c r="D49" s="26" t="s">
        <v>1324</v>
      </c>
      <c r="E49" s="27"/>
      <c r="F49" s="28"/>
      <c r="G49" s="29"/>
      <c r="H49" s="30">
        <v>3750.0</v>
      </c>
      <c r="I49" s="31"/>
      <c r="J49" s="32"/>
      <c r="K49" s="33"/>
      <c r="L49" s="17">
        <v>3750.0</v>
      </c>
      <c r="M49" s="18">
        <f t="shared" si="1"/>
        <v>0</v>
      </c>
    </row>
    <row r="50">
      <c r="A50" s="41">
        <v>46.0</v>
      </c>
      <c r="B50" s="26" t="s">
        <v>1325</v>
      </c>
      <c r="C50" s="26">
        <v>50557.0</v>
      </c>
      <c r="D50" s="26" t="s">
        <v>94</v>
      </c>
      <c r="E50" s="27"/>
      <c r="F50" s="28"/>
      <c r="G50" s="29"/>
      <c r="H50" s="30">
        <v>10000.0</v>
      </c>
      <c r="I50" s="31"/>
      <c r="J50" s="32"/>
      <c r="K50" s="33"/>
      <c r="L50" s="17">
        <v>10000.0</v>
      </c>
      <c r="M50" s="18">
        <f t="shared" si="1"/>
        <v>0</v>
      </c>
    </row>
    <row r="51">
      <c r="A51" s="41">
        <v>47.0</v>
      </c>
      <c r="B51" s="26" t="s">
        <v>1326</v>
      </c>
      <c r="C51" s="26">
        <v>54501.0</v>
      </c>
      <c r="D51" s="26" t="s">
        <v>897</v>
      </c>
      <c r="E51" s="27"/>
      <c r="F51" s="28"/>
      <c r="G51" s="39"/>
      <c r="H51" s="30">
        <v>5350.0</v>
      </c>
      <c r="I51" s="31"/>
      <c r="J51" s="32"/>
      <c r="K51" s="33"/>
      <c r="L51" s="17">
        <v>5350.0</v>
      </c>
      <c r="M51" s="18">
        <f t="shared" si="1"/>
        <v>0</v>
      </c>
    </row>
    <row r="52">
      <c r="A52" s="41">
        <v>48.0</v>
      </c>
      <c r="B52" s="26" t="s">
        <v>1327</v>
      </c>
      <c r="C52" s="26">
        <v>10320.0</v>
      </c>
      <c r="D52" s="26" t="s">
        <v>447</v>
      </c>
      <c r="E52" s="27"/>
      <c r="F52" s="37"/>
      <c r="G52" s="29"/>
      <c r="H52" s="30">
        <v>5000.0</v>
      </c>
      <c r="I52" s="31"/>
      <c r="J52" s="32"/>
      <c r="K52" s="33"/>
      <c r="L52" s="17">
        <v>5000.0</v>
      </c>
      <c r="M52" s="18">
        <f t="shared" si="1"/>
        <v>0</v>
      </c>
    </row>
    <row r="53">
      <c r="A53" s="41">
        <v>49.0</v>
      </c>
      <c r="B53" s="26" t="s">
        <v>1328</v>
      </c>
      <c r="C53" s="26">
        <v>50072.0</v>
      </c>
      <c r="D53" s="26" t="s">
        <v>308</v>
      </c>
      <c r="E53" s="27"/>
      <c r="F53" s="28"/>
      <c r="G53" s="29"/>
      <c r="H53" s="30">
        <v>5000.0</v>
      </c>
      <c r="I53" s="31"/>
      <c r="J53" s="32"/>
      <c r="K53" s="33"/>
      <c r="L53" s="17">
        <v>5000.0</v>
      </c>
      <c r="M53" s="18">
        <f t="shared" si="1"/>
        <v>0</v>
      </c>
    </row>
    <row r="54">
      <c r="A54" s="41">
        <v>50.0</v>
      </c>
      <c r="B54" s="26" t="s">
        <v>1329</v>
      </c>
      <c r="C54" s="26">
        <v>50474.0</v>
      </c>
      <c r="D54" s="26" t="s">
        <v>179</v>
      </c>
      <c r="E54" s="27"/>
      <c r="F54" s="28"/>
      <c r="G54" s="29"/>
      <c r="H54" s="30">
        <v>30000.0</v>
      </c>
      <c r="I54" s="31"/>
      <c r="J54" s="32"/>
      <c r="K54" s="33"/>
      <c r="L54" s="17">
        <v>30000.0</v>
      </c>
      <c r="M54" s="18">
        <f t="shared" si="1"/>
        <v>0</v>
      </c>
    </row>
    <row r="55">
      <c r="A55" s="41">
        <v>51.0</v>
      </c>
      <c r="B55" s="26" t="s">
        <v>1330</v>
      </c>
      <c r="C55" s="26">
        <v>53511.0</v>
      </c>
      <c r="D55" s="26" t="s">
        <v>1331</v>
      </c>
      <c r="E55" s="27"/>
      <c r="F55" s="28"/>
      <c r="G55" s="29"/>
      <c r="H55" s="30">
        <v>5000.0</v>
      </c>
      <c r="I55" s="31"/>
      <c r="J55" s="32"/>
      <c r="K55" s="33"/>
      <c r="L55" s="17">
        <v>5000.0</v>
      </c>
      <c r="M55" s="18">
        <f t="shared" si="1"/>
        <v>0</v>
      </c>
    </row>
    <row r="56">
      <c r="A56" s="41">
        <v>52.0</v>
      </c>
      <c r="B56" s="26" t="s">
        <v>1332</v>
      </c>
      <c r="C56" s="26">
        <v>15709.0</v>
      </c>
      <c r="D56" s="26" t="s">
        <v>1333</v>
      </c>
      <c r="E56" s="27"/>
      <c r="F56" s="28"/>
      <c r="G56" s="29"/>
      <c r="H56" s="30">
        <v>5000.0</v>
      </c>
      <c r="I56" s="31"/>
      <c r="J56" s="32"/>
      <c r="K56" s="33"/>
      <c r="L56" s="17">
        <v>5000.0</v>
      </c>
      <c r="M56" s="18">
        <f t="shared" si="1"/>
        <v>0</v>
      </c>
    </row>
    <row r="57">
      <c r="A57" s="41">
        <v>53.0</v>
      </c>
      <c r="B57" s="26" t="s">
        <v>1334</v>
      </c>
      <c r="C57" s="26">
        <v>12102.0</v>
      </c>
      <c r="D57" s="26" t="s">
        <v>345</v>
      </c>
      <c r="E57" s="27"/>
      <c r="F57" s="28"/>
      <c r="G57" s="29"/>
      <c r="H57" s="30">
        <v>453.0</v>
      </c>
      <c r="I57" s="31"/>
      <c r="J57" s="32"/>
      <c r="K57" s="33"/>
      <c r="L57" s="17">
        <v>453.0</v>
      </c>
      <c r="M57" s="18">
        <f t="shared" si="1"/>
        <v>0</v>
      </c>
    </row>
    <row r="58">
      <c r="A58" s="41">
        <v>54.0</v>
      </c>
      <c r="B58" s="26" t="s">
        <v>1335</v>
      </c>
      <c r="C58" s="26">
        <v>48631.0</v>
      </c>
      <c r="D58" s="26" t="s">
        <v>118</v>
      </c>
      <c r="E58" s="27"/>
      <c r="F58" s="28"/>
      <c r="G58" s="29"/>
      <c r="H58" s="30">
        <v>6950.0</v>
      </c>
      <c r="I58" s="31"/>
      <c r="J58" s="32"/>
      <c r="K58" s="33"/>
      <c r="L58" s="17">
        <v>6950.0</v>
      </c>
      <c r="M58" s="18">
        <f t="shared" si="1"/>
        <v>0</v>
      </c>
    </row>
    <row r="59">
      <c r="A59" s="41">
        <v>55.0</v>
      </c>
      <c r="B59" s="26" t="s">
        <v>1336</v>
      </c>
      <c r="C59" s="26">
        <v>35245.0</v>
      </c>
      <c r="D59" s="26" t="s">
        <v>34</v>
      </c>
      <c r="E59" s="27"/>
      <c r="F59" s="28"/>
      <c r="G59" s="29"/>
      <c r="H59" s="30">
        <v>12500.0</v>
      </c>
      <c r="I59" s="31"/>
      <c r="J59" s="32"/>
      <c r="K59" s="33"/>
      <c r="L59" s="17">
        <v>12500.0</v>
      </c>
      <c r="M59" s="18">
        <f t="shared" si="1"/>
        <v>0</v>
      </c>
    </row>
    <row r="60">
      <c r="A60" s="41">
        <v>56.0</v>
      </c>
      <c r="B60" s="26" t="s">
        <v>1337</v>
      </c>
      <c r="C60" s="26">
        <v>35245.0</v>
      </c>
      <c r="D60" s="26" t="s">
        <v>34</v>
      </c>
      <c r="E60" s="38"/>
      <c r="F60" s="37"/>
      <c r="G60" s="29"/>
      <c r="H60" s="30">
        <v>2800.0</v>
      </c>
      <c r="I60" s="31"/>
      <c r="J60" s="32"/>
      <c r="K60" s="33"/>
      <c r="L60" s="17">
        <v>2800.0</v>
      </c>
      <c r="M60" s="18">
        <f t="shared" si="1"/>
        <v>0</v>
      </c>
    </row>
    <row r="61">
      <c r="A61" s="41">
        <v>57.0</v>
      </c>
      <c r="B61" s="26" t="s">
        <v>1338</v>
      </c>
      <c r="C61" s="26">
        <v>53064.0</v>
      </c>
      <c r="D61" s="26" t="s">
        <v>168</v>
      </c>
      <c r="E61" s="27"/>
      <c r="F61" s="28"/>
      <c r="G61" s="29"/>
      <c r="H61" s="30">
        <v>5150.0</v>
      </c>
      <c r="I61" s="31"/>
      <c r="J61" s="35"/>
      <c r="K61" s="33"/>
      <c r="L61" s="17">
        <v>5150.0</v>
      </c>
      <c r="M61" s="18">
        <f t="shared" si="1"/>
        <v>0</v>
      </c>
    </row>
    <row r="62">
      <c r="A62" s="41">
        <v>58.0</v>
      </c>
      <c r="B62" s="26" t="s">
        <v>1339</v>
      </c>
      <c r="C62" s="26">
        <v>53219.0</v>
      </c>
      <c r="D62" s="26" t="s">
        <v>1340</v>
      </c>
      <c r="E62" s="27"/>
      <c r="F62" s="28"/>
      <c r="G62" s="29"/>
      <c r="H62" s="30">
        <v>300.0</v>
      </c>
      <c r="I62" s="31"/>
      <c r="J62" s="32"/>
      <c r="K62" s="33"/>
      <c r="L62" s="17">
        <v>300.0</v>
      </c>
      <c r="M62" s="18">
        <f t="shared" si="1"/>
        <v>0</v>
      </c>
    </row>
    <row r="63">
      <c r="A63" s="41">
        <v>59.0</v>
      </c>
      <c r="B63" s="26" t="s">
        <v>1341</v>
      </c>
      <c r="C63" s="26">
        <v>54176.0</v>
      </c>
      <c r="D63" s="26" t="s">
        <v>1342</v>
      </c>
      <c r="E63" s="38"/>
      <c r="F63" s="37"/>
      <c r="G63" s="29"/>
      <c r="H63" s="30"/>
      <c r="I63" s="31">
        <v>5000.0</v>
      </c>
      <c r="J63" s="32"/>
      <c r="K63" s="33"/>
      <c r="L63" s="17">
        <v>5000.0</v>
      </c>
      <c r="M63" s="18">
        <f t="shared" si="1"/>
        <v>0</v>
      </c>
    </row>
    <row r="64">
      <c r="A64" s="41">
        <v>60.0</v>
      </c>
      <c r="B64" s="26" t="s">
        <v>1343</v>
      </c>
      <c r="C64" s="26">
        <v>13133.0</v>
      </c>
      <c r="D64" s="26" t="s">
        <v>490</v>
      </c>
      <c r="E64" s="27"/>
      <c r="F64" s="28"/>
      <c r="G64" s="29"/>
      <c r="H64" s="30"/>
      <c r="I64" s="31">
        <v>20000.0</v>
      </c>
      <c r="J64" s="32"/>
      <c r="K64" s="33"/>
      <c r="L64" s="17">
        <v>20000.0</v>
      </c>
      <c r="M64" s="18">
        <f t="shared" si="1"/>
        <v>0</v>
      </c>
    </row>
    <row r="65">
      <c r="A65" s="41">
        <v>61.0</v>
      </c>
      <c r="B65" s="26" t="s">
        <v>1344</v>
      </c>
      <c r="C65" s="26">
        <v>25650.0</v>
      </c>
      <c r="D65" s="26" t="s">
        <v>378</v>
      </c>
      <c r="E65" s="27"/>
      <c r="F65" s="28"/>
      <c r="G65" s="39">
        <v>8000.0</v>
      </c>
      <c r="H65" s="30"/>
      <c r="I65" s="36"/>
      <c r="J65" s="32"/>
      <c r="K65" s="33"/>
      <c r="L65" s="17">
        <v>8000.0</v>
      </c>
      <c r="M65" s="18">
        <f t="shared" si="1"/>
        <v>0</v>
      </c>
    </row>
    <row r="66">
      <c r="A66" s="41">
        <v>62.0</v>
      </c>
      <c r="B66" s="26" t="s">
        <v>1345</v>
      </c>
      <c r="C66" s="26">
        <v>51017.0</v>
      </c>
      <c r="D66" s="26" t="s">
        <v>659</v>
      </c>
      <c r="E66" s="27"/>
      <c r="F66" s="28"/>
      <c r="G66" s="39">
        <v>2100.0</v>
      </c>
      <c r="H66" s="30"/>
      <c r="I66" s="31"/>
      <c r="J66" s="32"/>
      <c r="K66" s="33"/>
      <c r="L66" s="17">
        <v>2100.0</v>
      </c>
      <c r="M66" s="18">
        <f t="shared" si="1"/>
        <v>0</v>
      </c>
    </row>
    <row r="67">
      <c r="A67" s="41">
        <v>63.0</v>
      </c>
      <c r="B67" s="26" t="s">
        <v>1346</v>
      </c>
      <c r="C67" s="26">
        <v>55179.0</v>
      </c>
      <c r="D67" s="26" t="s">
        <v>662</v>
      </c>
      <c r="E67" s="27"/>
      <c r="F67" s="37"/>
      <c r="G67" s="39">
        <v>15600.0</v>
      </c>
      <c r="H67" s="30"/>
      <c r="I67" s="31"/>
      <c r="J67" s="32"/>
      <c r="K67" s="33"/>
      <c r="L67" s="17">
        <v>15600.0</v>
      </c>
      <c r="M67" s="18">
        <f t="shared" si="1"/>
        <v>0</v>
      </c>
    </row>
    <row r="68">
      <c r="A68" s="41">
        <v>64.0</v>
      </c>
      <c r="B68" s="26" t="s">
        <v>1347</v>
      </c>
      <c r="C68" s="26">
        <v>43380.0</v>
      </c>
      <c r="D68" s="26" t="s">
        <v>61</v>
      </c>
      <c r="E68" s="27"/>
      <c r="F68" s="28"/>
      <c r="G68" s="39">
        <v>25000.0</v>
      </c>
      <c r="H68" s="30"/>
      <c r="I68" s="31"/>
      <c r="J68" s="35"/>
      <c r="K68" s="33"/>
      <c r="L68" s="17">
        <v>25000.0</v>
      </c>
      <c r="M68" s="18">
        <f t="shared" si="1"/>
        <v>0</v>
      </c>
    </row>
    <row r="69">
      <c r="A69" s="41">
        <v>65.0</v>
      </c>
      <c r="B69" s="26" t="s">
        <v>1348</v>
      </c>
      <c r="C69" s="26">
        <v>51346.0</v>
      </c>
      <c r="D69" s="26" t="s">
        <v>1349</v>
      </c>
      <c r="E69" s="27"/>
      <c r="F69" s="28"/>
      <c r="G69" s="39">
        <v>10000.0</v>
      </c>
      <c r="H69" s="30"/>
      <c r="I69" s="31"/>
      <c r="J69" s="32"/>
      <c r="K69" s="33"/>
      <c r="L69" s="17">
        <v>10000.0</v>
      </c>
      <c r="M69" s="18">
        <f t="shared" si="1"/>
        <v>0</v>
      </c>
    </row>
    <row r="70">
      <c r="A70" s="41">
        <v>66.0</v>
      </c>
      <c r="B70" s="26" t="s">
        <v>1350</v>
      </c>
      <c r="C70" s="26">
        <v>35245.0</v>
      </c>
      <c r="D70" s="26" t="s">
        <v>34</v>
      </c>
      <c r="E70" s="38"/>
      <c r="F70" s="28"/>
      <c r="G70" s="39">
        <v>15000.0</v>
      </c>
      <c r="H70" s="30"/>
      <c r="I70" s="31"/>
      <c r="J70" s="32"/>
      <c r="K70" s="33"/>
      <c r="L70" s="17">
        <v>15000.0</v>
      </c>
      <c r="M70" s="18">
        <f t="shared" si="1"/>
        <v>0</v>
      </c>
    </row>
    <row r="71">
      <c r="A71" s="41">
        <v>67.0</v>
      </c>
      <c r="B71" s="26" t="s">
        <v>1351</v>
      </c>
      <c r="C71" s="26">
        <v>25650.0</v>
      </c>
      <c r="D71" s="26" t="s">
        <v>378</v>
      </c>
      <c r="E71" s="38"/>
      <c r="F71" s="37"/>
      <c r="G71" s="39">
        <v>4500.0</v>
      </c>
      <c r="H71" s="30"/>
      <c r="I71" s="31"/>
      <c r="J71" s="32"/>
      <c r="K71" s="33"/>
      <c r="L71" s="17">
        <v>4500.0</v>
      </c>
      <c r="M71" s="18">
        <f t="shared" si="1"/>
        <v>0</v>
      </c>
    </row>
    <row r="72">
      <c r="A72" s="41"/>
      <c r="B72" s="45"/>
      <c r="C72" s="45"/>
      <c r="D72" s="44"/>
      <c r="E72" s="22">
        <f t="shared" ref="E72:J72" si="2">SUM(E5:E71)</f>
        <v>0</v>
      </c>
      <c r="F72" s="22">
        <f t="shared" si="2"/>
        <v>8000</v>
      </c>
      <c r="G72" s="22">
        <f t="shared" si="2"/>
        <v>80200</v>
      </c>
      <c r="H72" s="22">
        <f t="shared" si="2"/>
        <v>374128</v>
      </c>
      <c r="I72" s="22">
        <f t="shared" si="2"/>
        <v>131260</v>
      </c>
      <c r="J72" s="22">
        <f t="shared" si="2"/>
        <v>1500</v>
      </c>
      <c r="K72" s="22">
        <f>SUM(K23:K71)</f>
        <v>0</v>
      </c>
      <c r="L72" s="22">
        <f t="shared" ref="L72:M72" si="3">SUM(L5:L71)</f>
        <v>615088</v>
      </c>
      <c r="M72" s="18">
        <f t="shared" si="3"/>
        <v>-15000</v>
      </c>
    </row>
    <row r="73">
      <c r="A73" s="23"/>
      <c r="B73" s="23"/>
      <c r="C73" s="23"/>
      <c r="D73" s="23"/>
      <c r="E73" s="24">
        <f>SUM(K72:M72)</f>
        <v>600088</v>
      </c>
      <c r="F73" s="6"/>
      <c r="G73" s="6"/>
      <c r="H73" s="6"/>
      <c r="I73" s="6"/>
      <c r="J73" s="6"/>
      <c r="K73" s="7"/>
      <c r="L73" s="25"/>
      <c r="M73" s="23"/>
    </row>
    <row r="74">
      <c r="L74" s="40" t="s">
        <v>254</v>
      </c>
    </row>
  </sheetData>
  <mergeCells count="14">
    <mergeCell ref="F3:G3"/>
    <mergeCell ref="H3:I3"/>
    <mergeCell ref="J3:J4"/>
    <mergeCell ref="K3:K4"/>
    <mergeCell ref="E73:K73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5"/>
    <col customWidth="1" min="2" max="2" width="24.75"/>
    <col customWidth="1" min="4" max="4" width="43.25"/>
    <col customWidth="1" min="5" max="5" width="9.5"/>
  </cols>
  <sheetData>
    <row r="1">
      <c r="A1" s="1" t="s">
        <v>1352</v>
      </c>
    </row>
    <row r="2">
      <c r="A2" s="2" t="s">
        <v>1</v>
      </c>
      <c r="B2" s="3" t="s">
        <v>2</v>
      </c>
      <c r="C2" s="2" t="s">
        <v>3</v>
      </c>
      <c r="D2" s="4" t="s">
        <v>4</v>
      </c>
      <c r="E2" s="5" t="s">
        <v>5</v>
      </c>
      <c r="F2" s="6"/>
      <c r="G2" s="6"/>
      <c r="H2" s="6"/>
      <c r="I2" s="6"/>
      <c r="J2" s="6"/>
      <c r="K2" s="6"/>
      <c r="L2" s="6"/>
      <c r="M2" s="7"/>
    </row>
    <row r="3">
      <c r="A3" s="8"/>
      <c r="B3" s="8"/>
      <c r="C3" s="8"/>
      <c r="D3" s="8"/>
      <c r="E3" s="2" t="s">
        <v>6</v>
      </c>
      <c r="F3" s="5" t="s">
        <v>7</v>
      </c>
      <c r="G3" s="7"/>
      <c r="H3" s="5" t="s">
        <v>8</v>
      </c>
      <c r="I3" s="7"/>
      <c r="J3" s="2" t="s">
        <v>9</v>
      </c>
      <c r="K3" s="4" t="s">
        <v>10</v>
      </c>
      <c r="L3" s="2" t="s">
        <v>11</v>
      </c>
      <c r="M3" s="2" t="s">
        <v>12</v>
      </c>
    </row>
    <row r="4">
      <c r="A4" s="9"/>
      <c r="B4" s="9"/>
      <c r="C4" s="9"/>
      <c r="D4" s="9"/>
      <c r="E4" s="9"/>
      <c r="F4" s="10" t="s">
        <v>13</v>
      </c>
      <c r="G4" s="10" t="s">
        <v>14</v>
      </c>
      <c r="H4" s="10" t="s">
        <v>15</v>
      </c>
      <c r="I4" s="11" t="s">
        <v>16</v>
      </c>
      <c r="J4" s="9"/>
      <c r="K4" s="9"/>
      <c r="L4" s="9"/>
      <c r="M4" s="9"/>
    </row>
    <row r="5">
      <c r="A5" s="41">
        <v>1.0</v>
      </c>
      <c r="B5" s="46" t="s">
        <v>1353</v>
      </c>
      <c r="C5" s="46">
        <v>16294.0</v>
      </c>
      <c r="D5" s="46" t="s">
        <v>1354</v>
      </c>
      <c r="E5" s="27"/>
      <c r="F5" s="28"/>
      <c r="G5" s="29"/>
      <c r="H5" s="30">
        <v>3700.0</v>
      </c>
      <c r="I5" s="31"/>
      <c r="J5" s="32"/>
      <c r="K5" s="50"/>
      <c r="L5" s="47">
        <v>3700.0</v>
      </c>
      <c r="M5" s="18">
        <f t="shared" ref="M5:M59" si="1">SUM(E5+F5+G5+H5+I5+J5+K5-L5)</f>
        <v>0</v>
      </c>
    </row>
    <row r="6">
      <c r="A6" s="41">
        <v>2.0</v>
      </c>
      <c r="B6" s="46" t="s">
        <v>1355</v>
      </c>
      <c r="C6" s="46">
        <v>39588.0</v>
      </c>
      <c r="D6" s="46" t="s">
        <v>274</v>
      </c>
      <c r="E6" s="27"/>
      <c r="F6" s="37"/>
      <c r="G6" s="29"/>
      <c r="H6" s="30">
        <v>4500.0</v>
      </c>
      <c r="I6" s="31"/>
      <c r="J6" s="35"/>
      <c r="K6" s="33"/>
      <c r="L6" s="47">
        <v>4500.0</v>
      </c>
      <c r="M6" s="18">
        <f t="shared" si="1"/>
        <v>0</v>
      </c>
    </row>
    <row r="7">
      <c r="A7" s="41">
        <v>3.0</v>
      </c>
      <c r="B7" s="46" t="s">
        <v>1356</v>
      </c>
      <c r="C7" s="46">
        <v>50119.0</v>
      </c>
      <c r="D7" s="46" t="s">
        <v>1036</v>
      </c>
      <c r="E7" s="27"/>
      <c r="F7" s="28"/>
      <c r="G7" s="29"/>
      <c r="H7" s="30"/>
      <c r="I7" s="31">
        <v>1427.0</v>
      </c>
      <c r="J7" s="32"/>
      <c r="K7" s="33"/>
      <c r="L7" s="47">
        <v>1427.0</v>
      </c>
      <c r="M7" s="18">
        <f t="shared" si="1"/>
        <v>0</v>
      </c>
    </row>
    <row r="8">
      <c r="A8" s="41">
        <v>4.0</v>
      </c>
      <c r="B8" s="46" t="s">
        <v>1357</v>
      </c>
      <c r="C8" s="46">
        <v>50596.0</v>
      </c>
      <c r="D8" s="46" t="s">
        <v>493</v>
      </c>
      <c r="E8" s="27"/>
      <c r="F8" s="28"/>
      <c r="G8" s="29"/>
      <c r="H8" s="30">
        <v>50000.0</v>
      </c>
      <c r="I8" s="31"/>
      <c r="J8" s="32"/>
      <c r="K8" s="33"/>
      <c r="L8" s="47">
        <v>50000.0</v>
      </c>
      <c r="M8" s="18">
        <f t="shared" si="1"/>
        <v>0</v>
      </c>
    </row>
    <row r="9">
      <c r="A9" s="41">
        <v>5.0</v>
      </c>
      <c r="B9" s="46" t="s">
        <v>1358</v>
      </c>
      <c r="C9" s="46">
        <v>55562.0</v>
      </c>
      <c r="D9" s="46" t="s">
        <v>1195</v>
      </c>
      <c r="E9" s="27"/>
      <c r="F9" s="28"/>
      <c r="G9" s="29"/>
      <c r="H9" s="30">
        <v>800.0</v>
      </c>
      <c r="I9" s="31"/>
      <c r="J9" s="32"/>
      <c r="K9" s="33"/>
      <c r="L9" s="47">
        <v>800.0</v>
      </c>
      <c r="M9" s="18">
        <f t="shared" si="1"/>
        <v>0</v>
      </c>
    </row>
    <row r="10">
      <c r="A10" s="41">
        <v>6.0</v>
      </c>
      <c r="B10" s="46" t="s">
        <v>1359</v>
      </c>
      <c r="C10" s="46">
        <v>49320.0</v>
      </c>
      <c r="D10" s="46" t="s">
        <v>1360</v>
      </c>
      <c r="E10" s="27"/>
      <c r="F10" s="28"/>
      <c r="G10" s="29"/>
      <c r="H10" s="30"/>
      <c r="I10" s="31">
        <v>5100.0</v>
      </c>
      <c r="J10" s="32"/>
      <c r="K10" s="33"/>
      <c r="L10" s="47">
        <v>5100.0</v>
      </c>
      <c r="M10" s="18">
        <f t="shared" si="1"/>
        <v>0</v>
      </c>
    </row>
    <row r="11">
      <c r="A11" s="41">
        <v>7.0</v>
      </c>
      <c r="B11" s="46" t="s">
        <v>1361</v>
      </c>
      <c r="C11" s="46">
        <v>53687.0</v>
      </c>
      <c r="D11" s="46" t="s">
        <v>1362</v>
      </c>
      <c r="E11" s="27"/>
      <c r="F11" s="28"/>
      <c r="G11" s="29"/>
      <c r="H11" s="30">
        <v>300.0</v>
      </c>
      <c r="I11" s="31"/>
      <c r="J11" s="35"/>
      <c r="K11" s="33"/>
      <c r="L11" s="47">
        <v>300.0</v>
      </c>
      <c r="M11" s="18">
        <f t="shared" si="1"/>
        <v>0</v>
      </c>
    </row>
    <row r="12">
      <c r="A12" s="41">
        <v>8.0</v>
      </c>
      <c r="B12" s="46" t="s">
        <v>1363</v>
      </c>
      <c r="C12" s="46">
        <v>22341.0</v>
      </c>
      <c r="D12" s="46" t="s">
        <v>293</v>
      </c>
      <c r="E12" s="27"/>
      <c r="F12" s="28"/>
      <c r="G12" s="29"/>
      <c r="H12" s="30">
        <v>1427.0</v>
      </c>
      <c r="I12" s="31"/>
      <c r="J12" s="32"/>
      <c r="K12" s="33"/>
      <c r="L12" s="47">
        <v>1427.0</v>
      </c>
      <c r="M12" s="18">
        <f t="shared" si="1"/>
        <v>0</v>
      </c>
    </row>
    <row r="13">
      <c r="A13" s="41">
        <v>9.0</v>
      </c>
      <c r="B13" s="46" t="s">
        <v>1364</v>
      </c>
      <c r="C13" s="46">
        <v>49599.0</v>
      </c>
      <c r="D13" s="46" t="s">
        <v>672</v>
      </c>
      <c r="E13" s="27"/>
      <c r="F13" s="28"/>
      <c r="G13" s="29"/>
      <c r="H13" s="30">
        <v>5000.0</v>
      </c>
      <c r="I13" s="31"/>
      <c r="J13" s="32"/>
      <c r="K13" s="33"/>
      <c r="L13" s="47">
        <v>5000.0</v>
      </c>
      <c r="M13" s="18">
        <f t="shared" si="1"/>
        <v>0</v>
      </c>
    </row>
    <row r="14">
      <c r="A14" s="41">
        <v>10.0</v>
      </c>
      <c r="B14" s="46" t="s">
        <v>1365</v>
      </c>
      <c r="C14" s="46">
        <v>22727.0</v>
      </c>
      <c r="D14" s="46" t="s">
        <v>162</v>
      </c>
      <c r="E14" s="27"/>
      <c r="F14" s="28"/>
      <c r="G14" s="29"/>
      <c r="H14" s="30"/>
      <c r="I14" s="31">
        <v>5150.0</v>
      </c>
      <c r="J14" s="32"/>
      <c r="K14" s="33"/>
      <c r="L14" s="47">
        <v>5150.0</v>
      </c>
      <c r="M14" s="18">
        <f t="shared" si="1"/>
        <v>0</v>
      </c>
    </row>
    <row r="15">
      <c r="A15" s="41">
        <v>11.0</v>
      </c>
      <c r="B15" s="46" t="s">
        <v>1366</v>
      </c>
      <c r="C15" s="46">
        <v>50499.0</v>
      </c>
      <c r="D15" s="46" t="s">
        <v>1367</v>
      </c>
      <c r="E15" s="27"/>
      <c r="F15" s="28"/>
      <c r="G15" s="29"/>
      <c r="H15" s="30">
        <v>2752.0</v>
      </c>
      <c r="I15" s="31"/>
      <c r="J15" s="32"/>
      <c r="K15" s="33"/>
      <c r="L15" s="47">
        <v>2752.0</v>
      </c>
      <c r="M15" s="18">
        <f t="shared" si="1"/>
        <v>0</v>
      </c>
    </row>
    <row r="16">
      <c r="A16" s="41">
        <v>12.0</v>
      </c>
      <c r="B16" s="46" t="s">
        <v>1368</v>
      </c>
      <c r="C16" s="46">
        <v>54309.0</v>
      </c>
      <c r="D16" s="46" t="s">
        <v>1369</v>
      </c>
      <c r="E16" s="27"/>
      <c r="F16" s="28"/>
      <c r="G16" s="29"/>
      <c r="H16" s="30"/>
      <c r="I16" s="31">
        <v>5000.0</v>
      </c>
      <c r="J16" s="35"/>
      <c r="K16" s="33"/>
      <c r="L16" s="47">
        <v>5000.0</v>
      </c>
      <c r="M16" s="18">
        <f t="shared" si="1"/>
        <v>0</v>
      </c>
    </row>
    <row r="17">
      <c r="A17" s="41">
        <v>13.0</v>
      </c>
      <c r="B17" s="46" t="s">
        <v>1370</v>
      </c>
      <c r="C17" s="46">
        <v>54309.0</v>
      </c>
      <c r="D17" s="46" t="s">
        <v>1369</v>
      </c>
      <c r="E17" s="27"/>
      <c r="F17" s="28"/>
      <c r="G17" s="29"/>
      <c r="H17" s="30"/>
      <c r="I17" s="31">
        <v>5000.0</v>
      </c>
      <c r="J17" s="35"/>
      <c r="K17" s="33"/>
      <c r="L17" s="47">
        <v>5000.0</v>
      </c>
      <c r="M17" s="18">
        <f t="shared" si="1"/>
        <v>0</v>
      </c>
    </row>
    <row r="18">
      <c r="A18" s="41">
        <v>14.0</v>
      </c>
      <c r="B18" s="46" t="s">
        <v>1371</v>
      </c>
      <c r="C18" s="46">
        <v>48772.0</v>
      </c>
      <c r="D18" s="46" t="s">
        <v>1372</v>
      </c>
      <c r="E18" s="27"/>
      <c r="F18" s="37"/>
      <c r="G18" s="29"/>
      <c r="H18" s="30"/>
      <c r="I18" s="31">
        <v>1350.0</v>
      </c>
      <c r="J18" s="32"/>
      <c r="K18" s="33"/>
      <c r="L18" s="47">
        <v>1350.0</v>
      </c>
      <c r="M18" s="18">
        <f t="shared" si="1"/>
        <v>0</v>
      </c>
    </row>
    <row r="19">
      <c r="A19" s="41">
        <v>15.0</v>
      </c>
      <c r="B19" s="46" t="s">
        <v>1373</v>
      </c>
      <c r="C19" s="46">
        <v>19688.0</v>
      </c>
      <c r="D19" s="46" t="s">
        <v>679</v>
      </c>
      <c r="E19" s="27"/>
      <c r="F19" s="28"/>
      <c r="G19" s="29"/>
      <c r="H19" s="30">
        <v>7650.0</v>
      </c>
      <c r="I19" s="31"/>
      <c r="J19" s="32"/>
      <c r="K19" s="33"/>
      <c r="L19" s="47">
        <v>7650.0</v>
      </c>
      <c r="M19" s="18">
        <f t="shared" si="1"/>
        <v>0</v>
      </c>
    </row>
    <row r="20">
      <c r="A20" s="41">
        <v>16.0</v>
      </c>
      <c r="B20" s="46" t="s">
        <v>1374</v>
      </c>
      <c r="C20" s="46">
        <v>47510.0</v>
      </c>
      <c r="D20" s="46" t="s">
        <v>918</v>
      </c>
      <c r="E20" s="27"/>
      <c r="F20" s="28"/>
      <c r="G20" s="29"/>
      <c r="H20" s="30">
        <v>5000.0</v>
      </c>
      <c r="I20" s="31"/>
      <c r="J20" s="32"/>
      <c r="K20" s="33"/>
      <c r="L20" s="47">
        <v>5000.0</v>
      </c>
      <c r="M20" s="18">
        <f t="shared" si="1"/>
        <v>0</v>
      </c>
    </row>
    <row r="21">
      <c r="A21" s="41">
        <v>17.0</v>
      </c>
      <c r="B21" s="46" t="s">
        <v>1375</v>
      </c>
      <c r="C21" s="46">
        <v>19688.0</v>
      </c>
      <c r="D21" s="46" t="s">
        <v>679</v>
      </c>
      <c r="E21" s="27"/>
      <c r="F21" s="28"/>
      <c r="G21" s="29"/>
      <c r="H21" s="30"/>
      <c r="I21" s="31">
        <v>1450.0</v>
      </c>
      <c r="J21" s="32"/>
      <c r="K21" s="33"/>
      <c r="L21" s="47">
        <v>1450.0</v>
      </c>
      <c r="M21" s="18">
        <f t="shared" si="1"/>
        <v>0</v>
      </c>
    </row>
    <row r="22">
      <c r="A22" s="41">
        <v>18.0</v>
      </c>
      <c r="B22" s="46" t="s">
        <v>1376</v>
      </c>
      <c r="C22" s="46">
        <v>47510.0</v>
      </c>
      <c r="D22" s="46" t="s">
        <v>918</v>
      </c>
      <c r="E22" s="27"/>
      <c r="F22" s="37"/>
      <c r="G22" s="29"/>
      <c r="H22" s="30">
        <v>5000.0</v>
      </c>
      <c r="I22" s="31"/>
      <c r="J22" s="32"/>
      <c r="K22" s="33"/>
      <c r="L22" s="47">
        <v>5000.0</v>
      </c>
      <c r="M22" s="18">
        <f t="shared" si="1"/>
        <v>0</v>
      </c>
    </row>
    <row r="23">
      <c r="A23" s="41">
        <v>19.0</v>
      </c>
      <c r="B23" s="46" t="s">
        <v>1377</v>
      </c>
      <c r="C23" s="46">
        <v>19688.0</v>
      </c>
      <c r="D23" s="46" t="s">
        <v>679</v>
      </c>
      <c r="E23" s="27"/>
      <c r="F23" s="28"/>
      <c r="G23" s="29"/>
      <c r="H23" s="30"/>
      <c r="I23" s="31">
        <v>10000.0</v>
      </c>
      <c r="J23" s="32"/>
      <c r="K23" s="33"/>
      <c r="L23" s="47">
        <v>10000.0</v>
      </c>
      <c r="M23" s="18">
        <f t="shared" si="1"/>
        <v>0</v>
      </c>
    </row>
    <row r="24">
      <c r="A24" s="41">
        <v>20.0</v>
      </c>
      <c r="B24" s="46" t="s">
        <v>1378</v>
      </c>
      <c r="C24" s="46">
        <v>19688.0</v>
      </c>
      <c r="D24" s="46" t="s">
        <v>679</v>
      </c>
      <c r="E24" s="27"/>
      <c r="F24" s="28"/>
      <c r="G24" s="29"/>
      <c r="H24" s="30"/>
      <c r="I24" s="31">
        <v>10000.0</v>
      </c>
      <c r="J24" s="32"/>
      <c r="K24" s="33"/>
      <c r="L24" s="47">
        <v>10000.0</v>
      </c>
      <c r="M24" s="18">
        <f t="shared" si="1"/>
        <v>0</v>
      </c>
    </row>
    <row r="25">
      <c r="A25" s="41">
        <v>21.0</v>
      </c>
      <c r="B25" s="46" t="s">
        <v>1379</v>
      </c>
      <c r="C25" s="46">
        <v>53962.0</v>
      </c>
      <c r="D25" s="46" t="s">
        <v>1380</v>
      </c>
      <c r="E25" s="27"/>
      <c r="F25" s="37"/>
      <c r="G25" s="29"/>
      <c r="H25" s="30">
        <v>5000.0</v>
      </c>
      <c r="I25" s="36"/>
      <c r="J25" s="32"/>
      <c r="K25" s="33"/>
      <c r="L25" s="47">
        <v>5000.0</v>
      </c>
      <c r="M25" s="18">
        <f t="shared" si="1"/>
        <v>0</v>
      </c>
    </row>
    <row r="26">
      <c r="A26" s="41">
        <v>22.0</v>
      </c>
      <c r="B26" s="46" t="s">
        <v>1381</v>
      </c>
      <c r="C26" s="46">
        <v>53962.0</v>
      </c>
      <c r="D26" s="46" t="s">
        <v>1380</v>
      </c>
      <c r="E26" s="38"/>
      <c r="F26" s="28"/>
      <c r="G26" s="29"/>
      <c r="H26" s="30">
        <v>5000.0</v>
      </c>
      <c r="I26" s="36"/>
      <c r="J26" s="32"/>
      <c r="K26" s="33"/>
      <c r="L26" s="47">
        <v>5000.0</v>
      </c>
      <c r="M26" s="18">
        <f t="shared" si="1"/>
        <v>0</v>
      </c>
    </row>
    <row r="27">
      <c r="A27" s="41">
        <v>23.0</v>
      </c>
      <c r="B27" s="46" t="s">
        <v>1382</v>
      </c>
      <c r="C27" s="46">
        <v>53675.0</v>
      </c>
      <c r="D27" s="46" t="s">
        <v>1383</v>
      </c>
      <c r="E27" s="27"/>
      <c r="F27" s="37"/>
      <c r="G27" s="29"/>
      <c r="H27" s="30">
        <v>5000.0</v>
      </c>
      <c r="I27" s="31"/>
      <c r="J27" s="35"/>
      <c r="K27" s="33"/>
      <c r="L27" s="47">
        <v>5000.0</v>
      </c>
      <c r="M27" s="18">
        <f t="shared" si="1"/>
        <v>0</v>
      </c>
    </row>
    <row r="28">
      <c r="A28" s="41">
        <v>24.0</v>
      </c>
      <c r="B28" s="46" t="s">
        <v>1384</v>
      </c>
      <c r="C28" s="46">
        <v>53675.0</v>
      </c>
      <c r="D28" s="46" t="s">
        <v>1383</v>
      </c>
      <c r="E28" s="27"/>
      <c r="F28" s="28"/>
      <c r="G28" s="29"/>
      <c r="H28" s="30">
        <v>5000.0</v>
      </c>
      <c r="I28" s="31"/>
      <c r="J28" s="32"/>
      <c r="K28" s="33"/>
      <c r="L28" s="47">
        <v>5000.0</v>
      </c>
      <c r="M28" s="18">
        <f t="shared" si="1"/>
        <v>0</v>
      </c>
    </row>
    <row r="29">
      <c r="A29" s="41">
        <v>25.0</v>
      </c>
      <c r="B29" s="46" t="s">
        <v>1385</v>
      </c>
      <c r="C29" s="46">
        <v>56218.0</v>
      </c>
      <c r="D29" s="46" t="s">
        <v>1386</v>
      </c>
      <c r="E29" s="27"/>
      <c r="F29" s="28"/>
      <c r="G29" s="29"/>
      <c r="H29" s="30">
        <v>5000.0</v>
      </c>
      <c r="I29" s="31"/>
      <c r="J29" s="32"/>
      <c r="K29" s="33"/>
      <c r="L29" s="47">
        <v>5000.0</v>
      </c>
      <c r="M29" s="18">
        <f t="shared" si="1"/>
        <v>0</v>
      </c>
    </row>
    <row r="30">
      <c r="A30" s="41">
        <v>26.0</v>
      </c>
      <c r="B30" s="46" t="s">
        <v>1387</v>
      </c>
      <c r="C30" s="46">
        <v>56218.0</v>
      </c>
      <c r="D30" s="46" t="s">
        <v>1386</v>
      </c>
      <c r="E30" s="27"/>
      <c r="F30" s="28"/>
      <c r="G30" s="29"/>
      <c r="H30" s="30">
        <v>5000.0</v>
      </c>
      <c r="I30" s="31"/>
      <c r="J30" s="35"/>
      <c r="K30" s="33"/>
      <c r="L30" s="47">
        <v>5000.0</v>
      </c>
      <c r="M30" s="18">
        <f t="shared" si="1"/>
        <v>0</v>
      </c>
    </row>
    <row r="31">
      <c r="A31" s="41">
        <v>27.0</v>
      </c>
      <c r="B31" s="46" t="s">
        <v>1388</v>
      </c>
      <c r="C31" s="46">
        <v>52152.0</v>
      </c>
      <c r="D31" s="46" t="s">
        <v>1389</v>
      </c>
      <c r="E31" s="27"/>
      <c r="F31" s="28"/>
      <c r="G31" s="29"/>
      <c r="H31" s="30">
        <v>5000.0</v>
      </c>
      <c r="I31" s="31"/>
      <c r="J31" s="32"/>
      <c r="K31" s="33"/>
      <c r="L31" s="47">
        <v>5000.0</v>
      </c>
      <c r="M31" s="18">
        <f t="shared" si="1"/>
        <v>0</v>
      </c>
    </row>
    <row r="32">
      <c r="A32" s="41">
        <v>28.0</v>
      </c>
      <c r="B32" s="46" t="s">
        <v>1390</v>
      </c>
      <c r="C32" s="46">
        <v>52152.0</v>
      </c>
      <c r="D32" s="46" t="s">
        <v>1389</v>
      </c>
      <c r="E32" s="27"/>
      <c r="F32" s="28"/>
      <c r="G32" s="29"/>
      <c r="H32" s="30">
        <v>5000.0</v>
      </c>
      <c r="I32" s="31"/>
      <c r="J32" s="32"/>
      <c r="K32" s="33"/>
      <c r="L32" s="47">
        <v>5000.0</v>
      </c>
      <c r="M32" s="18">
        <f t="shared" si="1"/>
        <v>0</v>
      </c>
    </row>
    <row r="33">
      <c r="A33" s="41">
        <v>29.0</v>
      </c>
      <c r="B33" s="46" t="s">
        <v>1391</v>
      </c>
      <c r="C33" s="46">
        <v>36080.0</v>
      </c>
      <c r="D33" s="46" t="s">
        <v>1392</v>
      </c>
      <c r="E33" s="27"/>
      <c r="F33" s="37"/>
      <c r="G33" s="39"/>
      <c r="H33" s="30">
        <v>3600.0</v>
      </c>
      <c r="I33" s="31"/>
      <c r="J33" s="32"/>
      <c r="K33" s="33"/>
      <c r="L33" s="47">
        <v>3600.0</v>
      </c>
      <c r="M33" s="18">
        <f t="shared" si="1"/>
        <v>0</v>
      </c>
    </row>
    <row r="34">
      <c r="A34" s="41">
        <v>30.0</v>
      </c>
      <c r="B34" s="46" t="s">
        <v>1393</v>
      </c>
      <c r="C34" s="46">
        <v>36080.0</v>
      </c>
      <c r="D34" s="46" t="s">
        <v>1392</v>
      </c>
      <c r="E34" s="27"/>
      <c r="F34" s="37"/>
      <c r="G34" s="39"/>
      <c r="H34" s="30">
        <v>7240.0</v>
      </c>
      <c r="I34" s="31"/>
      <c r="J34" s="32"/>
      <c r="K34" s="33"/>
      <c r="L34" s="47">
        <v>7240.0</v>
      </c>
      <c r="M34" s="18">
        <f t="shared" si="1"/>
        <v>0</v>
      </c>
    </row>
    <row r="35">
      <c r="A35" s="41">
        <v>31.0</v>
      </c>
      <c r="B35" s="46" t="s">
        <v>1394</v>
      </c>
      <c r="C35" s="46">
        <v>46778.0</v>
      </c>
      <c r="D35" s="46" t="s">
        <v>109</v>
      </c>
      <c r="E35" s="27"/>
      <c r="F35" s="28"/>
      <c r="G35" s="29"/>
      <c r="H35" s="30"/>
      <c r="I35" s="31">
        <v>1600.0</v>
      </c>
      <c r="J35" s="32"/>
      <c r="K35" s="33"/>
      <c r="L35" s="47">
        <v>1600.0</v>
      </c>
      <c r="M35" s="18">
        <f t="shared" si="1"/>
        <v>0</v>
      </c>
    </row>
    <row r="36">
      <c r="A36" s="41">
        <v>32.0</v>
      </c>
      <c r="B36" s="46" t="s">
        <v>1395</v>
      </c>
      <c r="C36" s="46">
        <v>51406.0</v>
      </c>
      <c r="D36" s="46" t="s">
        <v>18</v>
      </c>
      <c r="E36" s="27"/>
      <c r="F36" s="28"/>
      <c r="G36" s="29"/>
      <c r="H36" s="30"/>
      <c r="I36" s="31">
        <v>15000.0</v>
      </c>
      <c r="J36" s="32"/>
      <c r="K36" s="33"/>
      <c r="L36" s="47">
        <v>15000.0</v>
      </c>
      <c r="M36" s="18">
        <f t="shared" si="1"/>
        <v>0</v>
      </c>
    </row>
    <row r="37">
      <c r="A37" s="41">
        <v>33.0</v>
      </c>
      <c r="B37" s="46" t="s">
        <v>1396</v>
      </c>
      <c r="C37" s="46">
        <v>47179.0</v>
      </c>
      <c r="D37" s="46" t="s">
        <v>438</v>
      </c>
      <c r="E37" s="27"/>
      <c r="F37" s="28"/>
      <c r="G37" s="29"/>
      <c r="H37" s="30">
        <v>2500.0</v>
      </c>
      <c r="I37" s="31"/>
      <c r="J37" s="32"/>
      <c r="K37" s="33"/>
      <c r="L37" s="47">
        <v>2500.0</v>
      </c>
      <c r="M37" s="18">
        <f t="shared" si="1"/>
        <v>0</v>
      </c>
    </row>
    <row r="38">
      <c r="A38" s="41">
        <v>34.0</v>
      </c>
      <c r="B38" s="46" t="s">
        <v>1397</v>
      </c>
      <c r="C38" s="46">
        <v>31738.0</v>
      </c>
      <c r="D38" s="46" t="s">
        <v>154</v>
      </c>
      <c r="E38" s="27"/>
      <c r="F38" s="28"/>
      <c r="G38" s="29"/>
      <c r="H38" s="30">
        <v>10800.0</v>
      </c>
      <c r="I38" s="31"/>
      <c r="J38" s="35"/>
      <c r="K38" s="33"/>
      <c r="L38" s="47">
        <v>10800.0</v>
      </c>
      <c r="M38" s="18">
        <f t="shared" si="1"/>
        <v>0</v>
      </c>
    </row>
    <row r="39">
      <c r="A39" s="41">
        <v>35.0</v>
      </c>
      <c r="B39" s="46" t="s">
        <v>1398</v>
      </c>
      <c r="C39" s="46">
        <v>47787.0</v>
      </c>
      <c r="D39" s="46" t="s">
        <v>506</v>
      </c>
      <c r="E39" s="27"/>
      <c r="F39" s="28"/>
      <c r="G39" s="29"/>
      <c r="H39" s="30">
        <v>2500.0</v>
      </c>
      <c r="I39" s="31"/>
      <c r="J39" s="32"/>
      <c r="K39" s="33"/>
      <c r="L39" s="47">
        <v>2500.0</v>
      </c>
      <c r="M39" s="18">
        <f t="shared" si="1"/>
        <v>0</v>
      </c>
    </row>
    <row r="40">
      <c r="A40" s="41">
        <v>36.0</v>
      </c>
      <c r="B40" s="46" t="s">
        <v>1399</v>
      </c>
      <c r="C40" s="46">
        <v>43380.0</v>
      </c>
      <c r="D40" s="46" t="s">
        <v>61</v>
      </c>
      <c r="E40" s="27"/>
      <c r="F40" s="28"/>
      <c r="G40" s="29"/>
      <c r="H40" s="30"/>
      <c r="I40" s="31">
        <v>10000.0</v>
      </c>
      <c r="J40" s="35"/>
      <c r="K40" s="33"/>
      <c r="L40" s="47">
        <v>10000.0</v>
      </c>
      <c r="M40" s="18">
        <f t="shared" si="1"/>
        <v>0</v>
      </c>
    </row>
    <row r="41">
      <c r="A41" s="41">
        <v>37.0</v>
      </c>
      <c r="B41" s="46" t="s">
        <v>1400</v>
      </c>
      <c r="C41" s="46">
        <v>26005.0</v>
      </c>
      <c r="D41" s="46" t="s">
        <v>86</v>
      </c>
      <c r="E41" s="27"/>
      <c r="F41" s="28"/>
      <c r="G41" s="29"/>
      <c r="H41" s="30"/>
      <c r="I41" s="31">
        <v>300.0</v>
      </c>
      <c r="J41" s="35"/>
      <c r="K41" s="33"/>
      <c r="L41" s="47">
        <v>300.0</v>
      </c>
      <c r="M41" s="18">
        <f t="shared" si="1"/>
        <v>0</v>
      </c>
    </row>
    <row r="42">
      <c r="A42" s="41">
        <v>38.0</v>
      </c>
      <c r="B42" s="46" t="s">
        <v>1401</v>
      </c>
      <c r="C42" s="46">
        <v>12102.0</v>
      </c>
      <c r="D42" s="46" t="s">
        <v>345</v>
      </c>
      <c r="E42" s="27"/>
      <c r="F42" s="28"/>
      <c r="G42" s="29"/>
      <c r="H42" s="30">
        <v>471.0</v>
      </c>
      <c r="I42" s="31"/>
      <c r="J42" s="32"/>
      <c r="K42" s="33"/>
      <c r="L42" s="47">
        <v>471.0</v>
      </c>
      <c r="M42" s="18">
        <f t="shared" si="1"/>
        <v>0</v>
      </c>
    </row>
    <row r="43">
      <c r="A43" s="41">
        <v>39.0</v>
      </c>
      <c r="B43" s="46" t="s">
        <v>1402</v>
      </c>
      <c r="C43" s="46">
        <v>45096.0</v>
      </c>
      <c r="D43" s="46" t="s">
        <v>290</v>
      </c>
      <c r="E43" s="27"/>
      <c r="F43" s="28"/>
      <c r="G43" s="29"/>
      <c r="H43" s="30">
        <v>10000.0</v>
      </c>
      <c r="I43" s="31"/>
      <c r="J43" s="32"/>
      <c r="K43" s="33"/>
      <c r="L43" s="47">
        <v>10000.0</v>
      </c>
      <c r="M43" s="18">
        <f t="shared" si="1"/>
        <v>0</v>
      </c>
    </row>
    <row r="44">
      <c r="A44" s="41">
        <v>40.0</v>
      </c>
      <c r="B44" s="46" t="s">
        <v>1403</v>
      </c>
      <c r="C44" s="46">
        <v>53717.0</v>
      </c>
      <c r="D44" s="46" t="s">
        <v>1404</v>
      </c>
      <c r="E44" s="27"/>
      <c r="F44" s="28"/>
      <c r="G44" s="29"/>
      <c r="H44" s="30"/>
      <c r="I44" s="31">
        <v>15000.0</v>
      </c>
      <c r="J44" s="32"/>
      <c r="K44" s="33"/>
      <c r="L44" s="47">
        <v>15000.0</v>
      </c>
      <c r="M44" s="18">
        <f t="shared" si="1"/>
        <v>0</v>
      </c>
    </row>
    <row r="45">
      <c r="A45" s="41">
        <v>41.0</v>
      </c>
      <c r="B45" s="46" t="s">
        <v>1405</v>
      </c>
      <c r="C45" s="46">
        <v>52027.0</v>
      </c>
      <c r="D45" s="46" t="s">
        <v>1406</v>
      </c>
      <c r="E45" s="38"/>
      <c r="F45" s="37"/>
      <c r="G45" s="29"/>
      <c r="H45" s="30">
        <v>10000.0</v>
      </c>
      <c r="I45" s="31"/>
      <c r="J45" s="32"/>
      <c r="K45" s="33"/>
      <c r="L45" s="47">
        <v>10000.0</v>
      </c>
      <c r="M45" s="18">
        <f t="shared" si="1"/>
        <v>0</v>
      </c>
    </row>
    <row r="46">
      <c r="A46" s="41">
        <v>42.0</v>
      </c>
      <c r="B46" s="46" t="s">
        <v>1407</v>
      </c>
      <c r="C46" s="46">
        <v>53455.0</v>
      </c>
      <c r="D46" s="46" t="s">
        <v>65</v>
      </c>
      <c r="E46" s="38"/>
      <c r="F46" s="37"/>
      <c r="G46" s="29"/>
      <c r="H46" s="30"/>
      <c r="I46" s="31">
        <v>2500.0</v>
      </c>
      <c r="J46" s="32"/>
      <c r="K46" s="33"/>
      <c r="L46" s="47">
        <v>2500.0</v>
      </c>
      <c r="M46" s="18">
        <f t="shared" si="1"/>
        <v>0</v>
      </c>
    </row>
    <row r="47">
      <c r="A47" s="41">
        <v>43.0</v>
      </c>
      <c r="B47" s="46" t="s">
        <v>1408</v>
      </c>
      <c r="C47" s="46">
        <v>22332.0</v>
      </c>
      <c r="D47" s="46" t="s">
        <v>138</v>
      </c>
      <c r="E47" s="27"/>
      <c r="F47" s="28"/>
      <c r="G47" s="39"/>
      <c r="H47" s="30">
        <v>850.0</v>
      </c>
      <c r="I47" s="31"/>
      <c r="J47" s="32"/>
      <c r="K47" s="33"/>
      <c r="L47" s="47">
        <v>850.0</v>
      </c>
      <c r="M47" s="18">
        <f t="shared" si="1"/>
        <v>0</v>
      </c>
    </row>
    <row r="48">
      <c r="A48" s="41">
        <v>44.0</v>
      </c>
      <c r="B48" s="46" t="s">
        <v>1409</v>
      </c>
      <c r="C48" s="46">
        <v>50222.0</v>
      </c>
      <c r="D48" s="46" t="s">
        <v>47</v>
      </c>
      <c r="E48" s="27"/>
      <c r="F48" s="28"/>
      <c r="G48" s="29"/>
      <c r="H48" s="30">
        <v>471.0</v>
      </c>
      <c r="I48" s="31"/>
      <c r="J48" s="32"/>
      <c r="K48" s="33"/>
      <c r="L48" s="47">
        <v>471.0</v>
      </c>
      <c r="M48" s="18">
        <f t="shared" si="1"/>
        <v>0</v>
      </c>
    </row>
    <row r="49">
      <c r="A49" s="41">
        <v>45.0</v>
      </c>
      <c r="B49" s="46" t="s">
        <v>1410</v>
      </c>
      <c r="C49" s="46">
        <v>57588.0</v>
      </c>
      <c r="D49" s="46" t="s">
        <v>1411</v>
      </c>
      <c r="E49" s="27"/>
      <c r="F49" s="28"/>
      <c r="G49" s="29"/>
      <c r="H49" s="30"/>
      <c r="I49" s="31">
        <v>27000.0</v>
      </c>
      <c r="J49" s="32"/>
      <c r="K49" s="33"/>
      <c r="L49" s="47">
        <v>27000.0</v>
      </c>
      <c r="M49" s="18">
        <f t="shared" si="1"/>
        <v>0</v>
      </c>
    </row>
    <row r="50">
      <c r="A50" s="41">
        <v>46.0</v>
      </c>
      <c r="B50" s="46" t="s">
        <v>1412</v>
      </c>
      <c r="C50" s="46">
        <v>21384.0</v>
      </c>
      <c r="D50" s="46" t="s">
        <v>38</v>
      </c>
      <c r="E50" s="27"/>
      <c r="F50" s="28"/>
      <c r="G50" s="29"/>
      <c r="H50" s="30">
        <v>10000.0</v>
      </c>
      <c r="I50" s="31"/>
      <c r="J50" s="32"/>
      <c r="K50" s="33"/>
      <c r="L50" s="47">
        <v>10000.0</v>
      </c>
      <c r="M50" s="18">
        <f t="shared" si="1"/>
        <v>0</v>
      </c>
    </row>
    <row r="51">
      <c r="A51" s="41">
        <v>47.0</v>
      </c>
      <c r="B51" s="46" t="s">
        <v>1413</v>
      </c>
      <c r="C51" s="46">
        <v>21384.0</v>
      </c>
      <c r="D51" s="46" t="s">
        <v>38</v>
      </c>
      <c r="E51" s="27"/>
      <c r="F51" s="37">
        <v>8700.0</v>
      </c>
      <c r="G51" s="39"/>
      <c r="H51" s="30"/>
      <c r="I51" s="31"/>
      <c r="J51" s="35">
        <v>7000.0</v>
      </c>
      <c r="K51" s="33"/>
      <c r="L51" s="47">
        <v>15700.0</v>
      </c>
      <c r="M51" s="18">
        <f t="shared" si="1"/>
        <v>0</v>
      </c>
    </row>
    <row r="52">
      <c r="A52" s="41">
        <v>48.0</v>
      </c>
      <c r="B52" s="46" t="s">
        <v>1414</v>
      </c>
      <c r="C52" s="46">
        <v>52611.0</v>
      </c>
      <c r="D52" s="46" t="s">
        <v>637</v>
      </c>
      <c r="E52" s="27"/>
      <c r="F52" s="37"/>
      <c r="G52" s="29"/>
      <c r="H52" s="30">
        <v>5000.0</v>
      </c>
      <c r="I52" s="31"/>
      <c r="J52" s="32"/>
      <c r="K52" s="33"/>
      <c r="L52" s="47">
        <v>5000.0</v>
      </c>
      <c r="M52" s="18">
        <f t="shared" si="1"/>
        <v>0</v>
      </c>
    </row>
    <row r="53">
      <c r="A53" s="41">
        <v>49.0</v>
      </c>
      <c r="B53" s="46" t="s">
        <v>1415</v>
      </c>
      <c r="C53" s="46">
        <v>54609.0</v>
      </c>
      <c r="D53" s="46" t="s">
        <v>1416</v>
      </c>
      <c r="E53" s="27"/>
      <c r="F53" s="28"/>
      <c r="G53" s="29"/>
      <c r="H53" s="30"/>
      <c r="I53" s="31">
        <v>3900.0</v>
      </c>
      <c r="J53" s="32"/>
      <c r="K53" s="33"/>
      <c r="L53" s="47">
        <v>3900.0</v>
      </c>
      <c r="M53" s="18">
        <f t="shared" si="1"/>
        <v>0</v>
      </c>
    </row>
    <row r="54">
      <c r="A54" s="41">
        <v>50.0</v>
      </c>
      <c r="B54" s="46" t="s">
        <v>1417</v>
      </c>
      <c r="C54" s="46">
        <v>52611.0</v>
      </c>
      <c r="D54" s="46" t="s">
        <v>637</v>
      </c>
      <c r="E54" s="27"/>
      <c r="F54" s="28"/>
      <c r="G54" s="29"/>
      <c r="H54" s="30"/>
      <c r="I54" s="31">
        <v>12500.0</v>
      </c>
      <c r="J54" s="32"/>
      <c r="K54" s="33"/>
      <c r="L54" s="47">
        <v>12500.0</v>
      </c>
      <c r="M54" s="18">
        <f t="shared" si="1"/>
        <v>0</v>
      </c>
    </row>
    <row r="55">
      <c r="A55" s="41">
        <v>51.0</v>
      </c>
      <c r="B55" s="46" t="s">
        <v>1418</v>
      </c>
      <c r="C55" s="46">
        <v>52206.0</v>
      </c>
      <c r="D55" s="46" t="s">
        <v>1419</v>
      </c>
      <c r="E55" s="27"/>
      <c r="F55" s="28"/>
      <c r="G55" s="29"/>
      <c r="H55" s="30">
        <v>5000.0</v>
      </c>
      <c r="I55" s="31"/>
      <c r="J55" s="32"/>
      <c r="K55" s="33"/>
      <c r="L55" s="47">
        <v>5000.0</v>
      </c>
      <c r="M55" s="18">
        <f t="shared" si="1"/>
        <v>0</v>
      </c>
    </row>
    <row r="56">
      <c r="A56" s="41">
        <v>52.0</v>
      </c>
      <c r="B56" s="46" t="s">
        <v>1420</v>
      </c>
      <c r="C56" s="46">
        <v>31927.0</v>
      </c>
      <c r="D56" s="46" t="s">
        <v>183</v>
      </c>
      <c r="E56" s="27"/>
      <c r="F56" s="28"/>
      <c r="G56" s="29"/>
      <c r="H56" s="30">
        <v>2500.0</v>
      </c>
      <c r="I56" s="31"/>
      <c r="J56" s="32"/>
      <c r="K56" s="33"/>
      <c r="L56" s="47">
        <v>2500.0</v>
      </c>
      <c r="M56" s="18">
        <f t="shared" si="1"/>
        <v>0</v>
      </c>
    </row>
    <row r="57">
      <c r="A57" s="41">
        <v>53.0</v>
      </c>
      <c r="B57" s="46" t="s">
        <v>1421</v>
      </c>
      <c r="C57" s="46">
        <v>10001.0</v>
      </c>
      <c r="D57" s="46" t="s">
        <v>218</v>
      </c>
      <c r="E57" s="38">
        <v>300.0</v>
      </c>
      <c r="F57" s="37">
        <v>7500.0</v>
      </c>
      <c r="G57" s="29"/>
      <c r="H57" s="30"/>
      <c r="I57" s="31"/>
      <c r="J57" s="32"/>
      <c r="K57" s="33"/>
      <c r="L57" s="47">
        <v>7800.0</v>
      </c>
      <c r="M57" s="18">
        <f t="shared" si="1"/>
        <v>0</v>
      </c>
    </row>
    <row r="58">
      <c r="A58" s="41">
        <v>54.0</v>
      </c>
      <c r="B58" s="46" t="s">
        <v>1422</v>
      </c>
      <c r="C58" s="46">
        <v>10001.0</v>
      </c>
      <c r="D58" s="46" t="s">
        <v>218</v>
      </c>
      <c r="E58" s="38">
        <v>200.0</v>
      </c>
      <c r="F58" s="28"/>
      <c r="G58" s="29"/>
      <c r="H58" s="30"/>
      <c r="I58" s="31"/>
      <c r="J58" s="32"/>
      <c r="K58" s="33"/>
      <c r="L58" s="47">
        <v>200.0</v>
      </c>
      <c r="M58" s="18">
        <f t="shared" si="1"/>
        <v>0</v>
      </c>
    </row>
    <row r="59">
      <c r="A59" s="41">
        <v>55.0</v>
      </c>
      <c r="B59" s="46" t="s">
        <v>1423</v>
      </c>
      <c r="C59" s="46">
        <v>50148.0</v>
      </c>
      <c r="D59" s="46" t="s">
        <v>244</v>
      </c>
      <c r="E59" s="27"/>
      <c r="F59" s="28"/>
      <c r="G59" s="39">
        <v>10000.0</v>
      </c>
      <c r="H59" s="30"/>
      <c r="I59" s="31"/>
      <c r="J59" s="32"/>
      <c r="K59" s="33"/>
      <c r="L59" s="47">
        <v>10000.0</v>
      </c>
      <c r="M59" s="18">
        <f t="shared" si="1"/>
        <v>0</v>
      </c>
    </row>
    <row r="60">
      <c r="A60" s="41"/>
      <c r="B60" s="45"/>
      <c r="C60" s="45"/>
      <c r="D60" s="44"/>
      <c r="E60" s="22">
        <f t="shared" ref="E60:J60" si="2">SUM(E5:E59)</f>
        <v>500</v>
      </c>
      <c r="F60" s="22">
        <f t="shared" si="2"/>
        <v>16200</v>
      </c>
      <c r="G60" s="22">
        <f t="shared" si="2"/>
        <v>10000</v>
      </c>
      <c r="H60" s="22">
        <f t="shared" si="2"/>
        <v>197061</v>
      </c>
      <c r="I60" s="22">
        <f t="shared" si="2"/>
        <v>132277</v>
      </c>
      <c r="J60" s="22">
        <f t="shared" si="2"/>
        <v>7000</v>
      </c>
      <c r="K60" s="22">
        <f>SUM(K23:K59)</f>
        <v>0</v>
      </c>
      <c r="L60" s="22">
        <f t="shared" ref="L60:M60" si="3">SUM(L5:L59)</f>
        <v>363038</v>
      </c>
      <c r="M60" s="18">
        <f t="shared" si="3"/>
        <v>0</v>
      </c>
    </row>
    <row r="61">
      <c r="A61" s="23"/>
      <c r="B61" s="23"/>
      <c r="C61" s="23"/>
      <c r="D61" s="23"/>
      <c r="E61" s="24">
        <f>SUM(K60:M60)</f>
        <v>363038</v>
      </c>
      <c r="F61" s="6"/>
      <c r="G61" s="6"/>
      <c r="H61" s="6"/>
      <c r="I61" s="6"/>
      <c r="J61" s="6"/>
      <c r="K61" s="7"/>
      <c r="L61" s="25"/>
      <c r="M61" s="23"/>
    </row>
    <row r="62">
      <c r="L62" s="40" t="s">
        <v>254</v>
      </c>
    </row>
  </sheetData>
  <mergeCells count="14">
    <mergeCell ref="F3:G3"/>
    <mergeCell ref="H3:I3"/>
    <mergeCell ref="J3:J4"/>
    <mergeCell ref="K3:K4"/>
    <mergeCell ref="E61:K61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5"/>
    <col customWidth="1" min="2" max="2" width="24.75"/>
    <col customWidth="1" min="4" max="4" width="43.25"/>
    <col customWidth="1" min="5" max="5" width="9.5"/>
  </cols>
  <sheetData>
    <row r="1">
      <c r="A1" s="1" t="s">
        <v>1424</v>
      </c>
    </row>
    <row r="2">
      <c r="A2" s="2" t="s">
        <v>1</v>
      </c>
      <c r="B2" s="3" t="s">
        <v>2</v>
      </c>
      <c r="C2" s="2" t="s">
        <v>3</v>
      </c>
      <c r="D2" s="4" t="s">
        <v>4</v>
      </c>
      <c r="E2" s="5" t="s">
        <v>5</v>
      </c>
      <c r="F2" s="6"/>
      <c r="G2" s="6"/>
      <c r="H2" s="6"/>
      <c r="I2" s="6"/>
      <c r="J2" s="6"/>
      <c r="K2" s="6"/>
      <c r="L2" s="6"/>
      <c r="M2" s="7"/>
    </row>
    <row r="3">
      <c r="A3" s="8"/>
      <c r="B3" s="8"/>
      <c r="C3" s="8"/>
      <c r="D3" s="8"/>
      <c r="E3" s="2" t="s">
        <v>6</v>
      </c>
      <c r="F3" s="5" t="s">
        <v>7</v>
      </c>
      <c r="G3" s="7"/>
      <c r="H3" s="5" t="s">
        <v>8</v>
      </c>
      <c r="I3" s="7"/>
      <c r="J3" s="2" t="s">
        <v>9</v>
      </c>
      <c r="K3" s="4" t="s">
        <v>10</v>
      </c>
      <c r="L3" s="2" t="s">
        <v>11</v>
      </c>
      <c r="M3" s="2" t="s">
        <v>12</v>
      </c>
    </row>
    <row r="4">
      <c r="A4" s="9"/>
      <c r="B4" s="9"/>
      <c r="C4" s="9"/>
      <c r="D4" s="9"/>
      <c r="E4" s="9"/>
      <c r="F4" s="10" t="s">
        <v>13</v>
      </c>
      <c r="G4" s="10" t="s">
        <v>14</v>
      </c>
      <c r="H4" s="10" t="s">
        <v>15</v>
      </c>
      <c r="I4" s="11" t="s">
        <v>16</v>
      </c>
      <c r="J4" s="9"/>
      <c r="K4" s="9"/>
      <c r="L4" s="9"/>
      <c r="M4" s="9"/>
    </row>
    <row r="5">
      <c r="A5" s="41">
        <v>1.0</v>
      </c>
      <c r="B5" s="53" t="s">
        <v>1425</v>
      </c>
      <c r="C5" s="53">
        <v>41079.0</v>
      </c>
      <c r="D5" s="53" t="s">
        <v>634</v>
      </c>
      <c r="E5" s="27"/>
      <c r="F5" s="28"/>
      <c r="G5" s="29"/>
      <c r="H5" s="30">
        <v>10000.0</v>
      </c>
      <c r="I5" s="31"/>
      <c r="J5" s="32"/>
      <c r="K5" s="50"/>
      <c r="L5" s="17">
        <v>10000.0</v>
      </c>
      <c r="M5" s="18">
        <f t="shared" ref="M5:M101" si="1">SUM(E5+F5+G5+H5+I5+J5+K5-L5)</f>
        <v>0</v>
      </c>
    </row>
    <row r="6">
      <c r="A6" s="41">
        <v>2.0</v>
      </c>
      <c r="B6" s="53" t="s">
        <v>1426</v>
      </c>
      <c r="C6" s="53">
        <v>49825.0</v>
      </c>
      <c r="D6" s="53" t="s">
        <v>640</v>
      </c>
      <c r="E6" s="27"/>
      <c r="F6" s="37"/>
      <c r="G6" s="29"/>
      <c r="H6" s="30"/>
      <c r="I6" s="31">
        <v>350.0</v>
      </c>
      <c r="J6" s="35"/>
      <c r="K6" s="33"/>
      <c r="L6" s="17">
        <v>350.0</v>
      </c>
      <c r="M6" s="18">
        <f t="shared" si="1"/>
        <v>0</v>
      </c>
    </row>
    <row r="7">
      <c r="A7" s="41">
        <v>3.0</v>
      </c>
      <c r="B7" s="53" t="s">
        <v>1427</v>
      </c>
      <c r="C7" s="53">
        <v>10250.0</v>
      </c>
      <c r="D7" s="53" t="s">
        <v>107</v>
      </c>
      <c r="E7" s="27"/>
      <c r="F7" s="28"/>
      <c r="G7" s="29"/>
      <c r="H7" s="30"/>
      <c r="I7" s="31">
        <v>5000.0</v>
      </c>
      <c r="J7" s="32"/>
      <c r="K7" s="33"/>
      <c r="L7" s="17">
        <v>5000.0</v>
      </c>
      <c r="M7" s="18">
        <f t="shared" si="1"/>
        <v>0</v>
      </c>
    </row>
    <row r="8">
      <c r="A8" s="41">
        <v>4.0</v>
      </c>
      <c r="B8" s="53" t="s">
        <v>1428</v>
      </c>
      <c r="C8" s="53">
        <v>10250.0</v>
      </c>
      <c r="D8" s="53" t="s">
        <v>107</v>
      </c>
      <c r="E8" s="27"/>
      <c r="F8" s="28"/>
      <c r="G8" s="29"/>
      <c r="H8" s="30">
        <v>50000.0</v>
      </c>
      <c r="I8" s="31"/>
      <c r="J8" s="32"/>
      <c r="K8" s="33"/>
      <c r="L8" s="17">
        <v>50000.0</v>
      </c>
      <c r="M8" s="18">
        <f t="shared" si="1"/>
        <v>0</v>
      </c>
    </row>
    <row r="9">
      <c r="A9" s="41">
        <v>5.0</v>
      </c>
      <c r="B9" s="53" t="s">
        <v>1429</v>
      </c>
      <c r="C9" s="53">
        <v>57590.0</v>
      </c>
      <c r="D9" s="53" t="s">
        <v>1430</v>
      </c>
      <c r="E9" s="27"/>
      <c r="F9" s="28"/>
      <c r="G9" s="29"/>
      <c r="H9" s="30"/>
      <c r="I9" s="31">
        <v>27000.0</v>
      </c>
      <c r="J9" s="32"/>
      <c r="K9" s="33"/>
      <c r="L9" s="17">
        <v>27000.0</v>
      </c>
      <c r="M9" s="18">
        <f t="shared" si="1"/>
        <v>0</v>
      </c>
    </row>
    <row r="10">
      <c r="A10" s="41">
        <v>6.0</v>
      </c>
      <c r="B10" s="53" t="s">
        <v>1431</v>
      </c>
      <c r="C10" s="53">
        <v>36555.0</v>
      </c>
      <c r="D10" s="53" t="s">
        <v>172</v>
      </c>
      <c r="E10" s="27"/>
      <c r="F10" s="28"/>
      <c r="G10" s="29"/>
      <c r="H10" s="30">
        <v>10000.0</v>
      </c>
      <c r="I10" s="31"/>
      <c r="J10" s="32"/>
      <c r="K10" s="33"/>
      <c r="L10" s="17">
        <v>10000.0</v>
      </c>
      <c r="M10" s="18">
        <f t="shared" si="1"/>
        <v>0</v>
      </c>
    </row>
    <row r="11">
      <c r="A11" s="41">
        <v>7.0</v>
      </c>
      <c r="B11" s="53" t="s">
        <v>1432</v>
      </c>
      <c r="C11" s="53">
        <v>26005.0</v>
      </c>
      <c r="D11" s="53" t="s">
        <v>86</v>
      </c>
      <c r="E11" s="27"/>
      <c r="F11" s="28"/>
      <c r="G11" s="29"/>
      <c r="H11" s="30">
        <v>300.0</v>
      </c>
      <c r="I11" s="31"/>
      <c r="J11" s="35"/>
      <c r="K11" s="33"/>
      <c r="L11" s="17">
        <v>300.0</v>
      </c>
      <c r="M11" s="18">
        <f t="shared" si="1"/>
        <v>0</v>
      </c>
    </row>
    <row r="12">
      <c r="A12" s="41">
        <v>8.0</v>
      </c>
      <c r="B12" s="53" t="s">
        <v>1433</v>
      </c>
      <c r="C12" s="53">
        <v>10320.0</v>
      </c>
      <c r="D12" s="53" t="s">
        <v>447</v>
      </c>
      <c r="E12" s="27"/>
      <c r="F12" s="28"/>
      <c r="G12" s="29"/>
      <c r="H12" s="30">
        <v>200.0</v>
      </c>
      <c r="I12" s="31"/>
      <c r="J12" s="32"/>
      <c r="K12" s="33"/>
      <c r="L12" s="17">
        <v>200.0</v>
      </c>
      <c r="M12" s="18">
        <f t="shared" si="1"/>
        <v>0</v>
      </c>
    </row>
    <row r="13">
      <c r="A13" s="41">
        <v>9.0</v>
      </c>
      <c r="B13" s="53" t="s">
        <v>1434</v>
      </c>
      <c r="C13" s="53">
        <v>50871.0</v>
      </c>
      <c r="D13" s="53" t="s">
        <v>105</v>
      </c>
      <c r="E13" s="27"/>
      <c r="F13" s="28"/>
      <c r="G13" s="29"/>
      <c r="H13" s="30">
        <v>66800.0</v>
      </c>
      <c r="I13" s="31"/>
      <c r="J13" s="32"/>
      <c r="K13" s="33"/>
      <c r="L13" s="17">
        <v>66800.0</v>
      </c>
      <c r="M13" s="18">
        <f t="shared" si="1"/>
        <v>0</v>
      </c>
    </row>
    <row r="14">
      <c r="A14" s="41">
        <v>10.0</v>
      </c>
      <c r="B14" s="53" t="s">
        <v>1435</v>
      </c>
      <c r="C14" s="53">
        <v>50593.0</v>
      </c>
      <c r="D14" s="53" t="s">
        <v>1048</v>
      </c>
      <c r="E14" s="27"/>
      <c r="F14" s="37">
        <v>15000.0</v>
      </c>
      <c r="G14" s="29"/>
      <c r="H14" s="30"/>
      <c r="I14" s="31"/>
      <c r="J14" s="32"/>
      <c r="K14" s="33"/>
      <c r="L14" s="17">
        <v>15000.0</v>
      </c>
      <c r="M14" s="18">
        <f t="shared" si="1"/>
        <v>0</v>
      </c>
    </row>
    <row r="15">
      <c r="A15" s="41">
        <v>11.0</v>
      </c>
      <c r="B15" s="53" t="s">
        <v>1436</v>
      </c>
      <c r="C15" s="53">
        <v>50593.0</v>
      </c>
      <c r="D15" s="53" t="s">
        <v>1048</v>
      </c>
      <c r="E15" s="27"/>
      <c r="F15" s="37">
        <v>11700.0</v>
      </c>
      <c r="G15" s="29"/>
      <c r="H15" s="30"/>
      <c r="I15" s="31"/>
      <c r="J15" s="32"/>
      <c r="K15" s="33"/>
      <c r="L15" s="17">
        <v>11700.0</v>
      </c>
      <c r="M15" s="18">
        <f t="shared" si="1"/>
        <v>0</v>
      </c>
    </row>
    <row r="16">
      <c r="A16" s="41">
        <v>12.0</v>
      </c>
      <c r="B16" s="53" t="s">
        <v>1437</v>
      </c>
      <c r="C16" s="53">
        <v>36879.0</v>
      </c>
      <c r="D16" s="53" t="s">
        <v>504</v>
      </c>
      <c r="E16" s="27"/>
      <c r="F16" s="28"/>
      <c r="G16" s="29"/>
      <c r="H16" s="30"/>
      <c r="I16" s="31">
        <v>2500.0</v>
      </c>
      <c r="J16" s="35"/>
      <c r="K16" s="33"/>
      <c r="L16" s="17">
        <v>2500.0</v>
      </c>
      <c r="M16" s="18">
        <f t="shared" si="1"/>
        <v>0</v>
      </c>
    </row>
    <row r="17">
      <c r="A17" s="41">
        <v>13.0</v>
      </c>
      <c r="B17" s="53" t="s">
        <v>1438</v>
      </c>
      <c r="C17" s="53">
        <v>53401.0</v>
      </c>
      <c r="D17" s="53" t="s">
        <v>116</v>
      </c>
      <c r="E17" s="27"/>
      <c r="F17" s="28"/>
      <c r="G17" s="29"/>
      <c r="H17" s="30"/>
      <c r="I17" s="31">
        <v>5150.0</v>
      </c>
      <c r="J17" s="35"/>
      <c r="K17" s="33"/>
      <c r="L17" s="17">
        <v>5150.0</v>
      </c>
      <c r="M17" s="18">
        <f t="shared" si="1"/>
        <v>0</v>
      </c>
    </row>
    <row r="18">
      <c r="A18" s="41">
        <v>14.0</v>
      </c>
      <c r="B18" s="53" t="s">
        <v>1439</v>
      </c>
      <c r="C18" s="53">
        <v>10001.0</v>
      </c>
      <c r="D18" s="53" t="s">
        <v>218</v>
      </c>
      <c r="E18" s="27"/>
      <c r="F18" s="37"/>
      <c r="G18" s="29"/>
      <c r="H18" s="30">
        <v>5150.0</v>
      </c>
      <c r="I18" s="31"/>
      <c r="J18" s="32"/>
      <c r="K18" s="33"/>
      <c r="L18" s="17">
        <v>5150.0</v>
      </c>
      <c r="M18" s="18">
        <f t="shared" si="1"/>
        <v>0</v>
      </c>
    </row>
    <row r="19">
      <c r="A19" s="41">
        <v>15.0</v>
      </c>
      <c r="B19" s="53" t="s">
        <v>1440</v>
      </c>
      <c r="C19" s="53">
        <v>51978.0</v>
      </c>
      <c r="D19" s="53" t="s">
        <v>1441</v>
      </c>
      <c r="E19" s="27"/>
      <c r="F19" s="28"/>
      <c r="G19" s="29"/>
      <c r="H19" s="30">
        <v>34500.0</v>
      </c>
      <c r="I19" s="31"/>
      <c r="J19" s="32"/>
      <c r="K19" s="33"/>
      <c r="L19" s="17">
        <v>34500.0</v>
      </c>
      <c r="M19" s="18">
        <f t="shared" si="1"/>
        <v>0</v>
      </c>
    </row>
    <row r="20">
      <c r="A20" s="41">
        <v>16.0</v>
      </c>
      <c r="B20" s="53" t="s">
        <v>1442</v>
      </c>
      <c r="C20" s="53">
        <v>10250.0</v>
      </c>
      <c r="D20" s="53" t="s">
        <v>107</v>
      </c>
      <c r="E20" s="27"/>
      <c r="F20" s="28"/>
      <c r="G20" s="29"/>
      <c r="H20" s="30">
        <v>30000.0</v>
      </c>
      <c r="I20" s="31"/>
      <c r="J20" s="32"/>
      <c r="K20" s="33"/>
      <c r="L20" s="17">
        <v>30000.0</v>
      </c>
      <c r="M20" s="18">
        <f t="shared" si="1"/>
        <v>0</v>
      </c>
    </row>
    <row r="21">
      <c r="A21" s="41">
        <v>17.0</v>
      </c>
      <c r="B21" s="53" t="s">
        <v>1443</v>
      </c>
      <c r="C21" s="53">
        <v>19688.0</v>
      </c>
      <c r="D21" s="53" t="s">
        <v>679</v>
      </c>
      <c r="E21" s="27"/>
      <c r="F21" s="28"/>
      <c r="G21" s="29"/>
      <c r="H21" s="30"/>
      <c r="I21" s="31">
        <v>3900.0</v>
      </c>
      <c r="J21" s="32"/>
      <c r="K21" s="33"/>
      <c r="L21" s="17">
        <v>3900.0</v>
      </c>
      <c r="M21" s="18">
        <f t="shared" si="1"/>
        <v>0</v>
      </c>
    </row>
    <row r="22">
      <c r="A22" s="41">
        <v>18.0</v>
      </c>
      <c r="B22" s="53" t="s">
        <v>1444</v>
      </c>
      <c r="C22" s="53">
        <v>55179.0</v>
      </c>
      <c r="D22" s="53" t="s">
        <v>662</v>
      </c>
      <c r="E22" s="27"/>
      <c r="F22" s="37"/>
      <c r="G22" s="29"/>
      <c r="H22" s="30"/>
      <c r="I22" s="31">
        <v>17450.0</v>
      </c>
      <c r="J22" s="32"/>
      <c r="K22" s="33"/>
      <c r="L22" s="17">
        <v>17450.0</v>
      </c>
      <c r="M22" s="18">
        <f t="shared" si="1"/>
        <v>0</v>
      </c>
    </row>
    <row r="23">
      <c r="A23" s="41">
        <v>19.0</v>
      </c>
      <c r="B23" s="53" t="s">
        <v>1445</v>
      </c>
      <c r="C23" s="53">
        <v>53629.0</v>
      </c>
      <c r="D23" s="53" t="s">
        <v>1446</v>
      </c>
      <c r="E23" s="27"/>
      <c r="F23" s="28"/>
      <c r="G23" s="29"/>
      <c r="H23" s="30"/>
      <c r="I23" s="31">
        <v>34500.0</v>
      </c>
      <c r="J23" s="32"/>
      <c r="K23" s="33"/>
      <c r="L23" s="17">
        <v>34500.0</v>
      </c>
      <c r="M23" s="18">
        <f t="shared" si="1"/>
        <v>0</v>
      </c>
    </row>
    <row r="24">
      <c r="A24" s="41">
        <v>20.0</v>
      </c>
      <c r="B24" s="53" t="s">
        <v>1447</v>
      </c>
      <c r="C24" s="53">
        <v>43349.0</v>
      </c>
      <c r="D24" s="53" t="s">
        <v>916</v>
      </c>
      <c r="E24" s="27"/>
      <c r="F24" s="28"/>
      <c r="G24" s="29"/>
      <c r="H24" s="30">
        <v>10000.0</v>
      </c>
      <c r="I24" s="31"/>
      <c r="J24" s="32"/>
      <c r="K24" s="33"/>
      <c r="L24" s="17">
        <v>10000.0</v>
      </c>
      <c r="M24" s="18">
        <f t="shared" si="1"/>
        <v>0</v>
      </c>
    </row>
    <row r="25">
      <c r="A25" s="41">
        <v>21.0</v>
      </c>
      <c r="B25" s="53" t="s">
        <v>1448</v>
      </c>
      <c r="C25" s="53">
        <v>55109.0</v>
      </c>
      <c r="D25" s="53" t="s">
        <v>1449</v>
      </c>
      <c r="E25" s="27"/>
      <c r="F25" s="37"/>
      <c r="G25" s="29"/>
      <c r="H25" s="30"/>
      <c r="I25" s="31">
        <v>3600.0</v>
      </c>
      <c r="J25" s="32"/>
      <c r="K25" s="33"/>
      <c r="L25" s="17">
        <v>3600.0</v>
      </c>
      <c r="M25" s="18">
        <f t="shared" si="1"/>
        <v>0</v>
      </c>
    </row>
    <row r="26">
      <c r="A26" s="41">
        <v>22.0</v>
      </c>
      <c r="B26" s="53" t="s">
        <v>1450</v>
      </c>
      <c r="C26" s="53">
        <v>19688.0</v>
      </c>
      <c r="D26" s="53" t="s">
        <v>679</v>
      </c>
      <c r="E26" s="38"/>
      <c r="F26" s="28"/>
      <c r="G26" s="29"/>
      <c r="H26" s="30"/>
      <c r="I26" s="31">
        <v>10000.0</v>
      </c>
      <c r="J26" s="32"/>
      <c r="K26" s="33"/>
      <c r="L26" s="17">
        <v>10000.0</v>
      </c>
      <c r="M26" s="18">
        <f t="shared" si="1"/>
        <v>0</v>
      </c>
    </row>
    <row r="27">
      <c r="A27" s="41">
        <v>23.0</v>
      </c>
      <c r="B27" s="53" t="s">
        <v>1451</v>
      </c>
      <c r="C27" s="53">
        <v>57529.0</v>
      </c>
      <c r="D27" s="53" t="s">
        <v>1452</v>
      </c>
      <c r="E27" s="27"/>
      <c r="F27" s="37"/>
      <c r="G27" s="29"/>
      <c r="H27" s="30">
        <v>12500.0</v>
      </c>
      <c r="I27" s="31"/>
      <c r="J27" s="35"/>
      <c r="K27" s="33"/>
      <c r="L27" s="17">
        <v>12500.0</v>
      </c>
      <c r="M27" s="18">
        <f t="shared" si="1"/>
        <v>0</v>
      </c>
    </row>
    <row r="28">
      <c r="A28" s="41">
        <v>24.0</v>
      </c>
      <c r="B28" s="53" t="s">
        <v>1453</v>
      </c>
      <c r="C28" s="53">
        <v>35245.0</v>
      </c>
      <c r="D28" s="53" t="s">
        <v>34</v>
      </c>
      <c r="E28" s="38">
        <v>59140.0</v>
      </c>
      <c r="F28" s="28"/>
      <c r="G28" s="29"/>
      <c r="H28" s="30"/>
      <c r="I28" s="31"/>
      <c r="J28" s="32"/>
      <c r="K28" s="33"/>
      <c r="L28" s="17">
        <v>59140.0</v>
      </c>
      <c r="M28" s="18">
        <f t="shared" si="1"/>
        <v>0</v>
      </c>
    </row>
    <row r="29">
      <c r="A29" s="41">
        <v>25.0</v>
      </c>
      <c r="B29" s="53" t="s">
        <v>1454</v>
      </c>
      <c r="C29" s="53">
        <v>55409.0</v>
      </c>
      <c r="D29" s="53" t="s">
        <v>945</v>
      </c>
      <c r="E29" s="38">
        <v>8000.0</v>
      </c>
      <c r="F29" s="28"/>
      <c r="G29" s="29"/>
      <c r="H29" s="30">
        <v>17900.0</v>
      </c>
      <c r="I29" s="31"/>
      <c r="J29" s="32"/>
      <c r="K29" s="33"/>
      <c r="L29" s="17">
        <v>25900.0</v>
      </c>
      <c r="M29" s="18">
        <f t="shared" si="1"/>
        <v>0</v>
      </c>
    </row>
    <row r="30">
      <c r="A30" s="41">
        <v>26.0</v>
      </c>
      <c r="B30" s="53" t="s">
        <v>1455</v>
      </c>
      <c r="C30" s="53">
        <v>54055.0</v>
      </c>
      <c r="D30" s="53" t="s">
        <v>1456</v>
      </c>
      <c r="E30" s="27"/>
      <c r="F30" s="28"/>
      <c r="G30" s="29"/>
      <c r="H30" s="30">
        <v>3600.0</v>
      </c>
      <c r="I30" s="31"/>
      <c r="J30" s="35"/>
      <c r="K30" s="33"/>
      <c r="L30" s="17">
        <v>3600.0</v>
      </c>
      <c r="M30" s="18">
        <f t="shared" si="1"/>
        <v>0</v>
      </c>
    </row>
    <row r="31">
      <c r="A31" s="41">
        <v>27.0</v>
      </c>
      <c r="B31" s="53" t="s">
        <v>1457</v>
      </c>
      <c r="C31" s="53">
        <v>36555.0</v>
      </c>
      <c r="D31" s="53" t="s">
        <v>172</v>
      </c>
      <c r="E31" s="27"/>
      <c r="F31" s="28"/>
      <c r="G31" s="29"/>
      <c r="H31" s="30">
        <v>10000.0</v>
      </c>
      <c r="I31" s="31"/>
      <c r="J31" s="32"/>
      <c r="K31" s="33"/>
      <c r="L31" s="17">
        <v>10000.0</v>
      </c>
      <c r="M31" s="18">
        <f t="shared" si="1"/>
        <v>0</v>
      </c>
    </row>
    <row r="32">
      <c r="A32" s="41">
        <v>28.0</v>
      </c>
      <c r="B32" s="53" t="s">
        <v>1458</v>
      </c>
      <c r="C32" s="53">
        <v>47787.0</v>
      </c>
      <c r="D32" s="53" t="s">
        <v>506</v>
      </c>
      <c r="E32" s="27"/>
      <c r="F32" s="28"/>
      <c r="G32" s="29"/>
      <c r="H32" s="30"/>
      <c r="I32" s="31">
        <v>21200.0</v>
      </c>
      <c r="J32" s="32"/>
      <c r="K32" s="33"/>
      <c r="L32" s="17">
        <v>21200.0</v>
      </c>
      <c r="M32" s="18">
        <f t="shared" si="1"/>
        <v>0</v>
      </c>
    </row>
    <row r="33">
      <c r="A33" s="41">
        <v>29.0</v>
      </c>
      <c r="B33" s="53" t="s">
        <v>1459</v>
      </c>
      <c r="C33" s="53">
        <v>10008.0</v>
      </c>
      <c r="D33" s="53" t="s">
        <v>78</v>
      </c>
      <c r="E33" s="27"/>
      <c r="F33" s="37"/>
      <c r="G33" s="39"/>
      <c r="H33" s="30">
        <v>32500.0</v>
      </c>
      <c r="I33" s="31"/>
      <c r="J33" s="32"/>
      <c r="K33" s="33"/>
      <c r="L33" s="17">
        <v>32500.0</v>
      </c>
      <c r="M33" s="18">
        <f t="shared" si="1"/>
        <v>0</v>
      </c>
    </row>
    <row r="34">
      <c r="A34" s="41">
        <v>30.0</v>
      </c>
      <c r="B34" s="53" t="s">
        <v>1460</v>
      </c>
      <c r="C34" s="53">
        <v>44149.0</v>
      </c>
      <c r="D34" s="53" t="s">
        <v>32</v>
      </c>
      <c r="E34" s="27"/>
      <c r="F34" s="37"/>
      <c r="G34" s="39"/>
      <c r="H34" s="30">
        <v>750.0</v>
      </c>
      <c r="I34" s="31"/>
      <c r="J34" s="32"/>
      <c r="K34" s="33"/>
      <c r="L34" s="17">
        <v>750.0</v>
      </c>
      <c r="M34" s="18">
        <f t="shared" si="1"/>
        <v>0</v>
      </c>
    </row>
    <row r="35">
      <c r="A35" s="41">
        <v>31.0</v>
      </c>
      <c r="B35" s="53" t="s">
        <v>1461</v>
      </c>
      <c r="C35" s="53">
        <v>50436.0</v>
      </c>
      <c r="D35" s="53" t="s">
        <v>421</v>
      </c>
      <c r="E35" s="27"/>
      <c r="F35" s="28"/>
      <c r="G35" s="29"/>
      <c r="H35" s="30">
        <v>1200.0</v>
      </c>
      <c r="I35" s="31"/>
      <c r="J35" s="32"/>
      <c r="K35" s="33"/>
      <c r="L35" s="17">
        <v>1200.0</v>
      </c>
      <c r="M35" s="18">
        <f t="shared" si="1"/>
        <v>0</v>
      </c>
    </row>
    <row r="36">
      <c r="A36" s="41">
        <v>32.0</v>
      </c>
      <c r="B36" s="53" t="s">
        <v>1462</v>
      </c>
      <c r="C36" s="53">
        <v>52206.0</v>
      </c>
      <c r="D36" s="53" t="s">
        <v>1419</v>
      </c>
      <c r="E36" s="27"/>
      <c r="F36" s="28"/>
      <c r="G36" s="29"/>
      <c r="H36" s="30">
        <v>350.0</v>
      </c>
      <c r="I36" s="31"/>
      <c r="J36" s="32"/>
      <c r="K36" s="33"/>
      <c r="L36" s="17">
        <v>350.0</v>
      </c>
      <c r="M36" s="18">
        <f t="shared" si="1"/>
        <v>0</v>
      </c>
    </row>
    <row r="37">
      <c r="A37" s="41">
        <v>33.0</v>
      </c>
      <c r="B37" s="53" t="s">
        <v>1463</v>
      </c>
      <c r="C37" s="53">
        <v>54489.0</v>
      </c>
      <c r="D37" s="53" t="s">
        <v>63</v>
      </c>
      <c r="E37" s="27"/>
      <c r="F37" s="28"/>
      <c r="G37" s="29"/>
      <c r="H37" s="30">
        <v>10000.0</v>
      </c>
      <c r="I37" s="31"/>
      <c r="J37" s="32"/>
      <c r="K37" s="33"/>
      <c r="L37" s="17">
        <v>10000.0</v>
      </c>
      <c r="M37" s="18">
        <f t="shared" si="1"/>
        <v>0</v>
      </c>
    </row>
    <row r="38">
      <c r="A38" s="41">
        <v>34.0</v>
      </c>
      <c r="B38" s="53" t="s">
        <v>1464</v>
      </c>
      <c r="C38" s="53">
        <v>22727.0</v>
      </c>
      <c r="D38" s="53" t="s">
        <v>162</v>
      </c>
      <c r="E38" s="27"/>
      <c r="F38" s="28"/>
      <c r="G38" s="29"/>
      <c r="H38" s="30">
        <v>10000.0</v>
      </c>
      <c r="I38" s="31"/>
      <c r="J38" s="35"/>
      <c r="K38" s="33"/>
      <c r="L38" s="17">
        <v>10000.0</v>
      </c>
      <c r="M38" s="18">
        <f t="shared" si="1"/>
        <v>0</v>
      </c>
    </row>
    <row r="39">
      <c r="A39" s="41">
        <v>35.0</v>
      </c>
      <c r="B39" s="53" t="s">
        <v>1465</v>
      </c>
      <c r="C39" s="53">
        <v>10257.0</v>
      </c>
      <c r="D39" s="53" t="s">
        <v>1466</v>
      </c>
      <c r="E39" s="27"/>
      <c r="F39" s="28"/>
      <c r="G39" s="29"/>
      <c r="H39" s="30">
        <v>5000.0</v>
      </c>
      <c r="I39" s="31"/>
      <c r="J39" s="32"/>
      <c r="K39" s="33"/>
      <c r="L39" s="17">
        <v>5000.0</v>
      </c>
      <c r="M39" s="18">
        <f t="shared" si="1"/>
        <v>0</v>
      </c>
    </row>
    <row r="40">
      <c r="A40" s="41">
        <v>36.0</v>
      </c>
      <c r="B40" s="53" t="s">
        <v>1467</v>
      </c>
      <c r="C40" s="53">
        <v>10006.0</v>
      </c>
      <c r="D40" s="53" t="s">
        <v>654</v>
      </c>
      <c r="E40" s="27"/>
      <c r="F40" s="28"/>
      <c r="G40" s="29"/>
      <c r="H40" s="30">
        <v>15000.0</v>
      </c>
      <c r="I40" s="31"/>
      <c r="J40" s="35"/>
      <c r="K40" s="33"/>
      <c r="L40" s="17">
        <v>15000.0</v>
      </c>
      <c r="M40" s="18">
        <f t="shared" si="1"/>
        <v>0</v>
      </c>
    </row>
    <row r="41">
      <c r="A41" s="41">
        <v>37.0</v>
      </c>
      <c r="B41" s="53" t="s">
        <v>1468</v>
      </c>
      <c r="C41" s="53">
        <v>52032.0</v>
      </c>
      <c r="D41" s="53" t="s">
        <v>233</v>
      </c>
      <c r="E41" s="27"/>
      <c r="F41" s="28"/>
      <c r="G41" s="29"/>
      <c r="H41" s="30">
        <v>350.0</v>
      </c>
      <c r="I41" s="31"/>
      <c r="J41" s="35"/>
      <c r="K41" s="33"/>
      <c r="L41" s="17">
        <v>350.0</v>
      </c>
      <c r="M41" s="18">
        <f t="shared" si="1"/>
        <v>0</v>
      </c>
    </row>
    <row r="42">
      <c r="A42" s="41">
        <v>38.0</v>
      </c>
      <c r="B42" s="53" t="s">
        <v>1469</v>
      </c>
      <c r="C42" s="53">
        <v>56387.0</v>
      </c>
      <c r="D42" s="53" t="s">
        <v>811</v>
      </c>
      <c r="E42" s="27"/>
      <c r="F42" s="28"/>
      <c r="G42" s="29"/>
      <c r="H42" s="30"/>
      <c r="I42" s="31">
        <v>60850.0</v>
      </c>
      <c r="J42" s="32"/>
      <c r="K42" s="33"/>
      <c r="L42" s="17">
        <v>60850.0</v>
      </c>
      <c r="M42" s="18">
        <f t="shared" si="1"/>
        <v>0</v>
      </c>
    </row>
    <row r="43">
      <c r="A43" s="41">
        <v>39.0</v>
      </c>
      <c r="B43" s="53" t="s">
        <v>1470</v>
      </c>
      <c r="C43" s="53">
        <v>26831.0</v>
      </c>
      <c r="D43" s="53" t="s">
        <v>315</v>
      </c>
      <c r="E43" s="27"/>
      <c r="F43" s="28"/>
      <c r="G43" s="29"/>
      <c r="H43" s="30"/>
      <c r="I43" s="31">
        <v>27500.0</v>
      </c>
      <c r="J43" s="32"/>
      <c r="K43" s="33"/>
      <c r="L43" s="17">
        <v>27500.0</v>
      </c>
      <c r="M43" s="18">
        <f t="shared" si="1"/>
        <v>0</v>
      </c>
    </row>
    <row r="44">
      <c r="A44" s="41">
        <v>40.0</v>
      </c>
      <c r="B44" s="53" t="s">
        <v>1471</v>
      </c>
      <c r="C44" s="53">
        <v>49682.0</v>
      </c>
      <c r="D44" s="53" t="s">
        <v>709</v>
      </c>
      <c r="E44" s="27"/>
      <c r="F44" s="28"/>
      <c r="G44" s="29"/>
      <c r="H44" s="30">
        <v>350.0</v>
      </c>
      <c r="I44" s="31"/>
      <c r="J44" s="32"/>
      <c r="K44" s="33"/>
      <c r="L44" s="17">
        <v>350.0</v>
      </c>
      <c r="M44" s="18">
        <f t="shared" si="1"/>
        <v>0</v>
      </c>
    </row>
    <row r="45">
      <c r="A45" s="41">
        <v>41.0</v>
      </c>
      <c r="B45" s="53" t="s">
        <v>1472</v>
      </c>
      <c r="C45" s="53">
        <v>57608.0</v>
      </c>
      <c r="D45" s="53" t="s">
        <v>1473</v>
      </c>
      <c r="E45" s="27"/>
      <c r="F45" s="28"/>
      <c r="G45" s="29"/>
      <c r="H45" s="30"/>
      <c r="I45" s="31">
        <v>27000.0</v>
      </c>
      <c r="J45" s="32"/>
      <c r="K45" s="33"/>
      <c r="L45" s="17">
        <v>27000.0</v>
      </c>
      <c r="M45" s="18">
        <f t="shared" si="1"/>
        <v>0</v>
      </c>
    </row>
    <row r="46">
      <c r="A46" s="41">
        <v>42.0</v>
      </c>
      <c r="B46" s="53" t="s">
        <v>1474</v>
      </c>
      <c r="C46" s="53">
        <v>48410.0</v>
      </c>
      <c r="D46" s="53" t="s">
        <v>1475</v>
      </c>
      <c r="E46" s="27"/>
      <c r="F46" s="28"/>
      <c r="G46" s="29"/>
      <c r="H46" s="30">
        <v>10450.0</v>
      </c>
      <c r="I46" s="31"/>
      <c r="J46" s="32"/>
      <c r="K46" s="33"/>
      <c r="L46" s="17">
        <v>10450.0</v>
      </c>
      <c r="M46" s="18">
        <f t="shared" si="1"/>
        <v>0</v>
      </c>
    </row>
    <row r="47">
      <c r="A47" s="41">
        <v>43.0</v>
      </c>
      <c r="B47" s="53" t="s">
        <v>1476</v>
      </c>
      <c r="C47" s="53">
        <v>21384.0</v>
      </c>
      <c r="D47" s="53" t="s">
        <v>38</v>
      </c>
      <c r="E47" s="27"/>
      <c r="F47" s="28"/>
      <c r="G47" s="29"/>
      <c r="H47" s="30">
        <v>34500.0</v>
      </c>
      <c r="I47" s="31"/>
      <c r="J47" s="32"/>
      <c r="K47" s="33"/>
      <c r="L47" s="17">
        <v>34500.0</v>
      </c>
      <c r="M47" s="18">
        <f t="shared" si="1"/>
        <v>0</v>
      </c>
    </row>
    <row r="48">
      <c r="A48" s="41">
        <v>44.0</v>
      </c>
      <c r="B48" s="53" t="s">
        <v>1477</v>
      </c>
      <c r="C48" s="53">
        <v>42833.0</v>
      </c>
      <c r="D48" s="53" t="s">
        <v>120</v>
      </c>
      <c r="E48" s="27"/>
      <c r="F48" s="28"/>
      <c r="G48" s="29"/>
      <c r="H48" s="30">
        <v>10000.0</v>
      </c>
      <c r="I48" s="31"/>
      <c r="J48" s="32"/>
      <c r="K48" s="33"/>
      <c r="L48" s="17">
        <v>10000.0</v>
      </c>
      <c r="M48" s="18">
        <f t="shared" si="1"/>
        <v>0</v>
      </c>
    </row>
    <row r="49">
      <c r="A49" s="41">
        <v>45.0</v>
      </c>
      <c r="B49" s="53" t="s">
        <v>1478</v>
      </c>
      <c r="C49" s="53">
        <v>52647.0</v>
      </c>
      <c r="D49" s="53" t="s">
        <v>322</v>
      </c>
      <c r="E49" s="27"/>
      <c r="F49" s="28"/>
      <c r="G49" s="29"/>
      <c r="H49" s="30"/>
      <c r="I49" s="31">
        <v>11250.0</v>
      </c>
      <c r="J49" s="32"/>
      <c r="K49" s="33"/>
      <c r="L49" s="17">
        <v>11250.0</v>
      </c>
      <c r="M49" s="18">
        <f t="shared" si="1"/>
        <v>0</v>
      </c>
    </row>
    <row r="50">
      <c r="A50" s="41">
        <v>46.0</v>
      </c>
      <c r="B50" s="53" t="s">
        <v>1479</v>
      </c>
      <c r="C50" s="53">
        <v>12102.0</v>
      </c>
      <c r="D50" s="53" t="s">
        <v>345</v>
      </c>
      <c r="E50" s="27"/>
      <c r="F50" s="28"/>
      <c r="G50" s="29"/>
      <c r="H50" s="30">
        <v>1445.0</v>
      </c>
      <c r="I50" s="31"/>
      <c r="J50" s="32"/>
      <c r="K50" s="33"/>
      <c r="L50" s="17">
        <v>1445.0</v>
      </c>
      <c r="M50" s="18">
        <f t="shared" si="1"/>
        <v>0</v>
      </c>
    </row>
    <row r="51">
      <c r="A51" s="41">
        <v>47.0</v>
      </c>
      <c r="B51" s="53" t="s">
        <v>1480</v>
      </c>
      <c r="C51" s="53">
        <v>24751.0</v>
      </c>
      <c r="D51" s="53" t="s">
        <v>610</v>
      </c>
      <c r="E51" s="27"/>
      <c r="F51" s="28"/>
      <c r="G51" s="29"/>
      <c r="H51" s="30">
        <v>2500.0</v>
      </c>
      <c r="I51" s="31"/>
      <c r="J51" s="32"/>
      <c r="K51" s="33"/>
      <c r="L51" s="17">
        <v>2500.0</v>
      </c>
      <c r="M51" s="18">
        <f t="shared" si="1"/>
        <v>0</v>
      </c>
    </row>
    <row r="52">
      <c r="A52" s="41">
        <v>48.0</v>
      </c>
      <c r="B52" s="53" t="s">
        <v>1481</v>
      </c>
      <c r="C52" s="53">
        <v>26005.0</v>
      </c>
      <c r="D52" s="53" t="s">
        <v>86</v>
      </c>
      <c r="E52" s="27"/>
      <c r="F52" s="28"/>
      <c r="G52" s="29"/>
      <c r="H52" s="30">
        <v>1800.0</v>
      </c>
      <c r="I52" s="31"/>
      <c r="J52" s="32"/>
      <c r="K52" s="33"/>
      <c r="L52" s="17">
        <v>1800.0</v>
      </c>
      <c r="M52" s="18">
        <f t="shared" si="1"/>
        <v>0</v>
      </c>
    </row>
    <row r="53">
      <c r="A53" s="41">
        <v>49.0</v>
      </c>
      <c r="B53" s="53" t="s">
        <v>1482</v>
      </c>
      <c r="C53" s="53">
        <v>21384.0</v>
      </c>
      <c r="D53" s="53" t="s">
        <v>38</v>
      </c>
      <c r="E53" s="27"/>
      <c r="F53" s="28"/>
      <c r="G53" s="29"/>
      <c r="H53" s="30">
        <v>2300.0</v>
      </c>
      <c r="I53" s="31"/>
      <c r="J53" s="32"/>
      <c r="K53" s="33"/>
      <c r="L53" s="17">
        <v>2300.0</v>
      </c>
      <c r="M53" s="18">
        <f t="shared" si="1"/>
        <v>0</v>
      </c>
    </row>
    <row r="54">
      <c r="A54" s="41">
        <v>50.0</v>
      </c>
      <c r="B54" s="53" t="s">
        <v>1483</v>
      </c>
      <c r="C54" s="53">
        <v>39286.0</v>
      </c>
      <c r="D54" s="53" t="s">
        <v>1245</v>
      </c>
      <c r="E54" s="27"/>
      <c r="F54" s="28"/>
      <c r="G54" s="29"/>
      <c r="H54" s="30"/>
      <c r="I54" s="31">
        <v>3600.0</v>
      </c>
      <c r="J54" s="32"/>
      <c r="K54" s="33"/>
      <c r="L54" s="17">
        <v>3600.0</v>
      </c>
      <c r="M54" s="18">
        <f t="shared" si="1"/>
        <v>0</v>
      </c>
    </row>
    <row r="55">
      <c r="A55" s="41">
        <v>51.0</v>
      </c>
      <c r="B55" s="53" t="s">
        <v>1484</v>
      </c>
      <c r="C55" s="53">
        <v>39286.0</v>
      </c>
      <c r="D55" s="53" t="s">
        <v>1245</v>
      </c>
      <c r="E55" s="27"/>
      <c r="F55" s="28"/>
      <c r="G55" s="29"/>
      <c r="H55" s="30"/>
      <c r="I55" s="31">
        <v>24100.0</v>
      </c>
      <c r="J55" s="32"/>
      <c r="K55" s="33"/>
      <c r="L55" s="17">
        <v>24100.0</v>
      </c>
      <c r="M55" s="18">
        <f t="shared" si="1"/>
        <v>0</v>
      </c>
    </row>
    <row r="56">
      <c r="A56" s="41">
        <v>52.0</v>
      </c>
      <c r="B56" s="53" t="s">
        <v>1485</v>
      </c>
      <c r="C56" s="53">
        <v>57603.0</v>
      </c>
      <c r="D56" s="53" t="s">
        <v>1486</v>
      </c>
      <c r="E56" s="27"/>
      <c r="F56" s="28"/>
      <c r="G56" s="29"/>
      <c r="H56" s="30"/>
      <c r="I56" s="31">
        <v>3600.0</v>
      </c>
      <c r="J56" s="32"/>
      <c r="K56" s="33"/>
      <c r="L56" s="17">
        <v>3600.0</v>
      </c>
      <c r="M56" s="18">
        <f t="shared" si="1"/>
        <v>0</v>
      </c>
    </row>
    <row r="57">
      <c r="A57" s="41">
        <v>53.0</v>
      </c>
      <c r="B57" s="53" t="s">
        <v>1487</v>
      </c>
      <c r="C57" s="53">
        <v>57604.0</v>
      </c>
      <c r="D57" s="53" t="s">
        <v>1488</v>
      </c>
      <c r="E57" s="27"/>
      <c r="F57" s="28"/>
      <c r="G57" s="29"/>
      <c r="H57" s="30"/>
      <c r="I57" s="31">
        <v>3600.0</v>
      </c>
      <c r="J57" s="32"/>
      <c r="K57" s="33"/>
      <c r="L57" s="17">
        <v>3600.0</v>
      </c>
      <c r="M57" s="18">
        <f t="shared" si="1"/>
        <v>0</v>
      </c>
    </row>
    <row r="58">
      <c r="A58" s="41">
        <v>54.0</v>
      </c>
      <c r="B58" s="53" t="s">
        <v>1489</v>
      </c>
      <c r="C58" s="53">
        <v>57606.0</v>
      </c>
      <c r="D58" s="53" t="s">
        <v>1490</v>
      </c>
      <c r="E58" s="27"/>
      <c r="F58" s="28"/>
      <c r="G58" s="29"/>
      <c r="H58" s="30"/>
      <c r="I58" s="31">
        <v>3600.0</v>
      </c>
      <c r="J58" s="32"/>
      <c r="K58" s="33"/>
      <c r="L58" s="17">
        <v>3600.0</v>
      </c>
      <c r="M58" s="18">
        <f t="shared" si="1"/>
        <v>0</v>
      </c>
    </row>
    <row r="59">
      <c r="A59" s="41">
        <v>55.0</v>
      </c>
      <c r="B59" s="53" t="s">
        <v>1491</v>
      </c>
      <c r="C59" s="53">
        <v>50306.0</v>
      </c>
      <c r="D59" s="53" t="s">
        <v>235</v>
      </c>
      <c r="E59" s="27"/>
      <c r="F59" s="28"/>
      <c r="G59" s="29"/>
      <c r="H59" s="30">
        <v>1250.0</v>
      </c>
      <c r="I59" s="31"/>
      <c r="J59" s="32"/>
      <c r="K59" s="33"/>
      <c r="L59" s="17">
        <v>1250.0</v>
      </c>
      <c r="M59" s="18">
        <f t="shared" si="1"/>
        <v>0</v>
      </c>
    </row>
    <row r="60">
      <c r="A60" s="41">
        <v>56.0</v>
      </c>
      <c r="B60" s="53" t="s">
        <v>1492</v>
      </c>
      <c r="C60" s="53">
        <v>44170.0</v>
      </c>
      <c r="D60" s="53" t="s">
        <v>1493</v>
      </c>
      <c r="E60" s="27"/>
      <c r="F60" s="28"/>
      <c r="G60" s="29"/>
      <c r="H60" s="30">
        <v>1427.0</v>
      </c>
      <c r="I60" s="31"/>
      <c r="J60" s="32"/>
      <c r="K60" s="33"/>
      <c r="L60" s="17">
        <v>1427.0</v>
      </c>
      <c r="M60" s="18">
        <f t="shared" si="1"/>
        <v>0</v>
      </c>
    </row>
    <row r="61">
      <c r="A61" s="41">
        <v>57.0</v>
      </c>
      <c r="B61" s="53" t="s">
        <v>1494</v>
      </c>
      <c r="C61" s="53">
        <v>21384.0</v>
      </c>
      <c r="D61" s="53" t="s">
        <v>38</v>
      </c>
      <c r="E61" s="27"/>
      <c r="F61" s="28"/>
      <c r="G61" s="29"/>
      <c r="H61" s="30">
        <v>5000.0</v>
      </c>
      <c r="I61" s="31"/>
      <c r="J61" s="32"/>
      <c r="K61" s="33"/>
      <c r="L61" s="17">
        <v>5000.0</v>
      </c>
      <c r="M61" s="18">
        <f t="shared" si="1"/>
        <v>0</v>
      </c>
    </row>
    <row r="62">
      <c r="A62" s="41">
        <v>58.0</v>
      </c>
      <c r="B62" s="53" t="s">
        <v>1495</v>
      </c>
      <c r="C62" s="53">
        <v>49832.0</v>
      </c>
      <c r="D62" s="53" t="s">
        <v>1496</v>
      </c>
      <c r="E62" s="27"/>
      <c r="F62" s="28"/>
      <c r="G62" s="29"/>
      <c r="H62" s="30">
        <v>5000.0</v>
      </c>
      <c r="I62" s="31"/>
      <c r="J62" s="32"/>
      <c r="K62" s="33"/>
      <c r="L62" s="17">
        <v>5000.0</v>
      </c>
      <c r="M62" s="18">
        <f t="shared" si="1"/>
        <v>0</v>
      </c>
    </row>
    <row r="63">
      <c r="A63" s="41">
        <v>59.0</v>
      </c>
      <c r="B63" s="53" t="s">
        <v>1497</v>
      </c>
      <c r="C63" s="53">
        <v>48631.0</v>
      </c>
      <c r="D63" s="53" t="s">
        <v>118</v>
      </c>
      <c r="E63" s="27"/>
      <c r="F63" s="28"/>
      <c r="G63" s="29"/>
      <c r="H63" s="30">
        <v>12650.0</v>
      </c>
      <c r="I63" s="31"/>
      <c r="J63" s="32"/>
      <c r="K63" s="33"/>
      <c r="L63" s="17">
        <v>12650.0</v>
      </c>
      <c r="M63" s="18">
        <f t="shared" si="1"/>
        <v>0</v>
      </c>
    </row>
    <row r="64">
      <c r="A64" s="41">
        <v>60.0</v>
      </c>
      <c r="B64" s="53" t="s">
        <v>1498</v>
      </c>
      <c r="C64" s="53">
        <v>49832.0</v>
      </c>
      <c r="D64" s="53" t="s">
        <v>1496</v>
      </c>
      <c r="E64" s="27"/>
      <c r="F64" s="28"/>
      <c r="G64" s="29"/>
      <c r="H64" s="30">
        <v>5000.0</v>
      </c>
      <c r="I64" s="31"/>
      <c r="J64" s="32"/>
      <c r="K64" s="33"/>
      <c r="L64" s="17">
        <v>5000.0</v>
      </c>
      <c r="M64" s="18">
        <f t="shared" si="1"/>
        <v>0</v>
      </c>
    </row>
    <row r="65">
      <c r="A65" s="41">
        <v>61.0</v>
      </c>
      <c r="B65" s="53" t="s">
        <v>1499</v>
      </c>
      <c r="C65" s="53">
        <v>55040.0</v>
      </c>
      <c r="D65" s="53" t="s">
        <v>1500</v>
      </c>
      <c r="E65" s="27"/>
      <c r="F65" s="28"/>
      <c r="G65" s="29"/>
      <c r="H65" s="30"/>
      <c r="I65" s="31">
        <v>3600.0</v>
      </c>
      <c r="J65" s="32"/>
      <c r="K65" s="33"/>
      <c r="L65" s="17">
        <v>3600.0</v>
      </c>
      <c r="M65" s="18">
        <f t="shared" si="1"/>
        <v>0</v>
      </c>
    </row>
    <row r="66">
      <c r="A66" s="41">
        <v>62.0</v>
      </c>
      <c r="B66" s="53" t="s">
        <v>1501</v>
      </c>
      <c r="C66" s="53">
        <v>55040.0</v>
      </c>
      <c r="D66" s="53" t="s">
        <v>1500</v>
      </c>
      <c r="E66" s="27"/>
      <c r="F66" s="28"/>
      <c r="G66" s="29"/>
      <c r="H66" s="30"/>
      <c r="I66" s="31">
        <v>15300.0</v>
      </c>
      <c r="J66" s="32"/>
      <c r="K66" s="33"/>
      <c r="L66" s="17">
        <v>15300.0</v>
      </c>
      <c r="M66" s="18">
        <f t="shared" si="1"/>
        <v>0</v>
      </c>
    </row>
    <row r="67">
      <c r="A67" s="41">
        <v>63.0</v>
      </c>
      <c r="B67" s="53" t="s">
        <v>1502</v>
      </c>
      <c r="C67" s="53">
        <v>22332.0</v>
      </c>
      <c r="D67" s="53" t="s">
        <v>138</v>
      </c>
      <c r="E67" s="27"/>
      <c r="F67" s="28"/>
      <c r="G67" s="29"/>
      <c r="H67" s="30"/>
      <c r="I67" s="31">
        <v>10200.0</v>
      </c>
      <c r="J67" s="32"/>
      <c r="K67" s="33"/>
      <c r="L67" s="17">
        <v>10200.0</v>
      </c>
      <c r="M67" s="18">
        <f t="shared" si="1"/>
        <v>0</v>
      </c>
    </row>
    <row r="68">
      <c r="A68" s="41">
        <v>64.0</v>
      </c>
      <c r="B68" s="53" t="s">
        <v>1503</v>
      </c>
      <c r="C68" s="53">
        <v>55409.0</v>
      </c>
      <c r="D68" s="53" t="s">
        <v>945</v>
      </c>
      <c r="E68" s="38">
        <v>200.0</v>
      </c>
      <c r="F68" s="28"/>
      <c r="G68" s="29"/>
      <c r="H68" s="30"/>
      <c r="I68" s="31"/>
      <c r="J68" s="32"/>
      <c r="K68" s="33"/>
      <c r="L68" s="17">
        <v>200.0</v>
      </c>
      <c r="M68" s="18">
        <f t="shared" si="1"/>
        <v>0</v>
      </c>
    </row>
    <row r="69">
      <c r="A69" s="41">
        <v>65.0</v>
      </c>
      <c r="B69" s="53" t="s">
        <v>1504</v>
      </c>
      <c r="C69" s="53">
        <v>52197.0</v>
      </c>
      <c r="D69" s="53" t="s">
        <v>1505</v>
      </c>
      <c r="E69" s="27"/>
      <c r="F69" s="28"/>
      <c r="G69" s="29"/>
      <c r="H69" s="30"/>
      <c r="I69" s="31">
        <v>500.0</v>
      </c>
      <c r="J69" s="32"/>
      <c r="K69" s="33"/>
      <c r="L69" s="17">
        <v>500.0</v>
      </c>
      <c r="M69" s="18">
        <f t="shared" si="1"/>
        <v>0</v>
      </c>
    </row>
    <row r="70">
      <c r="A70" s="41">
        <v>66.0</v>
      </c>
      <c r="B70" s="53" t="s">
        <v>1506</v>
      </c>
      <c r="C70" s="53">
        <v>57558.0</v>
      </c>
      <c r="D70" s="53" t="s">
        <v>1281</v>
      </c>
      <c r="E70" s="27"/>
      <c r="F70" s="28"/>
      <c r="G70" s="29"/>
      <c r="H70" s="30"/>
      <c r="I70" s="31">
        <v>300.0</v>
      </c>
      <c r="J70" s="32"/>
      <c r="K70" s="33"/>
      <c r="L70" s="17">
        <v>300.0</v>
      </c>
      <c r="M70" s="18">
        <f t="shared" si="1"/>
        <v>0</v>
      </c>
    </row>
    <row r="71">
      <c r="A71" s="41">
        <v>67.0</v>
      </c>
      <c r="B71" s="53" t="s">
        <v>1507</v>
      </c>
      <c r="C71" s="53">
        <v>19688.0</v>
      </c>
      <c r="D71" s="53" t="s">
        <v>679</v>
      </c>
      <c r="E71" s="27"/>
      <c r="F71" s="28"/>
      <c r="G71" s="29"/>
      <c r="H71" s="30">
        <v>7650.0</v>
      </c>
      <c r="I71" s="31"/>
      <c r="J71" s="32"/>
      <c r="K71" s="33"/>
      <c r="L71" s="17">
        <v>7650.0</v>
      </c>
      <c r="M71" s="18">
        <f t="shared" si="1"/>
        <v>0</v>
      </c>
    </row>
    <row r="72">
      <c r="A72" s="41">
        <v>68.0</v>
      </c>
      <c r="B72" s="53" t="s">
        <v>1508</v>
      </c>
      <c r="C72" s="53">
        <v>52851.0</v>
      </c>
      <c r="D72" s="53" t="s">
        <v>1509</v>
      </c>
      <c r="E72" s="27"/>
      <c r="F72" s="28"/>
      <c r="G72" s="29"/>
      <c r="H72" s="30">
        <v>10000.0</v>
      </c>
      <c r="I72" s="31"/>
      <c r="J72" s="32"/>
      <c r="K72" s="33"/>
      <c r="L72" s="17">
        <v>10000.0</v>
      </c>
      <c r="M72" s="18">
        <f t="shared" si="1"/>
        <v>0</v>
      </c>
    </row>
    <row r="73">
      <c r="A73" s="41">
        <v>69.0</v>
      </c>
      <c r="B73" s="53" t="s">
        <v>1510</v>
      </c>
      <c r="C73" s="53">
        <v>22332.0</v>
      </c>
      <c r="D73" s="53" t="s">
        <v>138</v>
      </c>
      <c r="E73" s="27"/>
      <c r="F73" s="28"/>
      <c r="G73" s="29"/>
      <c r="H73" s="30">
        <v>850.0</v>
      </c>
      <c r="I73" s="31"/>
      <c r="J73" s="32"/>
      <c r="K73" s="33"/>
      <c r="L73" s="17">
        <v>850.0</v>
      </c>
      <c r="M73" s="18">
        <f t="shared" si="1"/>
        <v>0</v>
      </c>
    </row>
    <row r="74">
      <c r="A74" s="41">
        <v>70.0</v>
      </c>
      <c r="B74" s="53" t="s">
        <v>1511</v>
      </c>
      <c r="C74" s="53">
        <v>39778.0</v>
      </c>
      <c r="D74" s="53" t="s">
        <v>1512</v>
      </c>
      <c r="E74" s="27"/>
      <c r="F74" s="28"/>
      <c r="G74" s="29"/>
      <c r="H74" s="30">
        <v>1250.0</v>
      </c>
      <c r="I74" s="31"/>
      <c r="J74" s="32"/>
      <c r="K74" s="33"/>
      <c r="L74" s="17">
        <v>1250.0</v>
      </c>
      <c r="M74" s="18">
        <f t="shared" si="1"/>
        <v>0</v>
      </c>
    </row>
    <row r="75">
      <c r="A75" s="41">
        <v>71.0</v>
      </c>
      <c r="B75" s="53" t="s">
        <v>1513</v>
      </c>
      <c r="C75" s="53">
        <v>57462.0</v>
      </c>
      <c r="D75" s="53" t="s">
        <v>1514</v>
      </c>
      <c r="E75" s="27"/>
      <c r="F75" s="28"/>
      <c r="G75" s="29"/>
      <c r="H75" s="30"/>
      <c r="I75" s="31">
        <v>300.0</v>
      </c>
      <c r="J75" s="32"/>
      <c r="K75" s="33"/>
      <c r="L75" s="17">
        <v>300.0</v>
      </c>
      <c r="M75" s="18">
        <f t="shared" si="1"/>
        <v>0</v>
      </c>
    </row>
    <row r="76">
      <c r="A76" s="41">
        <v>72.0</v>
      </c>
      <c r="B76" s="53" t="s">
        <v>1515</v>
      </c>
      <c r="C76" s="53">
        <v>53093.0</v>
      </c>
      <c r="D76" s="53" t="s">
        <v>942</v>
      </c>
      <c r="E76" s="27"/>
      <c r="F76" s="28"/>
      <c r="G76" s="29"/>
      <c r="H76" s="30"/>
      <c r="I76" s="31">
        <v>10000.0</v>
      </c>
      <c r="J76" s="32"/>
      <c r="K76" s="33"/>
      <c r="L76" s="17">
        <v>10000.0</v>
      </c>
      <c r="M76" s="18">
        <f t="shared" si="1"/>
        <v>0</v>
      </c>
    </row>
    <row r="77">
      <c r="A77" s="41">
        <v>73.0</v>
      </c>
      <c r="B77" s="53" t="s">
        <v>1516</v>
      </c>
      <c r="C77" s="53">
        <v>44980.0</v>
      </c>
      <c r="D77" s="53" t="s">
        <v>1517</v>
      </c>
      <c r="E77" s="27"/>
      <c r="F77" s="28"/>
      <c r="G77" s="29"/>
      <c r="H77" s="30"/>
      <c r="I77" s="31">
        <v>2930.0</v>
      </c>
      <c r="J77" s="32"/>
      <c r="K77" s="33"/>
      <c r="L77" s="17">
        <v>2930.0</v>
      </c>
      <c r="M77" s="18">
        <f t="shared" si="1"/>
        <v>0</v>
      </c>
    </row>
    <row r="78">
      <c r="A78" s="41">
        <v>74.0</v>
      </c>
      <c r="B78" s="53" t="s">
        <v>1518</v>
      </c>
      <c r="C78" s="53">
        <v>52775.0</v>
      </c>
      <c r="D78" s="53" t="s">
        <v>1519</v>
      </c>
      <c r="E78" s="27"/>
      <c r="F78" s="28"/>
      <c r="G78" s="29"/>
      <c r="H78" s="30"/>
      <c r="I78" s="31">
        <v>3700.0</v>
      </c>
      <c r="J78" s="32"/>
      <c r="K78" s="33"/>
      <c r="L78" s="17">
        <v>3700.0</v>
      </c>
      <c r="M78" s="18">
        <f t="shared" si="1"/>
        <v>0</v>
      </c>
    </row>
    <row r="79">
      <c r="A79" s="41">
        <v>75.0</v>
      </c>
      <c r="B79" s="53" t="s">
        <v>1520</v>
      </c>
      <c r="C79" s="53">
        <v>50532.0</v>
      </c>
      <c r="D79" s="53" t="s">
        <v>1521</v>
      </c>
      <c r="E79" s="27"/>
      <c r="F79" s="28"/>
      <c r="G79" s="29"/>
      <c r="H79" s="30"/>
      <c r="I79" s="31">
        <v>7500.0</v>
      </c>
      <c r="J79" s="32"/>
      <c r="K79" s="33"/>
      <c r="L79" s="17">
        <v>7500.0</v>
      </c>
      <c r="M79" s="18">
        <f t="shared" si="1"/>
        <v>0</v>
      </c>
    </row>
    <row r="80">
      <c r="A80" s="41">
        <v>76.0</v>
      </c>
      <c r="B80" s="53" t="s">
        <v>1522</v>
      </c>
      <c r="C80" s="53">
        <v>48141.0</v>
      </c>
      <c r="D80" s="53" t="s">
        <v>693</v>
      </c>
      <c r="E80" s="27"/>
      <c r="F80" s="28"/>
      <c r="G80" s="29"/>
      <c r="H80" s="30"/>
      <c r="I80" s="31">
        <v>5000.0</v>
      </c>
      <c r="J80" s="32"/>
      <c r="K80" s="33"/>
      <c r="L80" s="17">
        <v>5000.0</v>
      </c>
      <c r="M80" s="18">
        <f t="shared" si="1"/>
        <v>0</v>
      </c>
    </row>
    <row r="81">
      <c r="A81" s="41">
        <v>77.0</v>
      </c>
      <c r="B81" s="53" t="s">
        <v>1523</v>
      </c>
      <c r="C81" s="53">
        <v>43349.0</v>
      </c>
      <c r="D81" s="53" t="s">
        <v>916</v>
      </c>
      <c r="E81" s="38">
        <v>350.0</v>
      </c>
      <c r="F81" s="28"/>
      <c r="G81" s="29"/>
      <c r="H81" s="30"/>
      <c r="I81" s="31"/>
      <c r="J81" s="32"/>
      <c r="K81" s="33"/>
      <c r="L81" s="17">
        <v>350.0</v>
      </c>
      <c r="M81" s="18">
        <f t="shared" si="1"/>
        <v>0</v>
      </c>
    </row>
    <row r="82">
      <c r="A82" s="41">
        <v>78.0</v>
      </c>
      <c r="B82" s="53" t="s">
        <v>1524</v>
      </c>
      <c r="C82" s="53">
        <v>10001.0</v>
      </c>
      <c r="D82" s="53" t="s">
        <v>218</v>
      </c>
      <c r="E82" s="27"/>
      <c r="F82" s="28"/>
      <c r="G82" s="29"/>
      <c r="H82" s="30"/>
      <c r="I82" s="31">
        <v>5150.0</v>
      </c>
      <c r="J82" s="32"/>
      <c r="K82" s="33"/>
      <c r="L82" s="17">
        <v>5150.0</v>
      </c>
      <c r="M82" s="18">
        <f t="shared" si="1"/>
        <v>0</v>
      </c>
    </row>
    <row r="83">
      <c r="A83" s="41">
        <v>79.0</v>
      </c>
      <c r="B83" s="53" t="s">
        <v>1525</v>
      </c>
      <c r="C83" s="53">
        <v>51976.0</v>
      </c>
      <c r="D83" s="53" t="s">
        <v>412</v>
      </c>
      <c r="E83" s="27"/>
      <c r="F83" s="28"/>
      <c r="G83" s="29"/>
      <c r="H83" s="30"/>
      <c r="I83" s="31">
        <v>8080.0</v>
      </c>
      <c r="J83" s="32"/>
      <c r="K83" s="33"/>
      <c r="L83" s="17">
        <v>8080.0</v>
      </c>
      <c r="M83" s="18">
        <f t="shared" si="1"/>
        <v>0</v>
      </c>
    </row>
    <row r="84">
      <c r="A84" s="41">
        <v>80.0</v>
      </c>
      <c r="B84" s="53" t="s">
        <v>1526</v>
      </c>
      <c r="C84" s="53">
        <v>52947.0</v>
      </c>
      <c r="D84" s="53" t="s">
        <v>1527</v>
      </c>
      <c r="E84" s="27"/>
      <c r="F84" s="28"/>
      <c r="G84" s="29"/>
      <c r="H84" s="30">
        <v>300.0</v>
      </c>
      <c r="I84" s="31"/>
      <c r="J84" s="32"/>
      <c r="K84" s="33"/>
      <c r="L84" s="17">
        <v>300.0</v>
      </c>
      <c r="M84" s="18">
        <f t="shared" si="1"/>
        <v>0</v>
      </c>
    </row>
    <row r="85">
      <c r="A85" s="41">
        <v>81.0</v>
      </c>
      <c r="B85" s="53" t="s">
        <v>1528</v>
      </c>
      <c r="C85" s="53">
        <v>52775.0</v>
      </c>
      <c r="D85" s="53" t="s">
        <v>1519</v>
      </c>
      <c r="E85" s="27"/>
      <c r="F85" s="28"/>
      <c r="G85" s="29"/>
      <c r="H85" s="30"/>
      <c r="I85" s="31">
        <v>300.0</v>
      </c>
      <c r="J85" s="32"/>
      <c r="K85" s="33"/>
      <c r="L85" s="17">
        <v>300.0</v>
      </c>
      <c r="M85" s="18">
        <f t="shared" si="1"/>
        <v>0</v>
      </c>
    </row>
    <row r="86">
      <c r="A86" s="41">
        <v>82.0</v>
      </c>
      <c r="B86" s="53" t="s">
        <v>1529</v>
      </c>
      <c r="C86" s="53">
        <v>52947.0</v>
      </c>
      <c r="D86" s="53" t="s">
        <v>1527</v>
      </c>
      <c r="E86" s="27"/>
      <c r="F86" s="28"/>
      <c r="G86" s="29"/>
      <c r="H86" s="30">
        <v>300.0</v>
      </c>
      <c r="I86" s="31"/>
      <c r="J86" s="32"/>
      <c r="K86" s="33"/>
      <c r="L86" s="17">
        <v>300.0</v>
      </c>
      <c r="M86" s="18">
        <f t="shared" si="1"/>
        <v>0</v>
      </c>
    </row>
    <row r="87">
      <c r="A87" s="41">
        <v>83.0</v>
      </c>
      <c r="B87" s="53" t="s">
        <v>1530</v>
      </c>
      <c r="C87" s="53">
        <v>51406.0</v>
      </c>
      <c r="D87" s="53" t="s">
        <v>18</v>
      </c>
      <c r="E87" s="27"/>
      <c r="F87" s="28"/>
      <c r="G87" s="29"/>
      <c r="H87" s="30"/>
      <c r="I87" s="31">
        <v>15000.0</v>
      </c>
      <c r="J87" s="32"/>
      <c r="K87" s="33"/>
      <c r="L87" s="17">
        <v>15000.0</v>
      </c>
      <c r="M87" s="18">
        <f t="shared" si="1"/>
        <v>0</v>
      </c>
    </row>
    <row r="88">
      <c r="A88" s="41">
        <v>84.0</v>
      </c>
      <c r="B88" s="53" t="s">
        <v>1531</v>
      </c>
      <c r="C88" s="53">
        <v>50595.0</v>
      </c>
      <c r="D88" s="53" t="s">
        <v>158</v>
      </c>
      <c r="E88" s="27"/>
      <c r="F88" s="37">
        <v>40000.0</v>
      </c>
      <c r="G88" s="29"/>
      <c r="H88" s="30"/>
      <c r="I88" s="31"/>
      <c r="J88" s="32"/>
      <c r="K88" s="33"/>
      <c r="L88" s="17">
        <v>40000.0</v>
      </c>
      <c r="M88" s="18">
        <f t="shared" si="1"/>
        <v>0</v>
      </c>
    </row>
    <row r="89">
      <c r="A89" s="41">
        <v>85.0</v>
      </c>
      <c r="B89" s="53" t="s">
        <v>1532</v>
      </c>
      <c r="C89" s="53">
        <v>10001.0</v>
      </c>
      <c r="D89" s="53" t="s">
        <v>218</v>
      </c>
      <c r="E89" s="38">
        <v>600.0</v>
      </c>
      <c r="F89" s="28"/>
      <c r="G89" s="29"/>
      <c r="H89" s="30"/>
      <c r="I89" s="31"/>
      <c r="J89" s="32"/>
      <c r="K89" s="33"/>
      <c r="L89" s="17">
        <v>600.0</v>
      </c>
      <c r="M89" s="18">
        <f t="shared" si="1"/>
        <v>0</v>
      </c>
    </row>
    <row r="90">
      <c r="A90" s="41">
        <v>86.0</v>
      </c>
      <c r="B90" s="53" t="s">
        <v>1533</v>
      </c>
      <c r="C90" s="53">
        <v>50595.0</v>
      </c>
      <c r="D90" s="53" t="s">
        <v>158</v>
      </c>
      <c r="E90" s="27"/>
      <c r="F90" s="37">
        <v>1250.0</v>
      </c>
      <c r="G90" s="29"/>
      <c r="H90" s="30"/>
      <c r="I90" s="31"/>
      <c r="J90" s="32"/>
      <c r="K90" s="33"/>
      <c r="L90" s="17">
        <v>1250.0</v>
      </c>
      <c r="M90" s="18">
        <f t="shared" si="1"/>
        <v>0</v>
      </c>
    </row>
    <row r="91">
      <c r="A91" s="41">
        <v>87.0</v>
      </c>
      <c r="B91" s="53" t="s">
        <v>1534</v>
      </c>
      <c r="C91" s="53">
        <v>50596.0</v>
      </c>
      <c r="D91" s="53" t="s">
        <v>493</v>
      </c>
      <c r="E91" s="27"/>
      <c r="F91" s="28"/>
      <c r="G91" s="29"/>
      <c r="H91" s="30">
        <v>17500.0</v>
      </c>
      <c r="I91" s="31"/>
      <c r="J91" s="32"/>
      <c r="K91" s="33"/>
      <c r="L91" s="17">
        <v>17500.0</v>
      </c>
      <c r="M91" s="18">
        <f t="shared" si="1"/>
        <v>0</v>
      </c>
    </row>
    <row r="92">
      <c r="A92" s="41">
        <v>88.0</v>
      </c>
      <c r="B92" s="53" t="s">
        <v>1535</v>
      </c>
      <c r="C92" s="53">
        <v>50821.0</v>
      </c>
      <c r="D92" s="53" t="s">
        <v>465</v>
      </c>
      <c r="E92" s="27"/>
      <c r="F92" s="37">
        <v>15000.0</v>
      </c>
      <c r="G92" s="29"/>
      <c r="H92" s="30"/>
      <c r="I92" s="31"/>
      <c r="J92" s="32"/>
      <c r="K92" s="33"/>
      <c r="L92" s="17">
        <v>15000.0</v>
      </c>
      <c r="M92" s="18">
        <f t="shared" si="1"/>
        <v>0</v>
      </c>
    </row>
    <row r="93">
      <c r="A93" s="41">
        <v>89.0</v>
      </c>
      <c r="B93" s="53" t="s">
        <v>1536</v>
      </c>
      <c r="C93" s="53">
        <v>52197.0</v>
      </c>
      <c r="D93" s="53" t="s">
        <v>1505</v>
      </c>
      <c r="E93" s="27"/>
      <c r="F93" s="37">
        <v>5850.0</v>
      </c>
      <c r="G93" s="29"/>
      <c r="H93" s="30"/>
      <c r="I93" s="31"/>
      <c r="J93" s="32"/>
      <c r="K93" s="33"/>
      <c r="L93" s="17">
        <v>5850.0</v>
      </c>
      <c r="M93" s="18">
        <f t="shared" si="1"/>
        <v>0</v>
      </c>
    </row>
    <row r="94">
      <c r="A94" s="41">
        <v>90.0</v>
      </c>
      <c r="B94" s="53" t="s">
        <v>1537</v>
      </c>
      <c r="C94" s="53">
        <v>10001.0</v>
      </c>
      <c r="D94" s="53" t="s">
        <v>218</v>
      </c>
      <c r="E94" s="27"/>
      <c r="F94" s="37">
        <v>3600.0</v>
      </c>
      <c r="G94" s="29"/>
      <c r="H94" s="30"/>
      <c r="I94" s="31"/>
      <c r="J94" s="32"/>
      <c r="K94" s="33"/>
      <c r="L94" s="17">
        <v>3600.0</v>
      </c>
      <c r="M94" s="18">
        <f t="shared" si="1"/>
        <v>0</v>
      </c>
    </row>
    <row r="95">
      <c r="A95" s="41">
        <v>91.0</v>
      </c>
      <c r="B95" s="53" t="s">
        <v>1538</v>
      </c>
      <c r="C95" s="53">
        <v>50148.0</v>
      </c>
      <c r="D95" s="53" t="s">
        <v>244</v>
      </c>
      <c r="E95" s="27"/>
      <c r="F95" s="28"/>
      <c r="G95" s="39">
        <v>300.0</v>
      </c>
      <c r="H95" s="30"/>
      <c r="I95" s="31"/>
      <c r="J95" s="32"/>
      <c r="K95" s="33"/>
      <c r="L95" s="17">
        <v>300.0</v>
      </c>
      <c r="M95" s="18">
        <f t="shared" si="1"/>
        <v>0</v>
      </c>
    </row>
    <row r="96">
      <c r="A96" s="41">
        <v>92.0</v>
      </c>
      <c r="B96" s="53" t="s">
        <v>1539</v>
      </c>
      <c r="C96" s="53">
        <v>51017.0</v>
      </c>
      <c r="D96" s="53" t="s">
        <v>659</v>
      </c>
      <c r="E96" s="38"/>
      <c r="F96" s="37"/>
      <c r="G96" s="39">
        <v>2100.0</v>
      </c>
      <c r="H96" s="30"/>
      <c r="I96" s="31"/>
      <c r="J96" s="32"/>
      <c r="K96" s="33"/>
      <c r="L96" s="17">
        <v>2100.0</v>
      </c>
      <c r="M96" s="18">
        <f t="shared" si="1"/>
        <v>0</v>
      </c>
    </row>
    <row r="97">
      <c r="A97" s="41">
        <v>93.0</v>
      </c>
      <c r="B97" s="53" t="s">
        <v>1540</v>
      </c>
      <c r="C97" s="53">
        <v>49953.0</v>
      </c>
      <c r="D97" s="53" t="s">
        <v>242</v>
      </c>
      <c r="E97" s="38"/>
      <c r="F97" s="37"/>
      <c r="G97" s="39">
        <v>20350.0</v>
      </c>
      <c r="H97" s="30"/>
      <c r="I97" s="31"/>
      <c r="J97" s="32"/>
      <c r="K97" s="33"/>
      <c r="L97" s="17">
        <v>20350.0</v>
      </c>
      <c r="M97" s="18">
        <f t="shared" si="1"/>
        <v>0</v>
      </c>
    </row>
    <row r="98">
      <c r="A98" s="41">
        <v>94.0</v>
      </c>
      <c r="B98" s="53" t="s">
        <v>1541</v>
      </c>
      <c r="C98" s="53">
        <v>54774.0</v>
      </c>
      <c r="D98" s="53" t="s">
        <v>1542</v>
      </c>
      <c r="E98" s="27"/>
      <c r="F98" s="28"/>
      <c r="G98" s="39">
        <v>5000.0</v>
      </c>
      <c r="H98" s="30"/>
      <c r="I98" s="31"/>
      <c r="J98" s="32"/>
      <c r="K98" s="33"/>
      <c r="L98" s="17">
        <v>5000.0</v>
      </c>
      <c r="M98" s="18">
        <f t="shared" si="1"/>
        <v>0</v>
      </c>
    </row>
    <row r="99">
      <c r="A99" s="41">
        <v>95.0</v>
      </c>
      <c r="B99" s="53" t="s">
        <v>1543</v>
      </c>
      <c r="C99" s="53">
        <v>54774.0</v>
      </c>
      <c r="D99" s="53" t="s">
        <v>1542</v>
      </c>
      <c r="E99" s="27"/>
      <c r="F99" s="28"/>
      <c r="G99" s="39">
        <v>5000.0</v>
      </c>
      <c r="H99" s="30"/>
      <c r="I99" s="31"/>
      <c r="J99" s="32"/>
      <c r="K99" s="33"/>
      <c r="L99" s="17">
        <v>5000.0</v>
      </c>
      <c r="M99" s="18">
        <f t="shared" si="1"/>
        <v>0</v>
      </c>
    </row>
    <row r="100">
      <c r="A100" s="41">
        <v>96.0</v>
      </c>
      <c r="B100" s="53" t="s">
        <v>1544</v>
      </c>
      <c r="C100" s="53">
        <v>42046.0</v>
      </c>
      <c r="D100" s="53" t="s">
        <v>24</v>
      </c>
      <c r="E100" s="27"/>
      <c r="F100" s="28"/>
      <c r="G100" s="39">
        <v>15300.0</v>
      </c>
      <c r="H100" s="30"/>
      <c r="I100" s="31"/>
      <c r="J100" s="32"/>
      <c r="K100" s="33"/>
      <c r="L100" s="17">
        <v>15300.0</v>
      </c>
      <c r="M100" s="18">
        <f t="shared" si="1"/>
        <v>0</v>
      </c>
    </row>
    <row r="101">
      <c r="A101" s="41">
        <v>97.0</v>
      </c>
      <c r="B101" s="46"/>
      <c r="C101" s="46"/>
      <c r="D101" s="46"/>
      <c r="E101" s="27"/>
      <c r="F101" s="28"/>
      <c r="G101" s="29"/>
      <c r="H101" s="30"/>
      <c r="I101" s="31"/>
      <c r="J101" s="32"/>
      <c r="K101" s="33"/>
      <c r="L101" s="47"/>
      <c r="M101" s="18">
        <f t="shared" si="1"/>
        <v>0</v>
      </c>
    </row>
    <row r="102">
      <c r="A102" s="41"/>
      <c r="B102" s="45"/>
      <c r="C102" s="45"/>
      <c r="D102" s="44"/>
      <c r="E102" s="22">
        <f t="shared" ref="E102:J102" si="2">SUM(E5:E101)</f>
        <v>68290</v>
      </c>
      <c r="F102" s="22">
        <f t="shared" si="2"/>
        <v>92400</v>
      </c>
      <c r="G102" s="22">
        <f t="shared" si="2"/>
        <v>48050</v>
      </c>
      <c r="H102" s="22">
        <f t="shared" si="2"/>
        <v>467622</v>
      </c>
      <c r="I102" s="22">
        <f t="shared" si="2"/>
        <v>383610</v>
      </c>
      <c r="J102" s="22">
        <f t="shared" si="2"/>
        <v>0</v>
      </c>
      <c r="K102" s="22">
        <f>SUM(K23:K101)</f>
        <v>0</v>
      </c>
      <c r="L102" s="22">
        <f t="shared" ref="L102:M102" si="3">SUM(L5:L101)</f>
        <v>1059972</v>
      </c>
      <c r="M102" s="18">
        <f t="shared" si="3"/>
        <v>0</v>
      </c>
    </row>
    <row r="103">
      <c r="A103" s="23"/>
      <c r="B103" s="23"/>
      <c r="C103" s="23"/>
      <c r="D103" s="23"/>
      <c r="E103" s="24">
        <f>SUM(K102:M102)</f>
        <v>1059972</v>
      </c>
      <c r="F103" s="6"/>
      <c r="G103" s="6"/>
      <c r="H103" s="6"/>
      <c r="I103" s="6"/>
      <c r="J103" s="6"/>
      <c r="K103" s="7"/>
      <c r="L103" s="25"/>
      <c r="M103" s="23"/>
    </row>
    <row r="104">
      <c r="L104" s="40" t="s">
        <v>254</v>
      </c>
    </row>
  </sheetData>
  <mergeCells count="14">
    <mergeCell ref="F3:G3"/>
    <mergeCell ref="H3:I3"/>
    <mergeCell ref="J3:J4"/>
    <mergeCell ref="K3:K4"/>
    <mergeCell ref="E103:K103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5"/>
    <col customWidth="1" min="2" max="2" width="24.75"/>
    <col customWidth="1" min="4" max="4" width="43.25"/>
    <col customWidth="1" min="5" max="5" width="9.5"/>
  </cols>
  <sheetData>
    <row r="1">
      <c r="A1" s="1" t="s">
        <v>1545</v>
      </c>
    </row>
    <row r="2">
      <c r="A2" s="2" t="s">
        <v>1</v>
      </c>
      <c r="B2" s="3" t="s">
        <v>2</v>
      </c>
      <c r="C2" s="2" t="s">
        <v>3</v>
      </c>
      <c r="D2" s="4" t="s">
        <v>4</v>
      </c>
      <c r="E2" s="5" t="s">
        <v>5</v>
      </c>
      <c r="F2" s="6"/>
      <c r="G2" s="6"/>
      <c r="H2" s="6"/>
      <c r="I2" s="6"/>
      <c r="J2" s="6"/>
      <c r="K2" s="6"/>
      <c r="L2" s="6"/>
      <c r="M2" s="7"/>
    </row>
    <row r="3">
      <c r="A3" s="8"/>
      <c r="B3" s="8"/>
      <c r="C3" s="8"/>
      <c r="D3" s="8"/>
      <c r="E3" s="2" t="s">
        <v>6</v>
      </c>
      <c r="F3" s="5" t="s">
        <v>7</v>
      </c>
      <c r="G3" s="7"/>
      <c r="H3" s="5" t="s">
        <v>8</v>
      </c>
      <c r="I3" s="7"/>
      <c r="J3" s="2" t="s">
        <v>9</v>
      </c>
      <c r="K3" s="4" t="s">
        <v>10</v>
      </c>
      <c r="L3" s="2" t="s">
        <v>11</v>
      </c>
      <c r="M3" s="2" t="s">
        <v>12</v>
      </c>
    </row>
    <row r="4">
      <c r="A4" s="9"/>
      <c r="B4" s="9"/>
      <c r="C4" s="9"/>
      <c r="D4" s="9"/>
      <c r="E4" s="9"/>
      <c r="F4" s="10" t="s">
        <v>13</v>
      </c>
      <c r="G4" s="10" t="s">
        <v>14</v>
      </c>
      <c r="H4" s="10" t="s">
        <v>15</v>
      </c>
      <c r="I4" s="11" t="s">
        <v>16</v>
      </c>
      <c r="J4" s="9"/>
      <c r="K4" s="9"/>
      <c r="L4" s="9"/>
      <c r="M4" s="9"/>
    </row>
    <row r="5">
      <c r="A5" s="41">
        <v>1.0</v>
      </c>
      <c r="B5" s="46" t="s">
        <v>1546</v>
      </c>
      <c r="C5" s="46">
        <v>34956.0</v>
      </c>
      <c r="D5" s="46" t="s">
        <v>1547</v>
      </c>
      <c r="E5" s="27"/>
      <c r="F5" s="28"/>
      <c r="G5" s="29"/>
      <c r="H5" s="30"/>
      <c r="I5" s="31">
        <v>3100.0</v>
      </c>
      <c r="J5" s="32"/>
      <c r="K5" s="50"/>
      <c r="L5" s="47">
        <v>3100.0</v>
      </c>
      <c r="M5" s="18">
        <f t="shared" ref="M5:M47" si="1">SUM(E5+F5+G5+H5+I5+J5+K5-L5)</f>
        <v>0</v>
      </c>
    </row>
    <row r="6">
      <c r="A6" s="41">
        <v>2.0</v>
      </c>
      <c r="B6" s="46" t="s">
        <v>1548</v>
      </c>
      <c r="C6" s="46">
        <v>52727.0</v>
      </c>
      <c r="D6" s="46" t="s">
        <v>798</v>
      </c>
      <c r="E6" s="27"/>
      <c r="F6" s="37"/>
      <c r="G6" s="29"/>
      <c r="H6" s="30">
        <v>5150.0</v>
      </c>
      <c r="I6" s="31"/>
      <c r="J6" s="35"/>
      <c r="K6" s="33"/>
      <c r="L6" s="47">
        <v>5150.0</v>
      </c>
      <c r="M6" s="18">
        <f t="shared" si="1"/>
        <v>0</v>
      </c>
    </row>
    <row r="7">
      <c r="A7" s="41">
        <v>3.0</v>
      </c>
      <c r="B7" s="46" t="s">
        <v>1549</v>
      </c>
      <c r="C7" s="46">
        <v>52373.0</v>
      </c>
      <c r="D7" s="46" t="s">
        <v>76</v>
      </c>
      <c r="E7" s="27"/>
      <c r="F7" s="28"/>
      <c r="G7" s="29"/>
      <c r="H7" s="30"/>
      <c r="I7" s="31">
        <v>15000.0</v>
      </c>
      <c r="J7" s="32"/>
      <c r="K7" s="33"/>
      <c r="L7" s="47">
        <v>15000.0</v>
      </c>
      <c r="M7" s="18">
        <f t="shared" si="1"/>
        <v>0</v>
      </c>
    </row>
    <row r="8">
      <c r="A8" s="41">
        <v>4.0</v>
      </c>
      <c r="B8" s="46" t="s">
        <v>1550</v>
      </c>
      <c r="C8" s="46">
        <v>50148.0</v>
      </c>
      <c r="D8" s="46" t="s">
        <v>244</v>
      </c>
      <c r="E8" s="27"/>
      <c r="F8" s="28"/>
      <c r="G8" s="29"/>
      <c r="H8" s="30"/>
      <c r="I8" s="31">
        <v>1427.0</v>
      </c>
      <c r="J8" s="32"/>
      <c r="K8" s="33"/>
      <c r="L8" s="47">
        <v>1427.0</v>
      </c>
      <c r="M8" s="18">
        <f t="shared" si="1"/>
        <v>0</v>
      </c>
    </row>
    <row r="9">
      <c r="A9" s="41">
        <v>5.0</v>
      </c>
      <c r="B9" s="46" t="s">
        <v>1551</v>
      </c>
      <c r="C9" s="46">
        <v>42095.0</v>
      </c>
      <c r="D9" s="46" t="s">
        <v>1552</v>
      </c>
      <c r="E9" s="27"/>
      <c r="F9" s="28"/>
      <c r="G9" s="29"/>
      <c r="H9" s="30">
        <v>3600.0</v>
      </c>
      <c r="I9" s="31"/>
      <c r="J9" s="32"/>
      <c r="K9" s="33"/>
      <c r="L9" s="47">
        <v>3600.0</v>
      </c>
      <c r="M9" s="18">
        <f t="shared" si="1"/>
        <v>0</v>
      </c>
    </row>
    <row r="10">
      <c r="A10" s="41">
        <v>6.0</v>
      </c>
      <c r="B10" s="46" t="s">
        <v>1553</v>
      </c>
      <c r="C10" s="46">
        <v>50871.0</v>
      </c>
      <c r="D10" s="46" t="s">
        <v>105</v>
      </c>
      <c r="E10" s="27"/>
      <c r="F10" s="28"/>
      <c r="G10" s="29"/>
      <c r="H10" s="30">
        <v>53200.0</v>
      </c>
      <c r="I10" s="31"/>
      <c r="J10" s="32"/>
      <c r="K10" s="33"/>
      <c r="L10" s="47">
        <v>53200.0</v>
      </c>
      <c r="M10" s="18">
        <f t="shared" si="1"/>
        <v>0</v>
      </c>
    </row>
    <row r="11">
      <c r="A11" s="41">
        <v>7.0</v>
      </c>
      <c r="B11" s="46" t="s">
        <v>1554</v>
      </c>
      <c r="C11" s="46">
        <v>54398.0</v>
      </c>
      <c r="D11" s="46" t="s">
        <v>1555</v>
      </c>
      <c r="E11" s="27"/>
      <c r="F11" s="28"/>
      <c r="G11" s="29"/>
      <c r="H11" s="30"/>
      <c r="I11" s="31">
        <v>15000.0</v>
      </c>
      <c r="J11" s="35"/>
      <c r="K11" s="33"/>
      <c r="L11" s="47">
        <v>15000.0</v>
      </c>
      <c r="M11" s="18">
        <f t="shared" si="1"/>
        <v>0</v>
      </c>
    </row>
    <row r="12">
      <c r="A12" s="41">
        <v>8.0</v>
      </c>
      <c r="B12" s="46" t="s">
        <v>1556</v>
      </c>
      <c r="C12" s="46">
        <v>29621.0</v>
      </c>
      <c r="D12" s="46" t="s">
        <v>174</v>
      </c>
      <c r="E12" s="27"/>
      <c r="F12" s="28"/>
      <c r="G12" s="29"/>
      <c r="H12" s="30"/>
      <c r="I12" s="31">
        <v>30000.0</v>
      </c>
      <c r="J12" s="32"/>
      <c r="K12" s="33"/>
      <c r="L12" s="47">
        <v>30000.0</v>
      </c>
      <c r="M12" s="18">
        <f t="shared" si="1"/>
        <v>0</v>
      </c>
    </row>
    <row r="13">
      <c r="A13" s="41">
        <v>9.0</v>
      </c>
      <c r="B13" s="46" t="s">
        <v>1557</v>
      </c>
      <c r="C13" s="46">
        <v>41245.0</v>
      </c>
      <c r="D13" s="46" t="s">
        <v>729</v>
      </c>
      <c r="E13" s="27"/>
      <c r="F13" s="28"/>
      <c r="G13" s="29"/>
      <c r="H13" s="30">
        <v>2650.0</v>
      </c>
      <c r="I13" s="31"/>
      <c r="J13" s="32"/>
      <c r="K13" s="33"/>
      <c r="L13" s="47">
        <v>2650.0</v>
      </c>
      <c r="M13" s="18">
        <f t="shared" si="1"/>
        <v>0</v>
      </c>
    </row>
    <row r="14">
      <c r="A14" s="41">
        <v>10.0</v>
      </c>
      <c r="B14" s="46" t="s">
        <v>1558</v>
      </c>
      <c r="C14" s="46">
        <v>36769.0</v>
      </c>
      <c r="D14" s="46" t="s">
        <v>276</v>
      </c>
      <c r="E14" s="27"/>
      <c r="F14" s="37"/>
      <c r="G14" s="29"/>
      <c r="H14" s="30">
        <v>3600.0</v>
      </c>
      <c r="I14" s="31"/>
      <c r="J14" s="32"/>
      <c r="K14" s="33"/>
      <c r="L14" s="47">
        <v>3600.0</v>
      </c>
      <c r="M14" s="18">
        <f t="shared" si="1"/>
        <v>0</v>
      </c>
    </row>
    <row r="15">
      <c r="A15" s="41">
        <v>11.0</v>
      </c>
      <c r="B15" s="46" t="s">
        <v>1559</v>
      </c>
      <c r="C15" s="46">
        <v>48854.0</v>
      </c>
      <c r="D15" s="46" t="s">
        <v>301</v>
      </c>
      <c r="E15" s="27"/>
      <c r="F15" s="37"/>
      <c r="G15" s="29"/>
      <c r="H15" s="30"/>
      <c r="I15" s="31">
        <v>5000.0</v>
      </c>
      <c r="J15" s="32"/>
      <c r="K15" s="33"/>
      <c r="L15" s="47">
        <v>5000.0</v>
      </c>
      <c r="M15" s="18">
        <f t="shared" si="1"/>
        <v>0</v>
      </c>
    </row>
    <row r="16">
      <c r="A16" s="41">
        <v>12.0</v>
      </c>
      <c r="B16" s="46" t="s">
        <v>1560</v>
      </c>
      <c r="C16" s="46">
        <v>55446.0</v>
      </c>
      <c r="D16" s="46" t="s">
        <v>1127</v>
      </c>
      <c r="E16" s="27"/>
      <c r="F16" s="28"/>
      <c r="G16" s="29"/>
      <c r="H16" s="30">
        <v>5200.0</v>
      </c>
      <c r="I16" s="31"/>
      <c r="J16" s="35"/>
      <c r="K16" s="33"/>
      <c r="L16" s="47">
        <v>5200.0</v>
      </c>
      <c r="M16" s="18">
        <f t="shared" si="1"/>
        <v>0</v>
      </c>
    </row>
    <row r="17">
      <c r="A17" s="41">
        <v>13.0</v>
      </c>
      <c r="B17" s="46" t="s">
        <v>1561</v>
      </c>
      <c r="C17" s="46">
        <v>10001.0</v>
      </c>
      <c r="D17" s="46" t="s">
        <v>218</v>
      </c>
      <c r="E17" s="27"/>
      <c r="F17" s="28"/>
      <c r="G17" s="29"/>
      <c r="H17" s="30"/>
      <c r="I17" s="31">
        <v>12500.0</v>
      </c>
      <c r="J17" s="35"/>
      <c r="K17" s="33"/>
      <c r="L17" s="47">
        <v>12500.0</v>
      </c>
      <c r="M17" s="18">
        <f t="shared" si="1"/>
        <v>0</v>
      </c>
    </row>
    <row r="18">
      <c r="A18" s="41">
        <v>14.0</v>
      </c>
      <c r="B18" s="46" t="s">
        <v>1562</v>
      </c>
      <c r="C18" s="46">
        <v>52032.0</v>
      </c>
      <c r="D18" s="46" t="s">
        <v>233</v>
      </c>
      <c r="E18" s="27"/>
      <c r="F18" s="37"/>
      <c r="G18" s="29"/>
      <c r="H18" s="30">
        <v>20000.0</v>
      </c>
      <c r="I18" s="31"/>
      <c r="J18" s="32"/>
      <c r="K18" s="33"/>
      <c r="L18" s="47">
        <v>20000.0</v>
      </c>
      <c r="M18" s="18">
        <f t="shared" si="1"/>
        <v>0</v>
      </c>
    </row>
    <row r="19">
      <c r="A19" s="41">
        <v>15.0</v>
      </c>
      <c r="B19" s="46" t="s">
        <v>1563</v>
      </c>
      <c r="C19" s="46">
        <v>50074.0</v>
      </c>
      <c r="D19" s="46" t="s">
        <v>1564</v>
      </c>
      <c r="E19" s="27"/>
      <c r="F19" s="28"/>
      <c r="G19" s="29"/>
      <c r="H19" s="30">
        <v>453.0</v>
      </c>
      <c r="I19" s="31"/>
      <c r="J19" s="32"/>
      <c r="K19" s="33"/>
      <c r="L19" s="47">
        <v>453.0</v>
      </c>
      <c r="M19" s="18">
        <f t="shared" si="1"/>
        <v>0</v>
      </c>
    </row>
    <row r="20">
      <c r="A20" s="41">
        <v>16.0</v>
      </c>
      <c r="B20" s="46" t="s">
        <v>1565</v>
      </c>
      <c r="C20" s="46">
        <v>10001.0</v>
      </c>
      <c r="D20" s="46" t="s">
        <v>218</v>
      </c>
      <c r="E20" s="27"/>
      <c r="F20" s="28"/>
      <c r="G20" s="29"/>
      <c r="H20" s="30">
        <v>12500.0</v>
      </c>
      <c r="I20" s="31"/>
      <c r="J20" s="32"/>
      <c r="K20" s="33"/>
      <c r="L20" s="47">
        <v>12500.0</v>
      </c>
      <c r="M20" s="18">
        <f t="shared" si="1"/>
        <v>0</v>
      </c>
    </row>
    <row r="21">
      <c r="A21" s="41">
        <v>17.0</v>
      </c>
      <c r="B21" s="46" t="s">
        <v>1566</v>
      </c>
      <c r="C21" s="46">
        <v>25541.0</v>
      </c>
      <c r="D21" s="46" t="s">
        <v>1042</v>
      </c>
      <c r="E21" s="27"/>
      <c r="F21" s="37">
        <v>2500.0</v>
      </c>
      <c r="G21" s="29"/>
      <c r="H21" s="30"/>
      <c r="I21" s="31"/>
      <c r="J21" s="32"/>
      <c r="K21" s="33"/>
      <c r="L21" s="47">
        <v>2500.0</v>
      </c>
      <c r="M21" s="18">
        <f t="shared" si="1"/>
        <v>0</v>
      </c>
    </row>
    <row r="22">
      <c r="A22" s="41">
        <v>18.0</v>
      </c>
      <c r="B22" s="46" t="s">
        <v>1567</v>
      </c>
      <c r="C22" s="46">
        <v>43380.0</v>
      </c>
      <c r="D22" s="46" t="s">
        <v>61</v>
      </c>
      <c r="E22" s="27"/>
      <c r="F22" s="37"/>
      <c r="G22" s="29"/>
      <c r="H22" s="30">
        <v>9000.0</v>
      </c>
      <c r="I22" s="31"/>
      <c r="J22" s="32"/>
      <c r="K22" s="33"/>
      <c r="L22" s="47">
        <v>9000.0</v>
      </c>
      <c r="M22" s="18">
        <f t="shared" si="1"/>
        <v>0</v>
      </c>
    </row>
    <row r="23">
      <c r="A23" s="41">
        <v>19.0</v>
      </c>
      <c r="B23" s="46" t="s">
        <v>1568</v>
      </c>
      <c r="C23" s="46">
        <v>50436.0</v>
      </c>
      <c r="D23" s="46" t="s">
        <v>421</v>
      </c>
      <c r="E23" s="38">
        <v>200.0</v>
      </c>
      <c r="F23" s="28"/>
      <c r="G23" s="29"/>
      <c r="H23" s="30"/>
      <c r="I23" s="31"/>
      <c r="J23" s="32"/>
      <c r="K23" s="33"/>
      <c r="L23" s="47">
        <v>200.0</v>
      </c>
      <c r="M23" s="18">
        <f t="shared" si="1"/>
        <v>0</v>
      </c>
    </row>
    <row r="24">
      <c r="A24" s="41">
        <v>20.0</v>
      </c>
      <c r="B24" s="46" t="s">
        <v>1569</v>
      </c>
      <c r="C24" s="46">
        <v>43349.0</v>
      </c>
      <c r="D24" s="46" t="s">
        <v>916</v>
      </c>
      <c r="E24" s="27"/>
      <c r="F24" s="28"/>
      <c r="G24" s="29"/>
      <c r="H24" s="30">
        <v>10000.0</v>
      </c>
      <c r="I24" s="31"/>
      <c r="J24" s="32"/>
      <c r="K24" s="33"/>
      <c r="L24" s="47">
        <v>10000.0</v>
      </c>
      <c r="M24" s="18">
        <f t="shared" si="1"/>
        <v>0</v>
      </c>
    </row>
    <row r="25">
      <c r="A25" s="41">
        <v>21.0</v>
      </c>
      <c r="B25" s="46" t="s">
        <v>1570</v>
      </c>
      <c r="C25" s="46">
        <v>43349.0</v>
      </c>
      <c r="D25" s="46" t="s">
        <v>916</v>
      </c>
      <c r="E25" s="27"/>
      <c r="F25" s="37"/>
      <c r="G25" s="29"/>
      <c r="H25" s="30">
        <v>2595.0</v>
      </c>
      <c r="I25" s="31"/>
      <c r="J25" s="32"/>
      <c r="K25" s="33"/>
      <c r="L25" s="47">
        <v>2595.0</v>
      </c>
      <c r="M25" s="18">
        <f t="shared" si="1"/>
        <v>0</v>
      </c>
    </row>
    <row r="26">
      <c r="A26" s="41">
        <v>22.0</v>
      </c>
      <c r="B26" s="46" t="s">
        <v>1571</v>
      </c>
      <c r="C26" s="46">
        <v>55562.0</v>
      </c>
      <c r="D26" s="46" t="s">
        <v>1195</v>
      </c>
      <c r="E26" s="38"/>
      <c r="F26" s="28"/>
      <c r="G26" s="29"/>
      <c r="H26" s="30">
        <v>15000.0</v>
      </c>
      <c r="I26" s="31"/>
      <c r="J26" s="32"/>
      <c r="K26" s="33"/>
      <c r="L26" s="47">
        <v>15000.0</v>
      </c>
      <c r="M26" s="18">
        <f t="shared" si="1"/>
        <v>0</v>
      </c>
    </row>
    <row r="27">
      <c r="A27" s="41">
        <v>23.0</v>
      </c>
      <c r="B27" s="46" t="s">
        <v>1572</v>
      </c>
      <c r="C27" s="46">
        <v>52698.0</v>
      </c>
      <c r="D27" s="46" t="s">
        <v>1573</v>
      </c>
      <c r="E27" s="27"/>
      <c r="F27" s="37"/>
      <c r="G27" s="29"/>
      <c r="H27" s="30">
        <v>5150.0</v>
      </c>
      <c r="I27" s="31"/>
      <c r="J27" s="35"/>
      <c r="K27" s="33"/>
      <c r="L27" s="47">
        <v>5150.0</v>
      </c>
      <c r="M27" s="18">
        <f t="shared" si="1"/>
        <v>0</v>
      </c>
    </row>
    <row r="28">
      <c r="A28" s="41">
        <v>24.0</v>
      </c>
      <c r="B28" s="46" t="s">
        <v>1574</v>
      </c>
      <c r="C28" s="46">
        <v>44390.0</v>
      </c>
      <c r="D28" s="46" t="s">
        <v>1109</v>
      </c>
      <c r="E28" s="38"/>
      <c r="F28" s="28"/>
      <c r="G28" s="29"/>
      <c r="H28" s="30">
        <v>1350.0</v>
      </c>
      <c r="I28" s="31"/>
      <c r="J28" s="32"/>
      <c r="K28" s="33"/>
      <c r="L28" s="47">
        <v>1350.0</v>
      </c>
      <c r="M28" s="18">
        <f t="shared" si="1"/>
        <v>0</v>
      </c>
    </row>
    <row r="29">
      <c r="A29" s="41">
        <v>25.0</v>
      </c>
      <c r="B29" s="46" t="s">
        <v>1575</v>
      </c>
      <c r="C29" s="46">
        <v>21384.0</v>
      </c>
      <c r="D29" s="46" t="s">
        <v>38</v>
      </c>
      <c r="E29" s="38"/>
      <c r="F29" s="37">
        <v>15000.0</v>
      </c>
      <c r="G29" s="29"/>
      <c r="H29" s="30">
        <v>20000.0</v>
      </c>
      <c r="I29" s="31"/>
      <c r="J29" s="32"/>
      <c r="K29" s="33"/>
      <c r="L29" s="47">
        <v>35000.0</v>
      </c>
      <c r="M29" s="18">
        <f t="shared" si="1"/>
        <v>0</v>
      </c>
    </row>
    <row r="30">
      <c r="A30" s="41">
        <v>26.0</v>
      </c>
      <c r="B30" s="46" t="s">
        <v>1576</v>
      </c>
      <c r="C30" s="46">
        <v>51051.0</v>
      </c>
      <c r="D30" s="46" t="s">
        <v>714</v>
      </c>
      <c r="E30" s="27"/>
      <c r="F30" s="28"/>
      <c r="G30" s="29"/>
      <c r="H30" s="30">
        <v>1250.0</v>
      </c>
      <c r="I30" s="31"/>
      <c r="J30" s="35"/>
      <c r="K30" s="33"/>
      <c r="L30" s="47">
        <v>1250.0</v>
      </c>
      <c r="M30" s="18">
        <f t="shared" si="1"/>
        <v>0</v>
      </c>
    </row>
    <row r="31">
      <c r="A31" s="41">
        <v>27.0</v>
      </c>
      <c r="B31" s="46" t="s">
        <v>1577</v>
      </c>
      <c r="C31" s="46">
        <v>54517.0</v>
      </c>
      <c r="D31" s="46" t="s">
        <v>1578</v>
      </c>
      <c r="E31" s="27"/>
      <c r="F31" s="28"/>
      <c r="G31" s="29"/>
      <c r="H31" s="30"/>
      <c r="I31" s="31">
        <v>5150.0</v>
      </c>
      <c r="J31" s="32"/>
      <c r="K31" s="33"/>
      <c r="L31" s="47">
        <v>5150.0</v>
      </c>
      <c r="M31" s="18">
        <f t="shared" si="1"/>
        <v>0</v>
      </c>
    </row>
    <row r="32">
      <c r="A32" s="41">
        <v>28.0</v>
      </c>
      <c r="B32" s="46" t="s">
        <v>1579</v>
      </c>
      <c r="C32" s="46">
        <v>12102.0</v>
      </c>
      <c r="D32" s="46" t="s">
        <v>345</v>
      </c>
      <c r="E32" s="27"/>
      <c r="F32" s="28"/>
      <c r="G32" s="29"/>
      <c r="H32" s="30">
        <v>856.0</v>
      </c>
      <c r="I32" s="31"/>
      <c r="J32" s="32"/>
      <c r="K32" s="33"/>
      <c r="L32" s="47">
        <v>856.0</v>
      </c>
      <c r="M32" s="18">
        <f t="shared" si="1"/>
        <v>0</v>
      </c>
    </row>
    <row r="33">
      <c r="A33" s="41">
        <v>29.0</v>
      </c>
      <c r="B33" s="46" t="s">
        <v>1580</v>
      </c>
      <c r="C33" s="46">
        <v>55403.0</v>
      </c>
      <c r="D33" s="46" t="s">
        <v>1055</v>
      </c>
      <c r="E33" s="27"/>
      <c r="F33" s="37">
        <v>2500.0</v>
      </c>
      <c r="G33" s="39"/>
      <c r="H33" s="30"/>
      <c r="I33" s="31"/>
      <c r="J33" s="32"/>
      <c r="K33" s="33"/>
      <c r="L33" s="47">
        <v>2500.0</v>
      </c>
      <c r="M33" s="18">
        <f t="shared" si="1"/>
        <v>0</v>
      </c>
    </row>
    <row r="34">
      <c r="A34" s="41">
        <v>30.0</v>
      </c>
      <c r="B34" s="46" t="s">
        <v>1581</v>
      </c>
      <c r="C34" s="46">
        <v>28414.0</v>
      </c>
      <c r="D34" s="46" t="s">
        <v>833</v>
      </c>
      <c r="E34" s="27"/>
      <c r="F34" s="37"/>
      <c r="G34" s="39"/>
      <c r="H34" s="30">
        <v>5000.0</v>
      </c>
      <c r="I34" s="31"/>
      <c r="J34" s="32"/>
      <c r="K34" s="33"/>
      <c r="L34" s="47">
        <v>5000.0</v>
      </c>
      <c r="M34" s="18">
        <f t="shared" si="1"/>
        <v>0</v>
      </c>
    </row>
    <row r="35">
      <c r="A35" s="41">
        <v>31.0</v>
      </c>
      <c r="B35" s="46" t="s">
        <v>1582</v>
      </c>
      <c r="C35" s="46">
        <v>36928.0</v>
      </c>
      <c r="D35" s="46" t="s">
        <v>258</v>
      </c>
      <c r="E35" s="27"/>
      <c r="F35" s="28"/>
      <c r="G35" s="29"/>
      <c r="H35" s="30"/>
      <c r="I35" s="31">
        <v>2850.0</v>
      </c>
      <c r="J35" s="35">
        <v>1000.0</v>
      </c>
      <c r="K35" s="33"/>
      <c r="L35" s="47">
        <v>3850.0</v>
      </c>
      <c r="M35" s="18">
        <f t="shared" si="1"/>
        <v>0</v>
      </c>
    </row>
    <row r="36">
      <c r="A36" s="41">
        <v>32.0</v>
      </c>
      <c r="B36" s="46" t="s">
        <v>1583</v>
      </c>
      <c r="C36" s="46">
        <v>21384.0</v>
      </c>
      <c r="D36" s="46" t="s">
        <v>38</v>
      </c>
      <c r="E36" s="27"/>
      <c r="F36" s="28"/>
      <c r="G36" s="29"/>
      <c r="H36" s="30">
        <v>290.0</v>
      </c>
      <c r="I36" s="31"/>
      <c r="J36" s="32"/>
      <c r="K36" s="33"/>
      <c r="L36" s="47">
        <v>290.0</v>
      </c>
      <c r="M36" s="18">
        <f t="shared" si="1"/>
        <v>0</v>
      </c>
    </row>
    <row r="37">
      <c r="A37" s="41">
        <v>33.0</v>
      </c>
      <c r="B37" s="46" t="s">
        <v>1584</v>
      </c>
      <c r="C37" s="46">
        <v>35245.0</v>
      </c>
      <c r="D37" s="46" t="s">
        <v>34</v>
      </c>
      <c r="E37" s="27"/>
      <c r="F37" s="28"/>
      <c r="G37" s="29"/>
      <c r="H37" s="30">
        <v>15000.0</v>
      </c>
      <c r="I37" s="31"/>
      <c r="J37" s="32"/>
      <c r="K37" s="33"/>
      <c r="L37" s="47">
        <v>15000.0</v>
      </c>
      <c r="M37" s="18">
        <f t="shared" si="1"/>
        <v>0</v>
      </c>
    </row>
    <row r="38">
      <c r="A38" s="41">
        <v>34.0</v>
      </c>
      <c r="B38" s="46" t="s">
        <v>1585</v>
      </c>
      <c r="C38" s="46">
        <v>50971.0</v>
      </c>
      <c r="D38" s="46" t="s">
        <v>1586</v>
      </c>
      <c r="E38" s="27"/>
      <c r="F38" s="28"/>
      <c r="G38" s="29"/>
      <c r="H38" s="30"/>
      <c r="I38" s="31">
        <v>1150.0</v>
      </c>
      <c r="J38" s="35"/>
      <c r="K38" s="33"/>
      <c r="L38" s="47">
        <v>1150.0</v>
      </c>
      <c r="M38" s="18">
        <f t="shared" si="1"/>
        <v>0</v>
      </c>
    </row>
    <row r="39">
      <c r="A39" s="41">
        <v>35.0</v>
      </c>
      <c r="B39" s="46" t="s">
        <v>1587</v>
      </c>
      <c r="C39" s="46">
        <v>28414.0</v>
      </c>
      <c r="D39" s="46" t="s">
        <v>833</v>
      </c>
      <c r="E39" s="27"/>
      <c r="F39" s="37">
        <v>3600.0</v>
      </c>
      <c r="G39" s="29"/>
      <c r="H39" s="30"/>
      <c r="I39" s="31"/>
      <c r="J39" s="32"/>
      <c r="K39" s="33"/>
      <c r="L39" s="47">
        <v>3600.0</v>
      </c>
      <c r="M39" s="18">
        <f t="shared" si="1"/>
        <v>0</v>
      </c>
    </row>
    <row r="40">
      <c r="A40" s="41">
        <v>36.0</v>
      </c>
      <c r="B40" s="46" t="s">
        <v>1588</v>
      </c>
      <c r="C40" s="46">
        <v>28414.0</v>
      </c>
      <c r="D40" s="46" t="s">
        <v>833</v>
      </c>
      <c r="E40" s="27"/>
      <c r="F40" s="37">
        <v>2250.0</v>
      </c>
      <c r="G40" s="29"/>
      <c r="H40" s="30"/>
      <c r="I40" s="31"/>
      <c r="J40" s="35"/>
      <c r="K40" s="33"/>
      <c r="L40" s="47">
        <v>2250.0</v>
      </c>
      <c r="M40" s="18">
        <f t="shared" si="1"/>
        <v>0</v>
      </c>
    </row>
    <row r="41">
      <c r="A41" s="41">
        <v>37.0</v>
      </c>
      <c r="B41" s="46" t="s">
        <v>1589</v>
      </c>
      <c r="C41" s="46">
        <v>53455.0</v>
      </c>
      <c r="D41" s="46" t="s">
        <v>65</v>
      </c>
      <c r="E41" s="27"/>
      <c r="F41" s="37">
        <v>2800.0</v>
      </c>
      <c r="G41" s="29"/>
      <c r="H41" s="30"/>
      <c r="I41" s="31"/>
      <c r="J41" s="35"/>
      <c r="K41" s="33"/>
      <c r="L41" s="47">
        <v>2800.0</v>
      </c>
      <c r="M41" s="18">
        <f t="shared" si="1"/>
        <v>0</v>
      </c>
    </row>
    <row r="42">
      <c r="A42" s="41">
        <v>38.0</v>
      </c>
      <c r="B42" s="46" t="s">
        <v>1590</v>
      </c>
      <c r="C42" s="46">
        <v>51040.0</v>
      </c>
      <c r="D42" s="46" t="s">
        <v>196</v>
      </c>
      <c r="E42" s="27"/>
      <c r="F42" s="37">
        <v>1100.0</v>
      </c>
      <c r="G42" s="29"/>
      <c r="H42" s="30">
        <v>150.0</v>
      </c>
      <c r="I42" s="31"/>
      <c r="J42" s="32"/>
      <c r="K42" s="33"/>
      <c r="L42" s="47">
        <v>1250.0</v>
      </c>
      <c r="M42" s="18">
        <f t="shared" si="1"/>
        <v>0</v>
      </c>
    </row>
    <row r="43">
      <c r="A43" s="41">
        <v>39.0</v>
      </c>
      <c r="B43" s="46" t="s">
        <v>1591</v>
      </c>
      <c r="C43" s="46">
        <v>57498.0</v>
      </c>
      <c r="D43" s="46" t="s">
        <v>1592</v>
      </c>
      <c r="E43" s="27"/>
      <c r="F43" s="28"/>
      <c r="G43" s="29"/>
      <c r="H43" s="30">
        <v>1600.0</v>
      </c>
      <c r="I43" s="31"/>
      <c r="J43" s="32"/>
      <c r="K43" s="33"/>
      <c r="L43" s="47">
        <v>1600.0</v>
      </c>
      <c r="M43" s="18">
        <f t="shared" si="1"/>
        <v>0</v>
      </c>
    </row>
    <row r="44">
      <c r="A44" s="41">
        <v>40.0</v>
      </c>
      <c r="B44" s="46" t="s">
        <v>1593</v>
      </c>
      <c r="C44" s="46">
        <v>53259.0</v>
      </c>
      <c r="D44" s="46" t="s">
        <v>1594</v>
      </c>
      <c r="E44" s="27"/>
      <c r="F44" s="28"/>
      <c r="G44" s="29"/>
      <c r="H44" s="30"/>
      <c r="I44" s="31">
        <v>300.0</v>
      </c>
      <c r="J44" s="32"/>
      <c r="K44" s="33"/>
      <c r="L44" s="47">
        <v>300.0</v>
      </c>
      <c r="M44" s="18">
        <f t="shared" si="1"/>
        <v>0</v>
      </c>
    </row>
    <row r="45">
      <c r="A45" s="41">
        <v>41.0</v>
      </c>
      <c r="B45" s="46" t="s">
        <v>1595</v>
      </c>
      <c r="C45" s="46">
        <v>53259.0</v>
      </c>
      <c r="D45" s="46" t="s">
        <v>1594</v>
      </c>
      <c r="E45" s="27"/>
      <c r="F45" s="28"/>
      <c r="G45" s="29"/>
      <c r="H45" s="30"/>
      <c r="I45" s="31">
        <v>3050.0</v>
      </c>
      <c r="J45" s="32"/>
      <c r="K45" s="33"/>
      <c r="L45" s="47">
        <v>3050.0</v>
      </c>
      <c r="M45" s="18">
        <f t="shared" si="1"/>
        <v>0</v>
      </c>
    </row>
    <row r="46">
      <c r="A46" s="41">
        <v>42.0</v>
      </c>
      <c r="B46" s="46" t="s">
        <v>1596</v>
      </c>
      <c r="C46" s="46">
        <v>50221.0</v>
      </c>
      <c r="D46" s="46" t="s">
        <v>252</v>
      </c>
      <c r="E46" s="27"/>
      <c r="F46" s="28"/>
      <c r="G46" s="39">
        <v>2650.0</v>
      </c>
      <c r="H46" s="30"/>
      <c r="I46" s="31"/>
      <c r="J46" s="32"/>
      <c r="K46" s="33"/>
      <c r="L46" s="47">
        <v>2650.0</v>
      </c>
      <c r="M46" s="18">
        <f t="shared" si="1"/>
        <v>0</v>
      </c>
    </row>
    <row r="47">
      <c r="A47" s="41">
        <v>43.0</v>
      </c>
      <c r="B47" s="46" t="s">
        <v>1597</v>
      </c>
      <c r="C47" s="46">
        <v>50221.0</v>
      </c>
      <c r="D47" s="46" t="s">
        <v>252</v>
      </c>
      <c r="E47" s="27"/>
      <c r="F47" s="28"/>
      <c r="G47" s="39">
        <v>2500.0</v>
      </c>
      <c r="H47" s="30"/>
      <c r="I47" s="31"/>
      <c r="J47" s="32"/>
      <c r="K47" s="33"/>
      <c r="L47" s="47">
        <v>2500.0</v>
      </c>
      <c r="M47" s="18">
        <f t="shared" si="1"/>
        <v>0</v>
      </c>
    </row>
    <row r="48">
      <c r="A48" s="41"/>
      <c r="B48" s="45"/>
      <c r="C48" s="45"/>
      <c r="D48" s="44"/>
      <c r="E48" s="22">
        <f t="shared" ref="E48:J48" si="2">SUM(E5:E47)</f>
        <v>200</v>
      </c>
      <c r="F48" s="22">
        <f t="shared" si="2"/>
        <v>29750</v>
      </c>
      <c r="G48" s="22">
        <f t="shared" si="2"/>
        <v>5150</v>
      </c>
      <c r="H48" s="22">
        <f t="shared" si="2"/>
        <v>193594</v>
      </c>
      <c r="I48" s="22">
        <f t="shared" si="2"/>
        <v>94527</v>
      </c>
      <c r="J48" s="22">
        <f t="shared" si="2"/>
        <v>1000</v>
      </c>
      <c r="K48" s="22">
        <f>SUM(K23:K47)</f>
        <v>0</v>
      </c>
      <c r="L48" s="22">
        <f t="shared" ref="L48:M48" si="3">SUM(L5:L47)</f>
        <v>324221</v>
      </c>
      <c r="M48" s="18">
        <f t="shared" si="3"/>
        <v>0</v>
      </c>
    </row>
    <row r="49">
      <c r="A49" s="23"/>
      <c r="B49" s="23"/>
      <c r="C49" s="23"/>
      <c r="D49" s="23"/>
      <c r="E49" s="24">
        <f>SUM(K48:M48)</f>
        <v>324221</v>
      </c>
      <c r="F49" s="6"/>
      <c r="G49" s="6"/>
      <c r="H49" s="6"/>
      <c r="I49" s="6"/>
      <c r="J49" s="6"/>
      <c r="K49" s="7"/>
      <c r="L49" s="25"/>
      <c r="M49" s="23"/>
    </row>
    <row r="50">
      <c r="L50" s="40" t="s">
        <v>254</v>
      </c>
    </row>
  </sheetData>
  <mergeCells count="14">
    <mergeCell ref="F3:G3"/>
    <mergeCell ref="H3:I3"/>
    <mergeCell ref="J3:J4"/>
    <mergeCell ref="K3:K4"/>
    <mergeCell ref="E49:K49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5"/>
    <col customWidth="1" min="2" max="2" width="24.75"/>
    <col customWidth="1" min="4" max="4" width="43.25"/>
    <col customWidth="1" min="5" max="5" width="9.5"/>
  </cols>
  <sheetData>
    <row r="1">
      <c r="A1" s="1" t="s">
        <v>1598</v>
      </c>
    </row>
    <row r="2">
      <c r="A2" s="2" t="s">
        <v>1</v>
      </c>
      <c r="B2" s="3" t="s">
        <v>2</v>
      </c>
      <c r="C2" s="2" t="s">
        <v>3</v>
      </c>
      <c r="D2" s="4" t="s">
        <v>4</v>
      </c>
      <c r="E2" s="5" t="s">
        <v>5</v>
      </c>
      <c r="F2" s="6"/>
      <c r="G2" s="6"/>
      <c r="H2" s="6"/>
      <c r="I2" s="6"/>
      <c r="J2" s="6"/>
      <c r="K2" s="6"/>
      <c r="L2" s="6"/>
      <c r="M2" s="7"/>
    </row>
    <row r="3">
      <c r="A3" s="8"/>
      <c r="B3" s="8"/>
      <c r="C3" s="8"/>
      <c r="D3" s="8"/>
      <c r="E3" s="2" t="s">
        <v>6</v>
      </c>
      <c r="F3" s="5" t="s">
        <v>7</v>
      </c>
      <c r="G3" s="7"/>
      <c r="H3" s="5" t="s">
        <v>8</v>
      </c>
      <c r="I3" s="7"/>
      <c r="J3" s="2" t="s">
        <v>9</v>
      </c>
      <c r="K3" s="4" t="s">
        <v>10</v>
      </c>
      <c r="L3" s="2" t="s">
        <v>11</v>
      </c>
      <c r="M3" s="2" t="s">
        <v>12</v>
      </c>
    </row>
    <row r="4">
      <c r="A4" s="9"/>
      <c r="B4" s="9"/>
      <c r="C4" s="9"/>
      <c r="D4" s="9"/>
      <c r="E4" s="9"/>
      <c r="F4" s="10" t="s">
        <v>13</v>
      </c>
      <c r="G4" s="10" t="s">
        <v>14</v>
      </c>
      <c r="H4" s="10" t="s">
        <v>15</v>
      </c>
      <c r="I4" s="11" t="s">
        <v>16</v>
      </c>
      <c r="J4" s="9"/>
      <c r="K4" s="9"/>
      <c r="L4" s="9"/>
      <c r="M4" s="9"/>
    </row>
    <row r="5">
      <c r="A5" s="54">
        <v>1.0</v>
      </c>
      <c r="B5" s="26" t="s">
        <v>1599</v>
      </c>
      <c r="C5" s="26">
        <v>57654.0</v>
      </c>
      <c r="D5" s="26" t="s">
        <v>1600</v>
      </c>
      <c r="E5" s="27"/>
      <c r="F5" s="28"/>
      <c r="G5" s="29"/>
      <c r="H5" s="30">
        <v>27000.0</v>
      </c>
      <c r="I5" s="31"/>
      <c r="J5" s="32"/>
      <c r="K5" s="50"/>
      <c r="L5" s="17">
        <v>27000.0</v>
      </c>
      <c r="M5" s="18">
        <f t="shared" ref="M5:M108" si="1">SUM(E5+F5+G5+H5+I5+J5+K5-L5)</f>
        <v>0</v>
      </c>
    </row>
    <row r="6">
      <c r="A6" s="54">
        <v>2.0</v>
      </c>
      <c r="B6" s="26" t="s">
        <v>1601</v>
      </c>
      <c r="C6" s="26">
        <v>50436.0</v>
      </c>
      <c r="D6" s="26" t="s">
        <v>421</v>
      </c>
      <c r="E6" s="27"/>
      <c r="F6" s="28"/>
      <c r="G6" s="29"/>
      <c r="H6" s="30"/>
      <c r="I6" s="31"/>
      <c r="J6" s="35">
        <v>0.0</v>
      </c>
      <c r="K6" s="50"/>
      <c r="L6" s="17">
        <v>300.0</v>
      </c>
      <c r="M6" s="18">
        <f t="shared" si="1"/>
        <v>-300</v>
      </c>
    </row>
    <row r="7">
      <c r="A7" s="54">
        <v>3.0</v>
      </c>
      <c r="B7" s="26" t="s">
        <v>1602</v>
      </c>
      <c r="C7" s="26">
        <v>50871.0</v>
      </c>
      <c r="D7" s="26" t="s">
        <v>105</v>
      </c>
      <c r="E7" s="27"/>
      <c r="F7" s="28"/>
      <c r="G7" s="29"/>
      <c r="H7" s="30">
        <v>55000.0</v>
      </c>
      <c r="I7" s="31"/>
      <c r="J7" s="32"/>
      <c r="K7" s="50"/>
      <c r="L7" s="17">
        <v>55000.0</v>
      </c>
      <c r="M7" s="18">
        <f t="shared" si="1"/>
        <v>0</v>
      </c>
    </row>
    <row r="8">
      <c r="A8" s="54">
        <v>4.0</v>
      </c>
      <c r="B8" s="26" t="s">
        <v>1603</v>
      </c>
      <c r="C8" s="26">
        <v>10320.0</v>
      </c>
      <c r="D8" s="26" t="s">
        <v>447</v>
      </c>
      <c r="E8" s="27"/>
      <c r="F8" s="28"/>
      <c r="G8" s="29"/>
      <c r="H8" s="30">
        <v>350.0</v>
      </c>
      <c r="I8" s="31"/>
      <c r="J8" s="32"/>
      <c r="K8" s="50"/>
      <c r="L8" s="17">
        <v>350.0</v>
      </c>
      <c r="M8" s="18">
        <f t="shared" si="1"/>
        <v>0</v>
      </c>
    </row>
    <row r="9">
      <c r="A9" s="54">
        <v>5.0</v>
      </c>
      <c r="B9" s="26" t="s">
        <v>1604</v>
      </c>
      <c r="C9" s="26">
        <v>50511.0</v>
      </c>
      <c r="D9" s="26" t="s">
        <v>1605</v>
      </c>
      <c r="E9" s="27"/>
      <c r="F9" s="28"/>
      <c r="G9" s="29"/>
      <c r="H9" s="30"/>
      <c r="I9" s="31">
        <v>300.0</v>
      </c>
      <c r="J9" s="32"/>
      <c r="K9" s="50"/>
      <c r="L9" s="17">
        <v>300.0</v>
      </c>
      <c r="M9" s="18">
        <f t="shared" si="1"/>
        <v>0</v>
      </c>
    </row>
    <row r="10">
      <c r="A10" s="54">
        <v>6.0</v>
      </c>
      <c r="B10" s="26" t="s">
        <v>1606</v>
      </c>
      <c r="C10" s="26">
        <v>46152.0</v>
      </c>
      <c r="D10" s="26" t="s">
        <v>1607</v>
      </c>
      <c r="E10" s="27"/>
      <c r="F10" s="28"/>
      <c r="G10" s="29"/>
      <c r="H10" s="30"/>
      <c r="I10" s="31">
        <v>7000.0</v>
      </c>
      <c r="J10" s="32"/>
      <c r="K10" s="50"/>
      <c r="L10" s="17">
        <v>7000.0</v>
      </c>
      <c r="M10" s="18">
        <f t="shared" si="1"/>
        <v>0</v>
      </c>
    </row>
    <row r="11">
      <c r="A11" s="54">
        <v>7.0</v>
      </c>
      <c r="B11" s="26" t="s">
        <v>1608</v>
      </c>
      <c r="C11" s="26">
        <v>47787.0</v>
      </c>
      <c r="D11" s="26" t="s">
        <v>506</v>
      </c>
      <c r="E11" s="27"/>
      <c r="F11" s="28"/>
      <c r="G11" s="29"/>
      <c r="H11" s="30">
        <v>10000.0</v>
      </c>
      <c r="I11" s="31"/>
      <c r="J11" s="32"/>
      <c r="K11" s="50"/>
      <c r="L11" s="17">
        <v>10000.0</v>
      </c>
      <c r="M11" s="18">
        <f t="shared" si="1"/>
        <v>0</v>
      </c>
    </row>
    <row r="12">
      <c r="A12" s="54">
        <v>8.0</v>
      </c>
      <c r="B12" s="26" t="s">
        <v>1609</v>
      </c>
      <c r="C12" s="26">
        <v>43380.0</v>
      </c>
      <c r="D12" s="26" t="s">
        <v>61</v>
      </c>
      <c r="E12" s="27"/>
      <c r="F12" s="28"/>
      <c r="G12" s="29"/>
      <c r="H12" s="30"/>
      <c r="I12" s="31">
        <v>1250.0</v>
      </c>
      <c r="J12" s="32"/>
      <c r="K12" s="50"/>
      <c r="L12" s="17">
        <v>1250.0</v>
      </c>
      <c r="M12" s="18">
        <f t="shared" si="1"/>
        <v>0</v>
      </c>
    </row>
    <row r="13">
      <c r="A13" s="54">
        <v>9.0</v>
      </c>
      <c r="B13" s="26" t="s">
        <v>1610</v>
      </c>
      <c r="C13" s="26">
        <v>49270.0</v>
      </c>
      <c r="D13" s="26" t="s">
        <v>1315</v>
      </c>
      <c r="E13" s="27"/>
      <c r="F13" s="28"/>
      <c r="G13" s="29"/>
      <c r="H13" s="30"/>
      <c r="I13" s="31">
        <v>8200.0</v>
      </c>
      <c r="J13" s="32"/>
      <c r="K13" s="50"/>
      <c r="L13" s="17">
        <v>8200.0</v>
      </c>
      <c r="M13" s="18">
        <f t="shared" si="1"/>
        <v>0</v>
      </c>
    </row>
    <row r="14">
      <c r="A14" s="54">
        <v>10.0</v>
      </c>
      <c r="B14" s="26" t="s">
        <v>1611</v>
      </c>
      <c r="C14" s="26">
        <v>50979.0</v>
      </c>
      <c r="D14" s="26" t="s">
        <v>267</v>
      </c>
      <c r="E14" s="27"/>
      <c r="F14" s="28"/>
      <c r="G14" s="29"/>
      <c r="H14" s="30"/>
      <c r="I14" s="31">
        <v>443.0</v>
      </c>
      <c r="J14" s="32"/>
      <c r="K14" s="50"/>
      <c r="L14" s="17">
        <v>443.0</v>
      </c>
      <c r="M14" s="18">
        <f t="shared" si="1"/>
        <v>0</v>
      </c>
    </row>
    <row r="15">
      <c r="A15" s="54">
        <v>11.0</v>
      </c>
      <c r="B15" s="26" t="s">
        <v>1612</v>
      </c>
      <c r="C15" s="26">
        <v>55179.0</v>
      </c>
      <c r="D15" s="26" t="s">
        <v>662</v>
      </c>
      <c r="E15" s="27"/>
      <c r="F15" s="28"/>
      <c r="G15" s="29"/>
      <c r="H15" s="30"/>
      <c r="I15" s="31">
        <v>21250.0</v>
      </c>
      <c r="J15" s="32"/>
      <c r="K15" s="50"/>
      <c r="L15" s="17">
        <v>21250.0</v>
      </c>
      <c r="M15" s="18">
        <f t="shared" si="1"/>
        <v>0</v>
      </c>
    </row>
    <row r="16">
      <c r="A16" s="54">
        <v>12.0</v>
      </c>
      <c r="B16" s="26" t="s">
        <v>1613</v>
      </c>
      <c r="C16" s="26">
        <v>51264.0</v>
      </c>
      <c r="D16" s="26" t="s">
        <v>851</v>
      </c>
      <c r="E16" s="27"/>
      <c r="F16" s="28"/>
      <c r="G16" s="29"/>
      <c r="H16" s="30"/>
      <c r="I16" s="31">
        <v>11700.0</v>
      </c>
      <c r="J16" s="32"/>
      <c r="K16" s="50"/>
      <c r="L16" s="17">
        <v>11700.0</v>
      </c>
      <c r="M16" s="18">
        <f t="shared" si="1"/>
        <v>0</v>
      </c>
    </row>
    <row r="17">
      <c r="A17" s="54">
        <v>13.0</v>
      </c>
      <c r="B17" s="26" t="s">
        <v>1614</v>
      </c>
      <c r="C17" s="26">
        <v>50265.0</v>
      </c>
      <c r="D17" s="26" t="s">
        <v>1615</v>
      </c>
      <c r="E17" s="27"/>
      <c r="F17" s="28"/>
      <c r="G17" s="29"/>
      <c r="H17" s="30"/>
      <c r="I17" s="31">
        <v>2500.0</v>
      </c>
      <c r="J17" s="32"/>
      <c r="K17" s="50"/>
      <c r="L17" s="17">
        <v>2500.0</v>
      </c>
      <c r="M17" s="18">
        <f t="shared" si="1"/>
        <v>0</v>
      </c>
    </row>
    <row r="18">
      <c r="A18" s="54">
        <v>14.0</v>
      </c>
      <c r="B18" s="26" t="s">
        <v>1616</v>
      </c>
      <c r="C18" s="26">
        <v>45937.0</v>
      </c>
      <c r="D18" s="26" t="s">
        <v>337</v>
      </c>
      <c r="E18" s="27"/>
      <c r="F18" s="28"/>
      <c r="G18" s="29"/>
      <c r="H18" s="30"/>
      <c r="I18" s="31">
        <v>3400.0</v>
      </c>
      <c r="J18" s="32"/>
      <c r="K18" s="50"/>
      <c r="L18" s="17">
        <v>3400.0</v>
      </c>
      <c r="M18" s="18">
        <f t="shared" si="1"/>
        <v>0</v>
      </c>
    </row>
    <row r="19">
      <c r="A19" s="54">
        <v>15.0</v>
      </c>
      <c r="B19" s="26" t="s">
        <v>1617</v>
      </c>
      <c r="C19" s="26">
        <v>50979.0</v>
      </c>
      <c r="D19" s="26" t="s">
        <v>267</v>
      </c>
      <c r="E19" s="27"/>
      <c r="F19" s="28"/>
      <c r="G19" s="29"/>
      <c r="H19" s="30"/>
      <c r="I19" s="31">
        <v>25000.0</v>
      </c>
      <c r="J19" s="32"/>
      <c r="K19" s="50"/>
      <c r="L19" s="17">
        <v>25000.0</v>
      </c>
      <c r="M19" s="18">
        <f t="shared" si="1"/>
        <v>0</v>
      </c>
    </row>
    <row r="20">
      <c r="A20" s="54">
        <v>16.0</v>
      </c>
      <c r="B20" s="26" t="s">
        <v>1618</v>
      </c>
      <c r="C20" s="26">
        <v>56683.0</v>
      </c>
      <c r="D20" s="26" t="s">
        <v>403</v>
      </c>
      <c r="E20" s="27"/>
      <c r="F20" s="28"/>
      <c r="G20" s="29"/>
      <c r="H20" s="30">
        <v>1600.0</v>
      </c>
      <c r="I20" s="31"/>
      <c r="J20" s="32"/>
      <c r="K20" s="50"/>
      <c r="L20" s="17">
        <v>1600.0</v>
      </c>
      <c r="M20" s="18">
        <f t="shared" si="1"/>
        <v>0</v>
      </c>
    </row>
    <row r="21">
      <c r="A21" s="54">
        <v>17.0</v>
      </c>
      <c r="B21" s="26" t="s">
        <v>1619</v>
      </c>
      <c r="C21" s="26">
        <v>50173.0</v>
      </c>
      <c r="D21" s="26" t="s">
        <v>67</v>
      </c>
      <c r="E21" s="27"/>
      <c r="F21" s="28"/>
      <c r="G21" s="29"/>
      <c r="H21" s="30"/>
      <c r="I21" s="31">
        <v>350.0</v>
      </c>
      <c r="J21" s="32"/>
      <c r="K21" s="50"/>
      <c r="L21" s="17">
        <v>350.0</v>
      </c>
      <c r="M21" s="18">
        <f t="shared" si="1"/>
        <v>0</v>
      </c>
    </row>
    <row r="22">
      <c r="A22" s="54">
        <v>18.0</v>
      </c>
      <c r="B22" s="26" t="s">
        <v>1620</v>
      </c>
      <c r="C22" s="26">
        <v>51797.0</v>
      </c>
      <c r="D22" s="26" t="s">
        <v>684</v>
      </c>
      <c r="E22" s="27"/>
      <c r="F22" s="28"/>
      <c r="G22" s="29"/>
      <c r="H22" s="30"/>
      <c r="I22" s="31">
        <v>5000.0</v>
      </c>
      <c r="J22" s="32"/>
      <c r="K22" s="50"/>
      <c r="L22" s="17">
        <v>5000.0</v>
      </c>
      <c r="M22" s="18">
        <f t="shared" si="1"/>
        <v>0</v>
      </c>
    </row>
    <row r="23">
      <c r="A23" s="54">
        <v>19.0</v>
      </c>
      <c r="B23" s="26" t="s">
        <v>1621</v>
      </c>
      <c r="C23" s="26">
        <v>51797.0</v>
      </c>
      <c r="D23" s="26" t="s">
        <v>684</v>
      </c>
      <c r="E23" s="27"/>
      <c r="F23" s="28"/>
      <c r="G23" s="29"/>
      <c r="H23" s="30"/>
      <c r="I23" s="31">
        <v>5000.0</v>
      </c>
      <c r="J23" s="32"/>
      <c r="K23" s="50"/>
      <c r="L23" s="17">
        <v>5000.0</v>
      </c>
      <c r="M23" s="18">
        <f t="shared" si="1"/>
        <v>0</v>
      </c>
    </row>
    <row r="24">
      <c r="A24" s="54">
        <v>20.0</v>
      </c>
      <c r="B24" s="26" t="s">
        <v>1622</v>
      </c>
      <c r="C24" s="26">
        <v>39588.0</v>
      </c>
      <c r="D24" s="26" t="s">
        <v>274</v>
      </c>
      <c r="E24" s="27"/>
      <c r="F24" s="28"/>
      <c r="G24" s="29"/>
      <c r="H24" s="30">
        <v>4500.0</v>
      </c>
      <c r="I24" s="31"/>
      <c r="J24" s="32"/>
      <c r="K24" s="50"/>
      <c r="L24" s="17">
        <v>4500.0</v>
      </c>
      <c r="M24" s="18">
        <f t="shared" si="1"/>
        <v>0</v>
      </c>
    </row>
    <row r="25">
      <c r="A25" s="54">
        <v>21.0</v>
      </c>
      <c r="B25" s="26" t="s">
        <v>1623</v>
      </c>
      <c r="C25" s="26">
        <v>51970.0</v>
      </c>
      <c r="D25" s="26" t="s">
        <v>858</v>
      </c>
      <c r="E25" s="27"/>
      <c r="F25" s="28"/>
      <c r="G25" s="29"/>
      <c r="H25" s="30">
        <v>10000.0</v>
      </c>
      <c r="I25" s="31"/>
      <c r="J25" s="32"/>
      <c r="K25" s="50"/>
      <c r="L25" s="17">
        <v>10000.0</v>
      </c>
      <c r="M25" s="18">
        <f t="shared" si="1"/>
        <v>0</v>
      </c>
    </row>
    <row r="26">
      <c r="A26" s="54">
        <v>22.0</v>
      </c>
      <c r="B26" s="26" t="s">
        <v>1624</v>
      </c>
      <c r="C26" s="26">
        <v>25650.0</v>
      </c>
      <c r="D26" s="26" t="s">
        <v>378</v>
      </c>
      <c r="E26" s="27"/>
      <c r="F26" s="28"/>
      <c r="G26" s="29"/>
      <c r="H26" s="30"/>
      <c r="I26" s="31">
        <v>4000.0</v>
      </c>
      <c r="J26" s="32"/>
      <c r="K26" s="50"/>
      <c r="L26" s="17">
        <v>4000.0</v>
      </c>
      <c r="M26" s="18">
        <f t="shared" si="1"/>
        <v>0</v>
      </c>
    </row>
    <row r="27">
      <c r="A27" s="54">
        <v>23.0</v>
      </c>
      <c r="B27" s="26" t="s">
        <v>1625</v>
      </c>
      <c r="C27" s="26">
        <v>57237.0</v>
      </c>
      <c r="D27" s="26" t="s">
        <v>1626</v>
      </c>
      <c r="E27" s="27"/>
      <c r="F27" s="28"/>
      <c r="G27" s="29"/>
      <c r="H27" s="30">
        <v>5150.0</v>
      </c>
      <c r="I27" s="31"/>
      <c r="J27" s="32"/>
      <c r="K27" s="50"/>
      <c r="L27" s="17">
        <v>5150.0</v>
      </c>
      <c r="M27" s="18">
        <f t="shared" si="1"/>
        <v>0</v>
      </c>
    </row>
    <row r="28">
      <c r="A28" s="54">
        <v>24.0</v>
      </c>
      <c r="B28" s="26" t="s">
        <v>1627</v>
      </c>
      <c r="C28" s="26">
        <v>33065.0</v>
      </c>
      <c r="D28" s="26" t="s">
        <v>36</v>
      </c>
      <c r="E28" s="27"/>
      <c r="F28" s="28"/>
      <c r="G28" s="29"/>
      <c r="H28" s="30">
        <v>25000.0</v>
      </c>
      <c r="I28" s="31"/>
      <c r="J28" s="32"/>
      <c r="K28" s="50"/>
      <c r="L28" s="17">
        <v>25000.0</v>
      </c>
      <c r="M28" s="18">
        <f t="shared" si="1"/>
        <v>0</v>
      </c>
    </row>
    <row r="29">
      <c r="A29" s="54">
        <v>25.0</v>
      </c>
      <c r="B29" s="26" t="s">
        <v>1628</v>
      </c>
      <c r="C29" s="26">
        <v>45096.0</v>
      </c>
      <c r="D29" s="26" t="s">
        <v>290</v>
      </c>
      <c r="E29" s="27"/>
      <c r="F29" s="28"/>
      <c r="G29" s="29"/>
      <c r="H29" s="30">
        <v>8080.0</v>
      </c>
      <c r="I29" s="31"/>
      <c r="J29" s="32"/>
      <c r="K29" s="50"/>
      <c r="L29" s="17">
        <v>8080.0</v>
      </c>
      <c r="M29" s="18">
        <f t="shared" si="1"/>
        <v>0</v>
      </c>
    </row>
    <row r="30">
      <c r="A30" s="54">
        <v>26.0</v>
      </c>
      <c r="B30" s="26" t="s">
        <v>1629</v>
      </c>
      <c r="C30" s="26">
        <v>33065.0</v>
      </c>
      <c r="D30" s="26" t="s">
        <v>36</v>
      </c>
      <c r="E30" s="27"/>
      <c r="F30" s="28"/>
      <c r="G30" s="29"/>
      <c r="H30" s="30">
        <v>5150.0</v>
      </c>
      <c r="I30" s="31"/>
      <c r="J30" s="32"/>
      <c r="K30" s="50"/>
      <c r="L30" s="17">
        <v>5150.0</v>
      </c>
      <c r="M30" s="18">
        <f t="shared" si="1"/>
        <v>0</v>
      </c>
    </row>
    <row r="31">
      <c r="A31" s="54">
        <v>27.0</v>
      </c>
      <c r="B31" s="26" t="s">
        <v>1630</v>
      </c>
      <c r="C31" s="26">
        <v>22332.0</v>
      </c>
      <c r="D31" s="26" t="s">
        <v>138</v>
      </c>
      <c r="E31" s="27"/>
      <c r="F31" s="28"/>
      <c r="G31" s="29"/>
      <c r="H31" s="30">
        <v>4750.0</v>
      </c>
      <c r="I31" s="31"/>
      <c r="J31" s="32"/>
      <c r="K31" s="50"/>
      <c r="L31" s="17">
        <v>4750.0</v>
      </c>
      <c r="M31" s="18">
        <f t="shared" si="1"/>
        <v>0</v>
      </c>
    </row>
    <row r="32">
      <c r="A32" s="54">
        <v>28.0</v>
      </c>
      <c r="B32" s="26" t="s">
        <v>1631</v>
      </c>
      <c r="C32" s="26">
        <v>10001.0</v>
      </c>
      <c r="D32" s="26" t="s">
        <v>218</v>
      </c>
      <c r="E32" s="27"/>
      <c r="F32" s="28"/>
      <c r="G32" s="29"/>
      <c r="H32" s="30"/>
      <c r="I32" s="31">
        <v>10000.0</v>
      </c>
      <c r="J32" s="32"/>
      <c r="K32" s="50"/>
      <c r="L32" s="17">
        <v>10000.0</v>
      </c>
      <c r="M32" s="18">
        <f t="shared" si="1"/>
        <v>0</v>
      </c>
    </row>
    <row r="33">
      <c r="A33" s="54">
        <v>29.0</v>
      </c>
      <c r="B33" s="26" t="s">
        <v>1632</v>
      </c>
      <c r="C33" s="26">
        <v>55898.0</v>
      </c>
      <c r="D33" s="26" t="s">
        <v>1633</v>
      </c>
      <c r="E33" s="27"/>
      <c r="F33" s="28"/>
      <c r="G33" s="29"/>
      <c r="H33" s="30">
        <v>15000.0</v>
      </c>
      <c r="I33" s="31"/>
      <c r="J33" s="32"/>
      <c r="K33" s="50"/>
      <c r="L33" s="17">
        <v>15000.0</v>
      </c>
      <c r="M33" s="18">
        <f t="shared" si="1"/>
        <v>0</v>
      </c>
    </row>
    <row r="34">
      <c r="A34" s="54">
        <v>30.0</v>
      </c>
      <c r="B34" s="26" t="s">
        <v>1634</v>
      </c>
      <c r="C34" s="26">
        <v>51876.0</v>
      </c>
      <c r="D34" s="26" t="s">
        <v>74</v>
      </c>
      <c r="E34" s="27"/>
      <c r="F34" s="28"/>
      <c r="G34" s="29"/>
      <c r="H34" s="30">
        <v>15200.0</v>
      </c>
      <c r="I34" s="31"/>
      <c r="J34" s="32"/>
      <c r="K34" s="50"/>
      <c r="L34" s="17">
        <v>15200.0</v>
      </c>
      <c r="M34" s="18">
        <f t="shared" si="1"/>
        <v>0</v>
      </c>
    </row>
    <row r="35">
      <c r="A35" s="54">
        <v>31.0</v>
      </c>
      <c r="B35" s="26" t="s">
        <v>1635</v>
      </c>
      <c r="C35" s="26">
        <v>10839.0</v>
      </c>
      <c r="D35" s="26" t="s">
        <v>1636</v>
      </c>
      <c r="E35" s="27"/>
      <c r="F35" s="28"/>
      <c r="G35" s="29"/>
      <c r="H35" s="30"/>
      <c r="I35" s="31">
        <v>5000.0</v>
      </c>
      <c r="J35" s="32"/>
      <c r="K35" s="50"/>
      <c r="L35" s="17">
        <v>5000.0</v>
      </c>
      <c r="M35" s="18">
        <f t="shared" si="1"/>
        <v>0</v>
      </c>
    </row>
    <row r="36">
      <c r="A36" s="54">
        <v>32.0</v>
      </c>
      <c r="B36" s="26" t="s">
        <v>1637</v>
      </c>
      <c r="C36" s="26">
        <v>57665.0</v>
      </c>
      <c r="D36" s="26" t="s">
        <v>1638</v>
      </c>
      <c r="E36" s="27"/>
      <c r="F36" s="37">
        <v>27000.0</v>
      </c>
      <c r="G36" s="29"/>
      <c r="H36" s="30"/>
      <c r="I36" s="31"/>
      <c r="J36" s="32"/>
      <c r="K36" s="50"/>
      <c r="L36" s="17">
        <v>27000.0</v>
      </c>
      <c r="M36" s="18">
        <f t="shared" si="1"/>
        <v>0</v>
      </c>
    </row>
    <row r="37">
      <c r="A37" s="54">
        <v>33.0</v>
      </c>
      <c r="B37" s="26" t="s">
        <v>1639</v>
      </c>
      <c r="C37" s="26">
        <v>36769.0</v>
      </c>
      <c r="D37" s="26" t="s">
        <v>276</v>
      </c>
      <c r="E37" s="27"/>
      <c r="F37" s="28"/>
      <c r="G37" s="29"/>
      <c r="H37" s="30">
        <v>5150.0</v>
      </c>
      <c r="I37" s="31"/>
      <c r="J37" s="32"/>
      <c r="K37" s="50"/>
      <c r="L37" s="17">
        <v>5150.0</v>
      </c>
      <c r="M37" s="18">
        <f t="shared" si="1"/>
        <v>0</v>
      </c>
    </row>
    <row r="38">
      <c r="A38" s="54">
        <v>34.0</v>
      </c>
      <c r="B38" s="26" t="s">
        <v>1640</v>
      </c>
      <c r="C38" s="26">
        <v>50871.0</v>
      </c>
      <c r="D38" s="26" t="s">
        <v>105</v>
      </c>
      <c r="E38" s="27"/>
      <c r="F38" s="28"/>
      <c r="G38" s="29"/>
      <c r="H38" s="30"/>
      <c r="I38" s="31">
        <v>26250.0</v>
      </c>
      <c r="J38" s="32"/>
      <c r="K38" s="50"/>
      <c r="L38" s="17">
        <v>26250.0</v>
      </c>
      <c r="M38" s="18">
        <f t="shared" si="1"/>
        <v>0</v>
      </c>
    </row>
    <row r="39">
      <c r="A39" s="54">
        <v>35.0</v>
      </c>
      <c r="B39" s="26" t="s">
        <v>1641</v>
      </c>
      <c r="C39" s="26">
        <v>10250.0</v>
      </c>
      <c r="D39" s="26" t="s">
        <v>107</v>
      </c>
      <c r="E39" s="27"/>
      <c r="F39" s="28"/>
      <c r="G39" s="29"/>
      <c r="H39" s="30">
        <v>2500.0</v>
      </c>
      <c r="I39" s="31"/>
      <c r="J39" s="32"/>
      <c r="K39" s="50"/>
      <c r="L39" s="17">
        <v>2500.0</v>
      </c>
      <c r="M39" s="18">
        <f t="shared" si="1"/>
        <v>0</v>
      </c>
    </row>
    <row r="40">
      <c r="A40" s="54">
        <v>36.0</v>
      </c>
      <c r="B40" s="26" t="s">
        <v>1642</v>
      </c>
      <c r="C40" s="26">
        <v>48631.0</v>
      </c>
      <c r="D40" s="26" t="s">
        <v>118</v>
      </c>
      <c r="E40" s="27"/>
      <c r="F40" s="28"/>
      <c r="G40" s="29"/>
      <c r="H40" s="30">
        <v>6950.0</v>
      </c>
      <c r="I40" s="31"/>
      <c r="J40" s="32"/>
      <c r="K40" s="50"/>
      <c r="L40" s="17">
        <v>6950.0</v>
      </c>
      <c r="M40" s="18">
        <f t="shared" si="1"/>
        <v>0</v>
      </c>
    </row>
    <row r="41">
      <c r="A41" s="54">
        <v>37.0</v>
      </c>
      <c r="B41" s="26" t="s">
        <v>1643</v>
      </c>
      <c r="C41" s="26">
        <v>54603.0</v>
      </c>
      <c r="D41" s="26" t="s">
        <v>1644</v>
      </c>
      <c r="E41" s="27"/>
      <c r="F41" s="28"/>
      <c r="G41" s="29"/>
      <c r="H41" s="30"/>
      <c r="I41" s="31">
        <v>2500.0</v>
      </c>
      <c r="J41" s="32"/>
      <c r="K41" s="50"/>
      <c r="L41" s="17">
        <v>2500.0</v>
      </c>
      <c r="M41" s="18">
        <f t="shared" si="1"/>
        <v>0</v>
      </c>
    </row>
    <row r="42">
      <c r="A42" s="54">
        <v>38.0</v>
      </c>
      <c r="B42" s="26" t="s">
        <v>1645</v>
      </c>
      <c r="C42" s="26">
        <v>50221.0</v>
      </c>
      <c r="D42" s="26" t="s">
        <v>252</v>
      </c>
      <c r="E42" s="27"/>
      <c r="F42" s="28"/>
      <c r="G42" s="29"/>
      <c r="H42" s="30">
        <v>135.0</v>
      </c>
      <c r="I42" s="31"/>
      <c r="J42" s="32"/>
      <c r="K42" s="50"/>
      <c r="L42" s="17">
        <v>135.0</v>
      </c>
      <c r="M42" s="18">
        <f t="shared" si="1"/>
        <v>0</v>
      </c>
    </row>
    <row r="43">
      <c r="A43" s="54">
        <v>39.0</v>
      </c>
      <c r="B43" s="26" t="s">
        <v>1646</v>
      </c>
      <c r="C43" s="26">
        <v>39317.0</v>
      </c>
      <c r="D43" s="26" t="s">
        <v>84</v>
      </c>
      <c r="E43" s="27"/>
      <c r="F43" s="28"/>
      <c r="G43" s="29"/>
      <c r="H43" s="30"/>
      <c r="I43" s="31">
        <v>15000.0</v>
      </c>
      <c r="J43" s="32"/>
      <c r="K43" s="50"/>
      <c r="L43" s="17">
        <v>15000.0</v>
      </c>
      <c r="M43" s="18">
        <f t="shared" si="1"/>
        <v>0</v>
      </c>
    </row>
    <row r="44">
      <c r="A44" s="54">
        <v>40.0</v>
      </c>
      <c r="B44" s="26" t="s">
        <v>1647</v>
      </c>
      <c r="C44" s="26">
        <v>43955.0</v>
      </c>
      <c r="D44" s="26" t="s">
        <v>1648</v>
      </c>
      <c r="E44" s="27"/>
      <c r="F44" s="28"/>
      <c r="G44" s="29"/>
      <c r="H44" s="30"/>
      <c r="I44" s="31">
        <v>5250.0</v>
      </c>
      <c r="J44" s="32"/>
      <c r="K44" s="50"/>
      <c r="L44" s="17">
        <v>5250.0</v>
      </c>
      <c r="M44" s="18">
        <f t="shared" si="1"/>
        <v>0</v>
      </c>
    </row>
    <row r="45">
      <c r="A45" s="54">
        <v>41.0</v>
      </c>
      <c r="B45" s="26" t="s">
        <v>1649</v>
      </c>
      <c r="C45" s="26">
        <v>48631.0</v>
      </c>
      <c r="D45" s="26" t="s">
        <v>118</v>
      </c>
      <c r="E45" s="27"/>
      <c r="F45" s="28"/>
      <c r="G45" s="29"/>
      <c r="H45" s="30">
        <v>6950.0</v>
      </c>
      <c r="I45" s="31"/>
      <c r="J45" s="32"/>
      <c r="K45" s="50"/>
      <c r="L45" s="17">
        <v>6950.0</v>
      </c>
      <c r="M45" s="18">
        <f t="shared" si="1"/>
        <v>0</v>
      </c>
    </row>
    <row r="46">
      <c r="A46" s="54">
        <v>42.0</v>
      </c>
      <c r="B46" s="26" t="s">
        <v>1650</v>
      </c>
      <c r="C46" s="26">
        <v>43955.0</v>
      </c>
      <c r="D46" s="26" t="s">
        <v>1648</v>
      </c>
      <c r="E46" s="27"/>
      <c r="F46" s="28"/>
      <c r="G46" s="29"/>
      <c r="H46" s="30">
        <v>3600.0</v>
      </c>
      <c r="I46" s="31"/>
      <c r="J46" s="32"/>
      <c r="K46" s="50"/>
      <c r="L46" s="17">
        <v>3600.0</v>
      </c>
      <c r="M46" s="18">
        <f t="shared" si="1"/>
        <v>0</v>
      </c>
    </row>
    <row r="47">
      <c r="A47" s="54">
        <v>43.0</v>
      </c>
      <c r="B47" s="26" t="s">
        <v>1651</v>
      </c>
      <c r="C47" s="26">
        <v>21818.0</v>
      </c>
      <c r="D47" s="26" t="s">
        <v>69</v>
      </c>
      <c r="E47" s="27"/>
      <c r="F47" s="28"/>
      <c r="G47" s="29"/>
      <c r="H47" s="30">
        <v>5250.0</v>
      </c>
      <c r="I47" s="31"/>
      <c r="J47" s="32"/>
      <c r="K47" s="50"/>
      <c r="L47" s="17">
        <v>5250.0</v>
      </c>
      <c r="M47" s="18">
        <f t="shared" si="1"/>
        <v>0</v>
      </c>
    </row>
    <row r="48">
      <c r="A48" s="54">
        <v>44.0</v>
      </c>
      <c r="B48" s="26" t="s">
        <v>1652</v>
      </c>
      <c r="C48" s="26">
        <v>13781.0</v>
      </c>
      <c r="D48" s="26" t="s">
        <v>278</v>
      </c>
      <c r="E48" s="27"/>
      <c r="F48" s="28"/>
      <c r="G48" s="29"/>
      <c r="H48" s="30">
        <v>5000.0</v>
      </c>
      <c r="I48" s="31"/>
      <c r="J48" s="32"/>
      <c r="K48" s="50"/>
      <c r="L48" s="17">
        <v>5000.0</v>
      </c>
      <c r="M48" s="18">
        <f t="shared" si="1"/>
        <v>0</v>
      </c>
    </row>
    <row r="49">
      <c r="A49" s="54">
        <v>45.0</v>
      </c>
      <c r="B49" s="26" t="s">
        <v>1653</v>
      </c>
      <c r="C49" s="26">
        <v>13781.0</v>
      </c>
      <c r="D49" s="26" t="s">
        <v>278</v>
      </c>
      <c r="E49" s="27"/>
      <c r="F49" s="28"/>
      <c r="G49" s="29"/>
      <c r="H49" s="30">
        <v>45300.0</v>
      </c>
      <c r="I49" s="31"/>
      <c r="J49" s="32"/>
      <c r="K49" s="50"/>
      <c r="L49" s="17">
        <v>45300.0</v>
      </c>
      <c r="M49" s="18">
        <f t="shared" si="1"/>
        <v>0</v>
      </c>
    </row>
    <row r="50">
      <c r="A50" s="54">
        <v>46.0</v>
      </c>
      <c r="B50" s="26" t="s">
        <v>1654</v>
      </c>
      <c r="C50" s="26">
        <v>12102.0</v>
      </c>
      <c r="D50" s="26" t="s">
        <v>345</v>
      </c>
      <c r="E50" s="27"/>
      <c r="F50" s="28"/>
      <c r="G50" s="29"/>
      <c r="H50" s="30">
        <v>942.0</v>
      </c>
      <c r="I50" s="31"/>
      <c r="J50" s="32"/>
      <c r="K50" s="50"/>
      <c r="L50" s="17">
        <v>942.0</v>
      </c>
      <c r="M50" s="18">
        <f t="shared" si="1"/>
        <v>0</v>
      </c>
    </row>
    <row r="51">
      <c r="A51" s="54">
        <v>47.0</v>
      </c>
      <c r="B51" s="26" t="s">
        <v>1655</v>
      </c>
      <c r="C51" s="26">
        <v>53629.0</v>
      </c>
      <c r="D51" s="26" t="s">
        <v>1446</v>
      </c>
      <c r="E51" s="27"/>
      <c r="F51" s="28"/>
      <c r="G51" s="29"/>
      <c r="H51" s="30"/>
      <c r="I51" s="31">
        <v>15000.0</v>
      </c>
      <c r="J51" s="32"/>
      <c r="K51" s="50"/>
      <c r="L51" s="17">
        <v>15000.0</v>
      </c>
      <c r="M51" s="18">
        <f t="shared" si="1"/>
        <v>0</v>
      </c>
    </row>
    <row r="52">
      <c r="A52" s="54">
        <v>48.0</v>
      </c>
      <c r="B52" s="26" t="s">
        <v>1656</v>
      </c>
      <c r="C52" s="26">
        <v>43081.0</v>
      </c>
      <c r="D52" s="26" t="s">
        <v>1657</v>
      </c>
      <c r="E52" s="27"/>
      <c r="F52" s="37"/>
      <c r="G52" s="29"/>
      <c r="H52" s="30">
        <v>5150.0</v>
      </c>
      <c r="I52" s="31"/>
      <c r="J52" s="35"/>
      <c r="K52" s="33"/>
      <c r="L52" s="17">
        <v>5150.0</v>
      </c>
      <c r="M52" s="18">
        <f t="shared" si="1"/>
        <v>0</v>
      </c>
    </row>
    <row r="53">
      <c r="A53" s="54">
        <v>49.0</v>
      </c>
      <c r="B53" s="26" t="s">
        <v>1658</v>
      </c>
      <c r="C53" s="26">
        <v>44830.0</v>
      </c>
      <c r="D53" s="26" t="s">
        <v>1659</v>
      </c>
      <c r="E53" s="27"/>
      <c r="F53" s="28"/>
      <c r="G53" s="29"/>
      <c r="H53" s="30">
        <v>3600.0</v>
      </c>
      <c r="I53" s="31"/>
      <c r="J53" s="32"/>
      <c r="K53" s="33"/>
      <c r="L53" s="17">
        <v>3600.0</v>
      </c>
      <c r="M53" s="18">
        <f t="shared" si="1"/>
        <v>0</v>
      </c>
    </row>
    <row r="54">
      <c r="A54" s="54">
        <v>50.0</v>
      </c>
      <c r="B54" s="26" t="s">
        <v>1660</v>
      </c>
      <c r="C54" s="26">
        <v>53095.0</v>
      </c>
      <c r="D54" s="26" t="s">
        <v>334</v>
      </c>
      <c r="E54" s="27"/>
      <c r="F54" s="28"/>
      <c r="G54" s="29"/>
      <c r="H54" s="30">
        <v>11427.0</v>
      </c>
      <c r="I54" s="31"/>
      <c r="J54" s="32"/>
      <c r="K54" s="33"/>
      <c r="L54" s="17">
        <v>11427.0</v>
      </c>
      <c r="M54" s="18">
        <f t="shared" si="1"/>
        <v>0</v>
      </c>
    </row>
    <row r="55">
      <c r="A55" s="54">
        <v>51.0</v>
      </c>
      <c r="B55" s="26" t="s">
        <v>1661</v>
      </c>
      <c r="C55" s="26">
        <v>26831.0</v>
      </c>
      <c r="D55" s="26" t="s">
        <v>315</v>
      </c>
      <c r="E55" s="27"/>
      <c r="F55" s="28"/>
      <c r="G55" s="29"/>
      <c r="H55" s="30"/>
      <c r="I55" s="31">
        <v>25000.0</v>
      </c>
      <c r="J55" s="32"/>
      <c r="K55" s="33"/>
      <c r="L55" s="17">
        <v>25000.0</v>
      </c>
      <c r="M55" s="18">
        <f t="shared" si="1"/>
        <v>0</v>
      </c>
    </row>
    <row r="56">
      <c r="A56" s="54">
        <v>52.0</v>
      </c>
      <c r="B56" s="26" t="s">
        <v>1662</v>
      </c>
      <c r="C56" s="26">
        <v>48657.0</v>
      </c>
      <c r="D56" s="26" t="s">
        <v>1663</v>
      </c>
      <c r="E56" s="27"/>
      <c r="F56" s="28"/>
      <c r="G56" s="29"/>
      <c r="H56" s="30">
        <v>5000.0</v>
      </c>
      <c r="I56" s="31"/>
      <c r="J56" s="32"/>
      <c r="K56" s="33"/>
      <c r="L56" s="17">
        <v>5000.0</v>
      </c>
      <c r="M56" s="18">
        <f t="shared" si="1"/>
        <v>0</v>
      </c>
    </row>
    <row r="57">
      <c r="A57" s="54">
        <v>53.0</v>
      </c>
      <c r="B57" s="26" t="s">
        <v>1664</v>
      </c>
      <c r="C57" s="26">
        <v>33065.0</v>
      </c>
      <c r="D57" s="26" t="s">
        <v>36</v>
      </c>
      <c r="E57" s="27"/>
      <c r="F57" s="28"/>
      <c r="G57" s="29"/>
      <c r="H57" s="30">
        <v>2650.0</v>
      </c>
      <c r="I57" s="31"/>
      <c r="J57" s="35"/>
      <c r="K57" s="33"/>
      <c r="L57" s="17">
        <v>2650.0</v>
      </c>
      <c r="M57" s="18">
        <f t="shared" si="1"/>
        <v>0</v>
      </c>
    </row>
    <row r="58">
      <c r="A58" s="54">
        <v>54.0</v>
      </c>
      <c r="B58" s="26" t="s">
        <v>1665</v>
      </c>
      <c r="C58" s="26">
        <v>49655.0</v>
      </c>
      <c r="D58" s="26" t="s">
        <v>208</v>
      </c>
      <c r="E58" s="27"/>
      <c r="F58" s="28"/>
      <c r="G58" s="29"/>
      <c r="H58" s="30"/>
      <c r="I58" s="31">
        <v>1050.0</v>
      </c>
      <c r="J58" s="32"/>
      <c r="K58" s="33"/>
      <c r="L58" s="17">
        <v>1050.0</v>
      </c>
      <c r="M58" s="18">
        <f t="shared" si="1"/>
        <v>0</v>
      </c>
    </row>
    <row r="59">
      <c r="A59" s="54">
        <v>55.0</v>
      </c>
      <c r="B59" s="26" t="s">
        <v>1666</v>
      </c>
      <c r="C59" s="26">
        <v>50878.0</v>
      </c>
      <c r="D59" s="26" t="s">
        <v>1058</v>
      </c>
      <c r="E59" s="27"/>
      <c r="F59" s="28"/>
      <c r="G59" s="29"/>
      <c r="H59" s="30"/>
      <c r="I59" s="31">
        <v>3900.0</v>
      </c>
      <c r="J59" s="32"/>
      <c r="K59" s="33"/>
      <c r="L59" s="17">
        <v>3900.0</v>
      </c>
      <c r="M59" s="18">
        <f t="shared" si="1"/>
        <v>0</v>
      </c>
    </row>
    <row r="60">
      <c r="A60" s="54">
        <v>56.0</v>
      </c>
      <c r="B60" s="26" t="s">
        <v>1667</v>
      </c>
      <c r="C60" s="26">
        <v>52602.0</v>
      </c>
      <c r="D60" s="26" t="s">
        <v>698</v>
      </c>
      <c r="E60" s="27"/>
      <c r="F60" s="37"/>
      <c r="G60" s="29"/>
      <c r="H60" s="30">
        <v>4000.0</v>
      </c>
      <c r="I60" s="31"/>
      <c r="J60" s="32"/>
      <c r="K60" s="33"/>
      <c r="L60" s="17">
        <v>4000.0</v>
      </c>
      <c r="M60" s="18">
        <f t="shared" si="1"/>
        <v>0</v>
      </c>
    </row>
    <row r="61">
      <c r="A61" s="54">
        <v>57.0</v>
      </c>
      <c r="B61" s="26" t="s">
        <v>1668</v>
      </c>
      <c r="C61" s="26">
        <v>10008.0</v>
      </c>
      <c r="D61" s="26" t="s">
        <v>78</v>
      </c>
      <c r="E61" s="27"/>
      <c r="F61" s="37"/>
      <c r="G61" s="29"/>
      <c r="H61" s="30">
        <v>20000.0</v>
      </c>
      <c r="I61" s="31"/>
      <c r="J61" s="32"/>
      <c r="K61" s="33"/>
      <c r="L61" s="17">
        <v>20000.0</v>
      </c>
      <c r="M61" s="18">
        <f t="shared" si="1"/>
        <v>0</v>
      </c>
    </row>
    <row r="62">
      <c r="A62" s="54">
        <v>58.0</v>
      </c>
      <c r="B62" s="26" t="s">
        <v>1669</v>
      </c>
      <c r="C62" s="26">
        <v>53095.0</v>
      </c>
      <c r="D62" s="26" t="s">
        <v>334</v>
      </c>
      <c r="E62" s="27"/>
      <c r="F62" s="28"/>
      <c r="G62" s="29"/>
      <c r="H62" s="30">
        <v>2730.0</v>
      </c>
      <c r="I62" s="31"/>
      <c r="J62" s="35"/>
      <c r="K62" s="33"/>
      <c r="L62" s="17">
        <v>2730.0</v>
      </c>
      <c r="M62" s="18">
        <f t="shared" si="1"/>
        <v>0</v>
      </c>
    </row>
    <row r="63">
      <c r="A63" s="54">
        <v>59.0</v>
      </c>
      <c r="B63" s="26" t="s">
        <v>1670</v>
      </c>
      <c r="C63" s="26">
        <v>10008.0</v>
      </c>
      <c r="D63" s="26" t="s">
        <v>78</v>
      </c>
      <c r="E63" s="27"/>
      <c r="F63" s="28"/>
      <c r="G63" s="29"/>
      <c r="H63" s="30">
        <v>2500.0</v>
      </c>
      <c r="I63" s="31"/>
      <c r="J63" s="35"/>
      <c r="K63" s="33"/>
      <c r="L63" s="17">
        <v>2500.0</v>
      </c>
      <c r="M63" s="18">
        <f t="shared" si="1"/>
        <v>0</v>
      </c>
    </row>
    <row r="64">
      <c r="A64" s="54">
        <v>60.0</v>
      </c>
      <c r="B64" s="26" t="s">
        <v>1671</v>
      </c>
      <c r="C64" s="26">
        <v>49655.0</v>
      </c>
      <c r="D64" s="26" t="s">
        <v>208</v>
      </c>
      <c r="E64" s="27"/>
      <c r="F64" s="37"/>
      <c r="G64" s="29"/>
      <c r="H64" s="30"/>
      <c r="I64" s="31">
        <v>5000.0</v>
      </c>
      <c r="J64" s="32"/>
      <c r="K64" s="33"/>
      <c r="L64" s="17">
        <v>5000.0</v>
      </c>
      <c r="M64" s="18">
        <f t="shared" si="1"/>
        <v>0</v>
      </c>
    </row>
    <row r="65">
      <c r="A65" s="54">
        <v>61.0</v>
      </c>
      <c r="B65" s="26" t="s">
        <v>1672</v>
      </c>
      <c r="C65" s="26">
        <v>10008.0</v>
      </c>
      <c r="D65" s="26" t="s">
        <v>78</v>
      </c>
      <c r="E65" s="27"/>
      <c r="F65" s="28"/>
      <c r="G65" s="29"/>
      <c r="H65" s="30">
        <v>15000.0</v>
      </c>
      <c r="I65" s="31"/>
      <c r="J65" s="32"/>
      <c r="K65" s="33"/>
      <c r="L65" s="17">
        <v>15000.0</v>
      </c>
      <c r="M65" s="18">
        <f t="shared" si="1"/>
        <v>0</v>
      </c>
    </row>
    <row r="66">
      <c r="A66" s="54">
        <v>62.0</v>
      </c>
      <c r="B66" s="26" t="s">
        <v>1673</v>
      </c>
      <c r="C66" s="26">
        <v>50820.0</v>
      </c>
      <c r="D66" s="26" t="s">
        <v>22</v>
      </c>
      <c r="E66" s="27"/>
      <c r="F66" s="37">
        <v>26250.0</v>
      </c>
      <c r="G66" s="29"/>
      <c r="H66" s="30"/>
      <c r="I66" s="31"/>
      <c r="J66" s="32"/>
      <c r="K66" s="33"/>
      <c r="L66" s="17">
        <v>26250.0</v>
      </c>
      <c r="M66" s="18">
        <f t="shared" si="1"/>
        <v>0</v>
      </c>
    </row>
    <row r="67">
      <c r="A67" s="54">
        <v>63.0</v>
      </c>
      <c r="B67" s="26" t="s">
        <v>1674</v>
      </c>
      <c r="C67" s="26">
        <v>50820.0</v>
      </c>
      <c r="D67" s="26" t="s">
        <v>22</v>
      </c>
      <c r="E67" s="27"/>
      <c r="F67" s="37">
        <v>10000.0</v>
      </c>
      <c r="G67" s="29"/>
      <c r="H67" s="30"/>
      <c r="I67" s="31"/>
      <c r="J67" s="32"/>
      <c r="K67" s="33"/>
      <c r="L67" s="17">
        <v>10000.0</v>
      </c>
      <c r="M67" s="18">
        <f t="shared" si="1"/>
        <v>0</v>
      </c>
    </row>
    <row r="68">
      <c r="A68" s="54">
        <v>64.0</v>
      </c>
      <c r="B68" s="26" t="s">
        <v>1675</v>
      </c>
      <c r="C68" s="26">
        <v>50820.0</v>
      </c>
      <c r="D68" s="26" t="s">
        <v>22</v>
      </c>
      <c r="E68" s="27"/>
      <c r="F68" s="37">
        <v>11250.0</v>
      </c>
      <c r="G68" s="29"/>
      <c r="H68" s="30"/>
      <c r="I68" s="31"/>
      <c r="J68" s="32"/>
      <c r="K68" s="33"/>
      <c r="L68" s="17">
        <v>11250.0</v>
      </c>
      <c r="M68" s="18">
        <f t="shared" si="1"/>
        <v>0</v>
      </c>
    </row>
    <row r="69">
      <c r="A69" s="54">
        <v>65.0</v>
      </c>
      <c r="B69" s="26" t="s">
        <v>1676</v>
      </c>
      <c r="C69" s="26">
        <v>50820.0</v>
      </c>
      <c r="D69" s="26" t="s">
        <v>22</v>
      </c>
      <c r="E69" s="38"/>
      <c r="F69" s="37">
        <v>50000.0</v>
      </c>
      <c r="G69" s="29"/>
      <c r="H69" s="30"/>
      <c r="I69" s="31"/>
      <c r="J69" s="32"/>
      <c r="K69" s="33"/>
      <c r="L69" s="17">
        <v>50000.0</v>
      </c>
      <c r="M69" s="18">
        <f t="shared" si="1"/>
        <v>0</v>
      </c>
    </row>
    <row r="70">
      <c r="A70" s="54">
        <v>66.0</v>
      </c>
      <c r="B70" s="26" t="s">
        <v>1677</v>
      </c>
      <c r="C70" s="26">
        <v>54280.0</v>
      </c>
      <c r="D70" s="26" t="s">
        <v>459</v>
      </c>
      <c r="E70" s="27"/>
      <c r="F70" s="28"/>
      <c r="G70" s="29"/>
      <c r="H70" s="30"/>
      <c r="I70" s="31">
        <v>3600.0</v>
      </c>
      <c r="J70" s="32"/>
      <c r="K70" s="33"/>
      <c r="L70" s="17">
        <v>3600.0</v>
      </c>
      <c r="M70" s="18">
        <f t="shared" si="1"/>
        <v>0</v>
      </c>
    </row>
    <row r="71">
      <c r="A71" s="54">
        <v>67.0</v>
      </c>
      <c r="B71" s="26" t="s">
        <v>1678</v>
      </c>
      <c r="C71" s="26">
        <v>10255.0</v>
      </c>
      <c r="D71" s="26" t="s">
        <v>453</v>
      </c>
      <c r="E71" s="27"/>
      <c r="F71" s="37"/>
      <c r="G71" s="29"/>
      <c r="H71" s="30"/>
      <c r="I71" s="31">
        <v>1750.0</v>
      </c>
      <c r="J71" s="32"/>
      <c r="K71" s="33"/>
      <c r="L71" s="17">
        <v>1750.0</v>
      </c>
      <c r="M71" s="18">
        <f t="shared" si="1"/>
        <v>0</v>
      </c>
    </row>
    <row r="72">
      <c r="A72" s="54">
        <v>68.0</v>
      </c>
      <c r="B72" s="26" t="s">
        <v>1679</v>
      </c>
      <c r="C72" s="26">
        <v>56387.0</v>
      </c>
      <c r="D72" s="26" t="s">
        <v>811</v>
      </c>
      <c r="E72" s="38"/>
      <c r="F72" s="28"/>
      <c r="G72" s="29"/>
      <c r="H72" s="30"/>
      <c r="I72" s="31">
        <v>50000.0</v>
      </c>
      <c r="J72" s="32"/>
      <c r="K72" s="33"/>
      <c r="L72" s="17">
        <v>50000.0</v>
      </c>
      <c r="M72" s="18">
        <f t="shared" si="1"/>
        <v>0</v>
      </c>
    </row>
    <row r="73">
      <c r="A73" s="54">
        <v>69.0</v>
      </c>
      <c r="B73" s="26" t="s">
        <v>1680</v>
      </c>
      <c r="C73" s="26">
        <v>10908.0</v>
      </c>
      <c r="D73" s="26" t="s">
        <v>1232</v>
      </c>
      <c r="E73" s="27"/>
      <c r="F73" s="37"/>
      <c r="G73" s="29"/>
      <c r="H73" s="30"/>
      <c r="I73" s="31">
        <v>3600.0</v>
      </c>
      <c r="J73" s="35"/>
      <c r="K73" s="33"/>
      <c r="L73" s="17">
        <v>3600.0</v>
      </c>
      <c r="M73" s="18">
        <f t="shared" si="1"/>
        <v>0</v>
      </c>
    </row>
    <row r="74">
      <c r="A74" s="54">
        <v>70.0</v>
      </c>
      <c r="B74" s="26" t="s">
        <v>1681</v>
      </c>
      <c r="C74" s="26">
        <v>10909.0</v>
      </c>
      <c r="D74" s="26" t="s">
        <v>1682</v>
      </c>
      <c r="E74" s="38"/>
      <c r="F74" s="28"/>
      <c r="G74" s="29"/>
      <c r="H74" s="30"/>
      <c r="I74" s="31">
        <v>3600.0</v>
      </c>
      <c r="J74" s="32"/>
      <c r="K74" s="33"/>
      <c r="L74" s="17">
        <v>3600.0</v>
      </c>
      <c r="M74" s="18">
        <f t="shared" si="1"/>
        <v>0</v>
      </c>
    </row>
    <row r="75">
      <c r="A75" s="54">
        <v>71.0</v>
      </c>
      <c r="B75" s="26" t="s">
        <v>1683</v>
      </c>
      <c r="C75" s="26">
        <v>47787.0</v>
      </c>
      <c r="D75" s="26" t="s">
        <v>506</v>
      </c>
      <c r="E75" s="38"/>
      <c r="F75" s="37"/>
      <c r="G75" s="29"/>
      <c r="H75" s="30"/>
      <c r="I75" s="31">
        <v>350.0</v>
      </c>
      <c r="J75" s="32"/>
      <c r="K75" s="33"/>
      <c r="L75" s="17">
        <v>350.0</v>
      </c>
      <c r="M75" s="18">
        <f t="shared" si="1"/>
        <v>0</v>
      </c>
    </row>
    <row r="76">
      <c r="A76" s="54">
        <v>72.0</v>
      </c>
      <c r="B76" s="26" t="s">
        <v>1684</v>
      </c>
      <c r="C76" s="26">
        <v>46778.0</v>
      </c>
      <c r="D76" s="26" t="s">
        <v>109</v>
      </c>
      <c r="E76" s="27"/>
      <c r="F76" s="28"/>
      <c r="G76" s="29"/>
      <c r="H76" s="30"/>
      <c r="I76" s="31">
        <v>7300.0</v>
      </c>
      <c r="J76" s="35"/>
      <c r="K76" s="33"/>
      <c r="L76" s="17">
        <v>7300.0</v>
      </c>
      <c r="M76" s="18">
        <f t="shared" si="1"/>
        <v>0</v>
      </c>
    </row>
    <row r="77">
      <c r="A77" s="54">
        <v>73.0</v>
      </c>
      <c r="B77" s="26" t="s">
        <v>1685</v>
      </c>
      <c r="C77" s="26">
        <v>51976.0</v>
      </c>
      <c r="D77" s="26" t="s">
        <v>412</v>
      </c>
      <c r="E77" s="27"/>
      <c r="F77" s="28"/>
      <c r="G77" s="29"/>
      <c r="H77" s="30"/>
      <c r="I77" s="31">
        <v>10000.0</v>
      </c>
      <c r="J77" s="32"/>
      <c r="K77" s="33"/>
      <c r="L77" s="17">
        <v>10000.0</v>
      </c>
      <c r="M77" s="18">
        <f t="shared" si="1"/>
        <v>0</v>
      </c>
    </row>
    <row r="78">
      <c r="A78" s="54">
        <v>74.0</v>
      </c>
      <c r="B78" s="26" t="s">
        <v>1686</v>
      </c>
      <c r="C78" s="26">
        <v>52964.0</v>
      </c>
      <c r="D78" s="26" t="s">
        <v>1687</v>
      </c>
      <c r="E78" s="27"/>
      <c r="F78" s="28"/>
      <c r="G78" s="29"/>
      <c r="H78" s="30">
        <v>2500.0</v>
      </c>
      <c r="I78" s="31"/>
      <c r="J78" s="32"/>
      <c r="K78" s="33"/>
      <c r="L78" s="17">
        <v>2500.0</v>
      </c>
      <c r="M78" s="18">
        <f t="shared" si="1"/>
        <v>0</v>
      </c>
    </row>
    <row r="79">
      <c r="A79" s="54">
        <v>75.0</v>
      </c>
      <c r="B79" s="26" t="s">
        <v>1688</v>
      </c>
      <c r="C79" s="26">
        <v>53550.0</v>
      </c>
      <c r="D79" s="26" t="s">
        <v>148</v>
      </c>
      <c r="E79" s="27"/>
      <c r="F79" s="37"/>
      <c r="G79" s="39"/>
      <c r="H79" s="30"/>
      <c r="I79" s="31">
        <v>1600.0</v>
      </c>
      <c r="J79" s="32"/>
      <c r="K79" s="33"/>
      <c r="L79" s="17">
        <v>1600.0</v>
      </c>
      <c r="M79" s="18">
        <f t="shared" si="1"/>
        <v>0</v>
      </c>
    </row>
    <row r="80">
      <c r="A80" s="54">
        <v>76.0</v>
      </c>
      <c r="B80" s="26" t="s">
        <v>1689</v>
      </c>
      <c r="C80" s="26">
        <v>54196.0</v>
      </c>
      <c r="D80" s="26" t="s">
        <v>888</v>
      </c>
      <c r="E80" s="27"/>
      <c r="F80" s="37"/>
      <c r="G80" s="39"/>
      <c r="H80" s="30">
        <v>5150.0</v>
      </c>
      <c r="I80" s="31"/>
      <c r="J80" s="32"/>
      <c r="K80" s="33"/>
      <c r="L80" s="17">
        <v>5150.0</v>
      </c>
      <c r="M80" s="18">
        <f t="shared" si="1"/>
        <v>0</v>
      </c>
    </row>
    <row r="81">
      <c r="A81" s="54">
        <v>77.0</v>
      </c>
      <c r="B81" s="26" t="s">
        <v>1690</v>
      </c>
      <c r="C81" s="26">
        <v>40235.0</v>
      </c>
      <c r="D81" s="26" t="s">
        <v>1691</v>
      </c>
      <c r="E81" s="27"/>
      <c r="F81" s="37"/>
      <c r="G81" s="39"/>
      <c r="H81" s="30">
        <v>5000.0</v>
      </c>
      <c r="I81" s="31"/>
      <c r="J81" s="32"/>
      <c r="K81" s="33"/>
      <c r="L81" s="17">
        <v>5000.0</v>
      </c>
      <c r="M81" s="18">
        <f t="shared" si="1"/>
        <v>0</v>
      </c>
    </row>
    <row r="82">
      <c r="A82" s="54">
        <v>78.0</v>
      </c>
      <c r="B82" s="26" t="s">
        <v>1692</v>
      </c>
      <c r="C82" s="26">
        <v>52698.0</v>
      </c>
      <c r="D82" s="26" t="s">
        <v>1573</v>
      </c>
      <c r="E82" s="27"/>
      <c r="F82" s="37"/>
      <c r="G82" s="39"/>
      <c r="H82" s="30">
        <v>5000.0</v>
      </c>
      <c r="I82" s="31"/>
      <c r="J82" s="32"/>
      <c r="K82" s="33"/>
      <c r="L82" s="17">
        <v>5000.0</v>
      </c>
      <c r="M82" s="18">
        <f t="shared" si="1"/>
        <v>0</v>
      </c>
    </row>
    <row r="83">
      <c r="A83" s="54">
        <v>79.0</v>
      </c>
      <c r="B83" s="26" t="s">
        <v>1693</v>
      </c>
      <c r="C83" s="26">
        <v>55446.0</v>
      </c>
      <c r="D83" s="26" t="s">
        <v>1127</v>
      </c>
      <c r="E83" s="38">
        <v>700.0</v>
      </c>
      <c r="F83" s="37"/>
      <c r="G83" s="39"/>
      <c r="H83" s="30">
        <v>1800.0</v>
      </c>
      <c r="I83" s="31"/>
      <c r="J83" s="32"/>
      <c r="K83" s="33"/>
      <c r="L83" s="17">
        <v>2500.0</v>
      </c>
      <c r="M83" s="18">
        <f t="shared" si="1"/>
        <v>0</v>
      </c>
    </row>
    <row r="84">
      <c r="A84" s="54">
        <v>80.0</v>
      </c>
      <c r="B84" s="26" t="s">
        <v>1694</v>
      </c>
      <c r="C84" s="26">
        <v>52964.0</v>
      </c>
      <c r="D84" s="26" t="s">
        <v>1687</v>
      </c>
      <c r="E84" s="38">
        <v>50.0</v>
      </c>
      <c r="F84" s="37"/>
      <c r="G84" s="39"/>
      <c r="H84" s="30"/>
      <c r="I84" s="31"/>
      <c r="J84" s="32"/>
      <c r="K84" s="33"/>
      <c r="L84" s="17">
        <v>50.0</v>
      </c>
      <c r="M84" s="18">
        <f t="shared" si="1"/>
        <v>0</v>
      </c>
    </row>
    <row r="85">
      <c r="A85" s="54">
        <v>81.0</v>
      </c>
      <c r="B85" s="26" t="s">
        <v>1695</v>
      </c>
      <c r="C85" s="26">
        <v>57663.0</v>
      </c>
      <c r="D85" s="26" t="s">
        <v>1696</v>
      </c>
      <c r="E85" s="38">
        <v>17000.0</v>
      </c>
      <c r="F85" s="37">
        <v>10000.0</v>
      </c>
      <c r="G85" s="39"/>
      <c r="H85" s="30"/>
      <c r="I85" s="31"/>
      <c r="J85" s="32"/>
      <c r="K85" s="33"/>
      <c r="L85" s="17">
        <v>27000.0</v>
      </c>
      <c r="M85" s="18">
        <f t="shared" si="1"/>
        <v>0</v>
      </c>
    </row>
    <row r="86">
      <c r="A86" s="54">
        <v>82.0</v>
      </c>
      <c r="B86" s="26" t="s">
        <v>1697</v>
      </c>
      <c r="C86" s="26">
        <v>10008.0</v>
      </c>
      <c r="D86" s="26" t="s">
        <v>78</v>
      </c>
      <c r="E86" s="27"/>
      <c r="F86" s="37"/>
      <c r="G86" s="39"/>
      <c r="H86" s="30">
        <v>20000.0</v>
      </c>
      <c r="I86" s="31"/>
      <c r="J86" s="32"/>
      <c r="K86" s="33"/>
      <c r="L86" s="17">
        <v>20000.0</v>
      </c>
      <c r="M86" s="18">
        <f t="shared" si="1"/>
        <v>0</v>
      </c>
    </row>
    <row r="87">
      <c r="A87" s="54">
        <v>83.0</v>
      </c>
      <c r="B87" s="26" t="s">
        <v>1698</v>
      </c>
      <c r="C87" s="26">
        <v>49599.0</v>
      </c>
      <c r="D87" s="26" t="s">
        <v>672</v>
      </c>
      <c r="E87" s="27"/>
      <c r="F87" s="37"/>
      <c r="G87" s="39"/>
      <c r="H87" s="30">
        <v>700.0</v>
      </c>
      <c r="I87" s="31"/>
      <c r="J87" s="32"/>
      <c r="K87" s="33"/>
      <c r="L87" s="17">
        <v>700.0</v>
      </c>
      <c r="M87" s="18">
        <f t="shared" si="1"/>
        <v>0</v>
      </c>
    </row>
    <row r="88">
      <c r="A88" s="54">
        <v>84.0</v>
      </c>
      <c r="B88" s="26" t="s">
        <v>1699</v>
      </c>
      <c r="C88" s="26">
        <v>54076.0</v>
      </c>
      <c r="D88" s="26" t="s">
        <v>935</v>
      </c>
      <c r="E88" s="27"/>
      <c r="F88" s="37"/>
      <c r="G88" s="39"/>
      <c r="H88" s="30"/>
      <c r="I88" s="31">
        <v>5640.0</v>
      </c>
      <c r="J88" s="32"/>
      <c r="K88" s="33"/>
      <c r="L88" s="17">
        <v>5640.0</v>
      </c>
      <c r="M88" s="18">
        <f t="shared" si="1"/>
        <v>0</v>
      </c>
    </row>
    <row r="89">
      <c r="A89" s="54">
        <v>85.0</v>
      </c>
      <c r="B89" s="26" t="s">
        <v>1700</v>
      </c>
      <c r="C89" s="26">
        <v>43380.0</v>
      </c>
      <c r="D89" s="26" t="s">
        <v>61</v>
      </c>
      <c r="E89" s="27"/>
      <c r="F89" s="37">
        <v>3000.0</v>
      </c>
      <c r="G89" s="39"/>
      <c r="H89" s="30"/>
      <c r="I89" s="31"/>
      <c r="J89" s="32"/>
      <c r="K89" s="33"/>
      <c r="L89" s="17">
        <v>3000.0</v>
      </c>
      <c r="M89" s="18">
        <f t="shared" si="1"/>
        <v>0</v>
      </c>
    </row>
    <row r="90">
      <c r="A90" s="54">
        <v>86.0</v>
      </c>
      <c r="B90" s="26" t="s">
        <v>1701</v>
      </c>
      <c r="C90" s="26">
        <v>50596.0</v>
      </c>
      <c r="D90" s="26" t="s">
        <v>493</v>
      </c>
      <c r="E90" s="27"/>
      <c r="F90" s="37"/>
      <c r="G90" s="39"/>
      <c r="H90" s="30">
        <v>25000.0</v>
      </c>
      <c r="I90" s="31"/>
      <c r="J90" s="32"/>
      <c r="K90" s="33"/>
      <c r="L90" s="17">
        <v>25000.0</v>
      </c>
      <c r="M90" s="18">
        <f t="shared" si="1"/>
        <v>0</v>
      </c>
    </row>
    <row r="91">
      <c r="A91" s="54">
        <v>87.0</v>
      </c>
      <c r="B91" s="26" t="s">
        <v>1702</v>
      </c>
      <c r="C91" s="26">
        <v>52775.0</v>
      </c>
      <c r="D91" s="26" t="s">
        <v>1703</v>
      </c>
      <c r="E91" s="38">
        <v>700.0</v>
      </c>
      <c r="F91" s="37"/>
      <c r="G91" s="39"/>
      <c r="H91" s="30"/>
      <c r="I91" s="31"/>
      <c r="J91" s="32"/>
      <c r="K91" s="33"/>
      <c r="L91" s="17">
        <v>700.0</v>
      </c>
      <c r="M91" s="18">
        <f t="shared" si="1"/>
        <v>0</v>
      </c>
    </row>
    <row r="92">
      <c r="A92" s="54">
        <v>88.0</v>
      </c>
      <c r="B92" s="26" t="s">
        <v>1704</v>
      </c>
      <c r="C92" s="26">
        <v>54212.0</v>
      </c>
      <c r="D92" s="26" t="s">
        <v>1705</v>
      </c>
      <c r="E92" s="38">
        <v>7500.0</v>
      </c>
      <c r="F92" s="37"/>
      <c r="G92" s="39"/>
      <c r="H92" s="30"/>
      <c r="I92" s="31"/>
      <c r="J92" s="32"/>
      <c r="K92" s="33"/>
      <c r="L92" s="17">
        <v>7500.0</v>
      </c>
      <c r="M92" s="18">
        <f t="shared" si="1"/>
        <v>0</v>
      </c>
    </row>
    <row r="93">
      <c r="A93" s="54">
        <v>87.0</v>
      </c>
      <c r="B93" s="26" t="s">
        <v>1706</v>
      </c>
      <c r="C93" s="26">
        <v>53724.0</v>
      </c>
      <c r="D93" s="26" t="s">
        <v>1707</v>
      </c>
      <c r="E93" s="27"/>
      <c r="F93" s="37"/>
      <c r="G93" s="39"/>
      <c r="H93" s="30">
        <v>3600.0</v>
      </c>
      <c r="I93" s="31"/>
      <c r="J93" s="32"/>
      <c r="K93" s="33"/>
      <c r="L93" s="17">
        <v>3600.0</v>
      </c>
      <c r="M93" s="18">
        <f t="shared" si="1"/>
        <v>0</v>
      </c>
    </row>
    <row r="94">
      <c r="A94" s="54">
        <v>88.0</v>
      </c>
      <c r="B94" s="26" t="s">
        <v>1708</v>
      </c>
      <c r="C94" s="26">
        <v>10250.0</v>
      </c>
      <c r="D94" s="26" t="s">
        <v>107</v>
      </c>
      <c r="E94" s="27"/>
      <c r="F94" s="37"/>
      <c r="G94" s="39"/>
      <c r="H94" s="30">
        <v>500.0</v>
      </c>
      <c r="I94" s="31"/>
      <c r="J94" s="32"/>
      <c r="K94" s="33"/>
      <c r="L94" s="17">
        <v>500.0</v>
      </c>
      <c r="M94" s="18">
        <f t="shared" si="1"/>
        <v>0</v>
      </c>
    </row>
    <row r="95">
      <c r="A95" s="54">
        <v>89.0</v>
      </c>
      <c r="B95" s="26" t="s">
        <v>1709</v>
      </c>
      <c r="C95" s="26">
        <v>42046.0</v>
      </c>
      <c r="D95" s="26" t="s">
        <v>24</v>
      </c>
      <c r="E95" s="27"/>
      <c r="F95" s="37">
        <v>1450.0</v>
      </c>
      <c r="G95" s="39"/>
      <c r="H95" s="30"/>
      <c r="I95" s="31"/>
      <c r="J95" s="32"/>
      <c r="K95" s="33"/>
      <c r="L95" s="17">
        <v>1450.0</v>
      </c>
      <c r="M95" s="18">
        <f t="shared" si="1"/>
        <v>0</v>
      </c>
    </row>
    <row r="96">
      <c r="A96" s="54">
        <v>92.0</v>
      </c>
      <c r="B96" s="26" t="s">
        <v>1710</v>
      </c>
      <c r="C96" s="26">
        <v>42046.0</v>
      </c>
      <c r="D96" s="26" t="s">
        <v>24</v>
      </c>
      <c r="E96" s="27"/>
      <c r="F96" s="37">
        <v>10000.0</v>
      </c>
      <c r="G96" s="29"/>
      <c r="H96" s="30"/>
      <c r="I96" s="31"/>
      <c r="J96" s="35"/>
      <c r="K96" s="33"/>
      <c r="L96" s="17">
        <v>10000.0</v>
      </c>
      <c r="M96" s="18">
        <f t="shared" si="1"/>
        <v>0</v>
      </c>
    </row>
    <row r="97">
      <c r="A97" s="54">
        <v>93.0</v>
      </c>
      <c r="B97" s="26" t="s">
        <v>1711</v>
      </c>
      <c r="C97" s="26">
        <v>13762.0</v>
      </c>
      <c r="D97" s="26" t="s">
        <v>356</v>
      </c>
      <c r="E97" s="27"/>
      <c r="F97" s="37">
        <v>15000.0</v>
      </c>
      <c r="G97" s="29"/>
      <c r="H97" s="30"/>
      <c r="I97" s="31"/>
      <c r="J97" s="32"/>
      <c r="K97" s="33"/>
      <c r="L97" s="17">
        <v>15000.0</v>
      </c>
      <c r="M97" s="18">
        <f t="shared" si="1"/>
        <v>0</v>
      </c>
    </row>
    <row r="98">
      <c r="A98" s="54">
        <v>94.0</v>
      </c>
      <c r="B98" s="26" t="s">
        <v>1712</v>
      </c>
      <c r="C98" s="26">
        <v>40166.0</v>
      </c>
      <c r="D98" s="26" t="s">
        <v>1713</v>
      </c>
      <c r="E98" s="27"/>
      <c r="F98" s="28"/>
      <c r="G98" s="29"/>
      <c r="H98" s="30"/>
      <c r="I98" s="31">
        <v>3900.0</v>
      </c>
      <c r="J98" s="32"/>
      <c r="K98" s="33"/>
      <c r="L98" s="17">
        <v>3900.0</v>
      </c>
      <c r="M98" s="18">
        <f t="shared" si="1"/>
        <v>0</v>
      </c>
    </row>
    <row r="99">
      <c r="A99" s="54">
        <v>95.0</v>
      </c>
      <c r="B99" s="26" t="s">
        <v>1714</v>
      </c>
      <c r="C99" s="26">
        <v>52419.0</v>
      </c>
      <c r="D99" s="26" t="s">
        <v>1715</v>
      </c>
      <c r="E99" s="27"/>
      <c r="F99" s="28"/>
      <c r="G99" s="29"/>
      <c r="H99" s="30">
        <v>3700.0</v>
      </c>
      <c r="I99" s="31"/>
      <c r="J99" s="35"/>
      <c r="K99" s="33"/>
      <c r="L99" s="17">
        <v>3700.0</v>
      </c>
      <c r="M99" s="18">
        <f t="shared" si="1"/>
        <v>0</v>
      </c>
    </row>
    <row r="100">
      <c r="A100" s="54">
        <v>96.0</v>
      </c>
      <c r="B100" s="26" t="s">
        <v>1716</v>
      </c>
      <c r="C100" s="26">
        <v>22341.0</v>
      </c>
      <c r="D100" s="26" t="s">
        <v>293</v>
      </c>
      <c r="E100" s="27"/>
      <c r="F100" s="37"/>
      <c r="G100" s="29"/>
      <c r="H100" s="30">
        <v>2500.0</v>
      </c>
      <c r="I100" s="31"/>
      <c r="J100" s="32"/>
      <c r="K100" s="33"/>
      <c r="L100" s="17">
        <v>2500.0</v>
      </c>
      <c r="M100" s="18">
        <f t="shared" si="1"/>
        <v>0</v>
      </c>
    </row>
    <row r="101">
      <c r="A101" s="54">
        <v>97.0</v>
      </c>
      <c r="B101" s="26" t="s">
        <v>1717</v>
      </c>
      <c r="C101" s="26">
        <v>39317.0</v>
      </c>
      <c r="D101" s="26" t="s">
        <v>84</v>
      </c>
      <c r="E101" s="27"/>
      <c r="F101" s="37"/>
      <c r="G101" s="29"/>
      <c r="H101" s="30"/>
      <c r="I101" s="31">
        <v>26200.0</v>
      </c>
      <c r="J101" s="35"/>
      <c r="K101" s="33"/>
      <c r="L101" s="17">
        <v>26200.0</v>
      </c>
      <c r="M101" s="18">
        <f t="shared" si="1"/>
        <v>0</v>
      </c>
    </row>
    <row r="102">
      <c r="A102" s="54">
        <v>98.0</v>
      </c>
      <c r="B102" s="26" t="s">
        <v>1718</v>
      </c>
      <c r="C102" s="26">
        <v>55608.0</v>
      </c>
      <c r="D102" s="26" t="s">
        <v>1719</v>
      </c>
      <c r="E102" s="27"/>
      <c r="F102" s="37"/>
      <c r="G102" s="29"/>
      <c r="H102" s="30">
        <v>300.0</v>
      </c>
      <c r="I102" s="31"/>
      <c r="J102" s="35"/>
      <c r="K102" s="33"/>
      <c r="L102" s="17">
        <v>300.0</v>
      </c>
      <c r="M102" s="18">
        <f t="shared" si="1"/>
        <v>0</v>
      </c>
    </row>
    <row r="103">
      <c r="A103" s="54">
        <v>99.0</v>
      </c>
      <c r="B103" s="26" t="s">
        <v>1720</v>
      </c>
      <c r="C103" s="26">
        <v>51166.0</v>
      </c>
      <c r="D103" s="26" t="s">
        <v>370</v>
      </c>
      <c r="E103" s="27"/>
      <c r="F103" s="37"/>
      <c r="G103" s="39">
        <v>10000.0</v>
      </c>
      <c r="H103" s="30"/>
      <c r="I103" s="31"/>
      <c r="J103" s="32"/>
      <c r="K103" s="33"/>
      <c r="L103" s="17">
        <v>10000.0</v>
      </c>
      <c r="M103" s="18">
        <f t="shared" si="1"/>
        <v>0</v>
      </c>
    </row>
    <row r="104">
      <c r="A104" s="54">
        <v>100.0</v>
      </c>
      <c r="B104" s="26" t="s">
        <v>1721</v>
      </c>
      <c r="C104" s="26">
        <v>49918.0</v>
      </c>
      <c r="D104" s="26" t="s">
        <v>114</v>
      </c>
      <c r="E104" s="27"/>
      <c r="F104" s="28"/>
      <c r="G104" s="39">
        <v>3000.0</v>
      </c>
      <c r="H104" s="30"/>
      <c r="I104" s="31"/>
      <c r="J104" s="32"/>
      <c r="K104" s="33"/>
      <c r="L104" s="17">
        <v>3000.0</v>
      </c>
      <c r="M104" s="18">
        <f t="shared" si="1"/>
        <v>0</v>
      </c>
    </row>
    <row r="105">
      <c r="A105" s="54">
        <v>101.0</v>
      </c>
      <c r="B105" s="26" t="s">
        <v>1722</v>
      </c>
      <c r="C105" s="26">
        <v>50221.0</v>
      </c>
      <c r="D105" s="26" t="s">
        <v>252</v>
      </c>
      <c r="E105" s="27"/>
      <c r="F105" s="28"/>
      <c r="G105" s="39">
        <v>2650.0</v>
      </c>
      <c r="H105" s="30"/>
      <c r="I105" s="31"/>
      <c r="J105" s="32"/>
      <c r="K105" s="33"/>
      <c r="L105" s="17">
        <v>2650.0</v>
      </c>
      <c r="M105" s="18">
        <f t="shared" si="1"/>
        <v>0</v>
      </c>
    </row>
    <row r="106">
      <c r="A106" s="54">
        <v>102.0</v>
      </c>
      <c r="B106" s="26" t="s">
        <v>1723</v>
      </c>
      <c r="C106" s="26">
        <v>38919.0</v>
      </c>
      <c r="D106" s="26" t="s">
        <v>1724</v>
      </c>
      <c r="E106" s="27"/>
      <c r="F106" s="28"/>
      <c r="G106" s="39">
        <v>6600.0</v>
      </c>
      <c r="H106" s="30"/>
      <c r="I106" s="31"/>
      <c r="J106" s="32"/>
      <c r="K106" s="33"/>
      <c r="L106" s="17">
        <v>6600.0</v>
      </c>
      <c r="M106" s="18">
        <f t="shared" si="1"/>
        <v>0</v>
      </c>
    </row>
    <row r="107">
      <c r="A107" s="54">
        <v>103.0</v>
      </c>
      <c r="B107" s="26" t="s">
        <v>1725</v>
      </c>
      <c r="C107" s="26">
        <v>49953.0</v>
      </c>
      <c r="D107" s="26" t="s">
        <v>242</v>
      </c>
      <c r="E107" s="27"/>
      <c r="F107" s="28"/>
      <c r="G107" s="39">
        <v>20000.0</v>
      </c>
      <c r="H107" s="30"/>
      <c r="I107" s="31"/>
      <c r="J107" s="32"/>
      <c r="K107" s="33"/>
      <c r="L107" s="17">
        <v>20000.0</v>
      </c>
      <c r="M107" s="18">
        <f t="shared" si="1"/>
        <v>0</v>
      </c>
    </row>
    <row r="108">
      <c r="A108" s="54">
        <v>104.0</v>
      </c>
      <c r="B108" s="26" t="s">
        <v>1726</v>
      </c>
      <c r="C108" s="26">
        <v>42071.0</v>
      </c>
      <c r="D108" s="26" t="s">
        <v>30</v>
      </c>
      <c r="E108" s="27"/>
      <c r="F108" s="28"/>
      <c r="G108" s="39">
        <v>22850.0</v>
      </c>
      <c r="H108" s="30"/>
      <c r="I108" s="31"/>
      <c r="J108" s="32"/>
      <c r="K108" s="33"/>
      <c r="L108" s="17">
        <v>22850.0</v>
      </c>
      <c r="M108" s="18">
        <f t="shared" si="1"/>
        <v>0</v>
      </c>
    </row>
    <row r="109">
      <c r="A109" s="41"/>
      <c r="B109" s="45"/>
      <c r="C109" s="45"/>
      <c r="D109" s="44"/>
      <c r="E109" s="22">
        <f t="shared" ref="E109:J109" si="2">SUM(E51:E108)</f>
        <v>25950</v>
      </c>
      <c r="F109" s="22">
        <f t="shared" si="2"/>
        <v>136950</v>
      </c>
      <c r="G109" s="22">
        <f t="shared" si="2"/>
        <v>65100</v>
      </c>
      <c r="H109" s="22">
        <f t="shared" si="2"/>
        <v>147807</v>
      </c>
      <c r="I109" s="22">
        <f t="shared" si="2"/>
        <v>167490</v>
      </c>
      <c r="J109" s="22">
        <f t="shared" si="2"/>
        <v>0</v>
      </c>
      <c r="K109" s="22">
        <f>SUM(K69:K108)</f>
        <v>0</v>
      </c>
      <c r="L109" s="22">
        <f t="shared" ref="L109:M109" si="3">SUM(L5:L108)</f>
        <v>998547</v>
      </c>
      <c r="M109" s="22">
        <f t="shared" si="3"/>
        <v>-300</v>
      </c>
    </row>
    <row r="110">
      <c r="A110" s="23"/>
      <c r="B110" s="23"/>
      <c r="C110" s="23"/>
      <c r="D110" s="23"/>
      <c r="E110" s="24">
        <f>SUM(K109:M109)</f>
        <v>998247</v>
      </c>
      <c r="F110" s="6"/>
      <c r="G110" s="6"/>
      <c r="H110" s="6"/>
      <c r="I110" s="6"/>
      <c r="J110" s="6"/>
      <c r="K110" s="7"/>
      <c r="L110" s="25"/>
      <c r="M110" s="23"/>
    </row>
    <row r="111">
      <c r="L111" s="40" t="s">
        <v>254</v>
      </c>
    </row>
  </sheetData>
  <mergeCells count="14">
    <mergeCell ref="F3:G3"/>
    <mergeCell ref="H3:I3"/>
    <mergeCell ref="J3:J4"/>
    <mergeCell ref="K3:K4"/>
    <mergeCell ref="E110:K110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5"/>
    <col customWidth="1" min="2" max="2" width="24.75"/>
    <col customWidth="1" min="4" max="4" width="43.25"/>
    <col customWidth="1" min="5" max="5" width="9.5"/>
  </cols>
  <sheetData>
    <row r="1">
      <c r="A1" s="1" t="s">
        <v>1727</v>
      </c>
    </row>
    <row r="2">
      <c r="A2" s="2" t="s">
        <v>1</v>
      </c>
      <c r="B2" s="3" t="s">
        <v>2</v>
      </c>
      <c r="C2" s="2" t="s">
        <v>3</v>
      </c>
      <c r="D2" s="4" t="s">
        <v>4</v>
      </c>
      <c r="E2" s="5" t="s">
        <v>5</v>
      </c>
      <c r="F2" s="6"/>
      <c r="G2" s="6"/>
      <c r="H2" s="6"/>
      <c r="I2" s="6"/>
      <c r="J2" s="6"/>
      <c r="K2" s="6"/>
      <c r="L2" s="6"/>
      <c r="M2" s="7"/>
    </row>
    <row r="3">
      <c r="A3" s="8"/>
      <c r="B3" s="8"/>
      <c r="C3" s="8"/>
      <c r="D3" s="8"/>
      <c r="E3" s="2" t="s">
        <v>6</v>
      </c>
      <c r="F3" s="5" t="s">
        <v>7</v>
      </c>
      <c r="G3" s="7"/>
      <c r="H3" s="5" t="s">
        <v>8</v>
      </c>
      <c r="I3" s="7"/>
      <c r="J3" s="2" t="s">
        <v>9</v>
      </c>
      <c r="K3" s="4" t="s">
        <v>10</v>
      </c>
      <c r="L3" s="2" t="s">
        <v>11</v>
      </c>
      <c r="M3" s="2" t="s">
        <v>12</v>
      </c>
    </row>
    <row r="4">
      <c r="A4" s="9"/>
      <c r="B4" s="9"/>
      <c r="C4" s="9"/>
      <c r="D4" s="9"/>
      <c r="E4" s="9"/>
      <c r="F4" s="10" t="s">
        <v>13</v>
      </c>
      <c r="G4" s="10" t="s">
        <v>14</v>
      </c>
      <c r="H4" s="10" t="s">
        <v>15</v>
      </c>
      <c r="I4" s="11" t="s">
        <v>16</v>
      </c>
      <c r="J4" s="9"/>
      <c r="K4" s="9"/>
      <c r="L4" s="9"/>
      <c r="M4" s="9"/>
    </row>
    <row r="5">
      <c r="A5" s="54">
        <v>1.0</v>
      </c>
      <c r="B5" s="46" t="s">
        <v>1728</v>
      </c>
      <c r="C5" s="46">
        <v>48072.0</v>
      </c>
      <c r="D5" s="46" t="s">
        <v>554</v>
      </c>
      <c r="E5" s="27"/>
      <c r="F5" s="28"/>
      <c r="G5" s="29"/>
      <c r="H5" s="30">
        <v>921.0</v>
      </c>
      <c r="I5" s="31"/>
      <c r="J5" s="32"/>
      <c r="K5" s="50"/>
      <c r="L5" s="47">
        <v>921.0</v>
      </c>
      <c r="M5" s="18">
        <f t="shared" ref="M5:M68" si="1">SUM(E5+F5+G5+H5+I5+J5+K5-L5)</f>
        <v>0</v>
      </c>
    </row>
    <row r="6">
      <c r="A6" s="54">
        <v>2.0</v>
      </c>
      <c r="B6" s="46" t="s">
        <v>1729</v>
      </c>
      <c r="C6" s="46">
        <v>43381.0</v>
      </c>
      <c r="D6" s="46" t="s">
        <v>1730</v>
      </c>
      <c r="E6" s="38">
        <v>2850.0</v>
      </c>
      <c r="F6" s="28"/>
      <c r="G6" s="29"/>
      <c r="H6" s="30"/>
      <c r="I6" s="31"/>
      <c r="J6" s="35"/>
      <c r="K6" s="50"/>
      <c r="L6" s="47">
        <v>2850.0</v>
      </c>
      <c r="M6" s="18">
        <f t="shared" si="1"/>
        <v>0</v>
      </c>
    </row>
    <row r="7">
      <c r="A7" s="54">
        <v>3.0</v>
      </c>
      <c r="B7" s="46" t="s">
        <v>1731</v>
      </c>
      <c r="C7" s="46">
        <v>28414.0</v>
      </c>
      <c r="D7" s="46" t="s">
        <v>833</v>
      </c>
      <c r="E7" s="27"/>
      <c r="F7" s="28"/>
      <c r="G7" s="29"/>
      <c r="H7" s="30">
        <v>4150.0</v>
      </c>
      <c r="I7" s="31"/>
      <c r="J7" s="32"/>
      <c r="K7" s="50"/>
      <c r="L7" s="47">
        <v>4150.0</v>
      </c>
      <c r="M7" s="18">
        <f t="shared" si="1"/>
        <v>0</v>
      </c>
    </row>
    <row r="8">
      <c r="A8" s="54">
        <v>4.0</v>
      </c>
      <c r="B8" s="46" t="s">
        <v>1732</v>
      </c>
      <c r="C8" s="46">
        <v>14329.0</v>
      </c>
      <c r="D8" s="46" t="s">
        <v>210</v>
      </c>
      <c r="E8" s="27"/>
      <c r="F8" s="28"/>
      <c r="G8" s="29"/>
      <c r="H8" s="30"/>
      <c r="I8" s="31">
        <v>1400.0</v>
      </c>
      <c r="J8" s="32"/>
      <c r="K8" s="50"/>
      <c r="L8" s="47">
        <v>1400.0</v>
      </c>
      <c r="M8" s="18">
        <f t="shared" si="1"/>
        <v>0</v>
      </c>
    </row>
    <row r="9">
      <c r="A9" s="54">
        <v>5.0</v>
      </c>
      <c r="B9" s="46" t="s">
        <v>1733</v>
      </c>
      <c r="C9" s="46">
        <v>24751.0</v>
      </c>
      <c r="D9" s="46" t="s">
        <v>610</v>
      </c>
      <c r="E9" s="27"/>
      <c r="F9" s="28"/>
      <c r="G9" s="29"/>
      <c r="H9" s="30">
        <v>1650.0</v>
      </c>
      <c r="I9" s="31"/>
      <c r="J9" s="32"/>
      <c r="K9" s="50"/>
      <c r="L9" s="47">
        <v>1650.0</v>
      </c>
      <c r="M9" s="18">
        <f t="shared" si="1"/>
        <v>0</v>
      </c>
    </row>
    <row r="10">
      <c r="A10" s="54">
        <v>6.0</v>
      </c>
      <c r="B10" s="46" t="s">
        <v>1734</v>
      </c>
      <c r="C10" s="46">
        <v>36555.0</v>
      </c>
      <c r="D10" s="46" t="s">
        <v>172</v>
      </c>
      <c r="E10" s="27"/>
      <c r="F10" s="28"/>
      <c r="G10" s="29"/>
      <c r="H10" s="30">
        <v>15200.0</v>
      </c>
      <c r="I10" s="31"/>
      <c r="J10" s="32"/>
      <c r="K10" s="50"/>
      <c r="L10" s="47">
        <v>15200.0</v>
      </c>
      <c r="M10" s="18">
        <f t="shared" si="1"/>
        <v>0</v>
      </c>
    </row>
    <row r="11">
      <c r="A11" s="54">
        <v>7.0</v>
      </c>
      <c r="B11" s="46" t="s">
        <v>1735</v>
      </c>
      <c r="C11" s="46">
        <v>35245.0</v>
      </c>
      <c r="D11" s="46" t="s">
        <v>34</v>
      </c>
      <c r="E11" s="27"/>
      <c r="F11" s="28"/>
      <c r="G11" s="29"/>
      <c r="H11" s="30">
        <v>10000.0</v>
      </c>
      <c r="I11" s="31"/>
      <c r="J11" s="32"/>
      <c r="K11" s="50"/>
      <c r="L11" s="47">
        <v>10000.0</v>
      </c>
      <c r="M11" s="18">
        <f t="shared" si="1"/>
        <v>0</v>
      </c>
    </row>
    <row r="12">
      <c r="A12" s="54">
        <v>8.0</v>
      </c>
      <c r="B12" s="46" t="s">
        <v>1736</v>
      </c>
      <c r="C12" s="46">
        <v>50871.0</v>
      </c>
      <c r="D12" s="46" t="s">
        <v>105</v>
      </c>
      <c r="E12" s="27"/>
      <c r="F12" s="28"/>
      <c r="G12" s="29"/>
      <c r="H12" s="30">
        <v>50000.0</v>
      </c>
      <c r="I12" s="31"/>
      <c r="J12" s="32"/>
      <c r="K12" s="50"/>
      <c r="L12" s="47">
        <v>50000.0</v>
      </c>
      <c r="M12" s="18">
        <f t="shared" si="1"/>
        <v>0</v>
      </c>
    </row>
    <row r="13">
      <c r="A13" s="54">
        <v>9.0</v>
      </c>
      <c r="B13" s="46" t="s">
        <v>1737</v>
      </c>
      <c r="C13" s="46">
        <v>42339.0</v>
      </c>
      <c r="D13" s="46" t="s">
        <v>1738</v>
      </c>
      <c r="E13" s="27"/>
      <c r="F13" s="28"/>
      <c r="G13" s="29"/>
      <c r="H13" s="30"/>
      <c r="I13" s="31">
        <v>2650.0</v>
      </c>
      <c r="J13" s="32"/>
      <c r="K13" s="50"/>
      <c r="L13" s="47">
        <v>2650.0</v>
      </c>
      <c r="M13" s="18">
        <f t="shared" si="1"/>
        <v>0</v>
      </c>
    </row>
    <row r="14">
      <c r="A14" s="54">
        <v>10.0</v>
      </c>
      <c r="B14" s="46" t="s">
        <v>1739</v>
      </c>
      <c r="C14" s="46">
        <v>19688.0</v>
      </c>
      <c r="D14" s="46" t="s">
        <v>679</v>
      </c>
      <c r="E14" s="27"/>
      <c r="F14" s="28"/>
      <c r="G14" s="29"/>
      <c r="H14" s="30">
        <v>15000.0</v>
      </c>
      <c r="I14" s="31"/>
      <c r="J14" s="32"/>
      <c r="K14" s="50"/>
      <c r="L14" s="47">
        <v>15000.0</v>
      </c>
      <c r="M14" s="18">
        <f t="shared" si="1"/>
        <v>0</v>
      </c>
    </row>
    <row r="15">
      <c r="A15" s="54">
        <v>11.0</v>
      </c>
      <c r="B15" s="46" t="s">
        <v>1740</v>
      </c>
      <c r="C15" s="46">
        <v>33065.0</v>
      </c>
      <c r="D15" s="46" t="s">
        <v>36</v>
      </c>
      <c r="E15" s="27"/>
      <c r="F15" s="28"/>
      <c r="G15" s="29"/>
      <c r="H15" s="30">
        <v>5150.0</v>
      </c>
      <c r="I15" s="31"/>
      <c r="J15" s="32"/>
      <c r="K15" s="50"/>
      <c r="L15" s="47">
        <v>5150.0</v>
      </c>
      <c r="M15" s="18">
        <f t="shared" si="1"/>
        <v>0</v>
      </c>
    </row>
    <row r="16">
      <c r="A16" s="54">
        <v>12.0</v>
      </c>
      <c r="B16" s="46" t="s">
        <v>1741</v>
      </c>
      <c r="C16" s="46">
        <v>19688.0</v>
      </c>
      <c r="D16" s="46" t="s">
        <v>679</v>
      </c>
      <c r="E16" s="27"/>
      <c r="F16" s="28"/>
      <c r="G16" s="29"/>
      <c r="H16" s="30">
        <v>400.0</v>
      </c>
      <c r="I16" s="31"/>
      <c r="J16" s="32"/>
      <c r="K16" s="50"/>
      <c r="L16" s="47">
        <v>400.0</v>
      </c>
      <c r="M16" s="18">
        <f t="shared" si="1"/>
        <v>0</v>
      </c>
    </row>
    <row r="17">
      <c r="A17" s="54">
        <v>13.0</v>
      </c>
      <c r="B17" s="46" t="s">
        <v>1742</v>
      </c>
      <c r="C17" s="46">
        <v>51406.0</v>
      </c>
      <c r="D17" s="46" t="s">
        <v>18</v>
      </c>
      <c r="E17" s="27"/>
      <c r="F17" s="28"/>
      <c r="G17" s="29"/>
      <c r="H17" s="30"/>
      <c r="I17" s="31">
        <v>20000.0</v>
      </c>
      <c r="J17" s="32"/>
      <c r="K17" s="50"/>
      <c r="L17" s="47">
        <v>20000.0</v>
      </c>
      <c r="M17" s="18">
        <f t="shared" si="1"/>
        <v>0</v>
      </c>
    </row>
    <row r="18">
      <c r="A18" s="54">
        <v>14.0</v>
      </c>
      <c r="B18" s="46" t="s">
        <v>1743</v>
      </c>
      <c r="C18" s="46">
        <v>47510.0</v>
      </c>
      <c r="D18" s="46" t="s">
        <v>918</v>
      </c>
      <c r="E18" s="27"/>
      <c r="F18" s="28"/>
      <c r="G18" s="29"/>
      <c r="H18" s="30">
        <v>5100.0</v>
      </c>
      <c r="I18" s="31"/>
      <c r="J18" s="32"/>
      <c r="K18" s="50"/>
      <c r="L18" s="47">
        <v>5100.0</v>
      </c>
      <c r="M18" s="18">
        <f t="shared" si="1"/>
        <v>0</v>
      </c>
    </row>
    <row r="19">
      <c r="A19" s="54">
        <v>15.0</v>
      </c>
      <c r="B19" s="46" t="s">
        <v>1744</v>
      </c>
      <c r="C19" s="46">
        <v>47510.0</v>
      </c>
      <c r="D19" s="46" t="s">
        <v>918</v>
      </c>
      <c r="E19" s="27"/>
      <c r="F19" s="28"/>
      <c r="G19" s="29"/>
      <c r="H19" s="30">
        <v>5000.0</v>
      </c>
      <c r="I19" s="31"/>
      <c r="J19" s="32"/>
      <c r="K19" s="50"/>
      <c r="L19" s="47">
        <v>5000.0</v>
      </c>
      <c r="M19" s="18">
        <f t="shared" si="1"/>
        <v>0</v>
      </c>
    </row>
    <row r="20">
      <c r="A20" s="54">
        <v>16.0</v>
      </c>
      <c r="B20" s="46" t="s">
        <v>1745</v>
      </c>
      <c r="C20" s="46">
        <v>51512.0</v>
      </c>
      <c r="D20" s="46" t="s">
        <v>1746</v>
      </c>
      <c r="E20" s="27"/>
      <c r="F20" s="28"/>
      <c r="G20" s="29"/>
      <c r="H20" s="30"/>
      <c r="I20" s="31">
        <v>4050.0</v>
      </c>
      <c r="J20" s="32"/>
      <c r="K20" s="50"/>
      <c r="L20" s="47">
        <v>4050.0</v>
      </c>
      <c r="M20" s="18">
        <f t="shared" si="1"/>
        <v>0</v>
      </c>
    </row>
    <row r="21">
      <c r="A21" s="54">
        <v>17.0</v>
      </c>
      <c r="B21" s="46" t="s">
        <v>1747</v>
      </c>
      <c r="C21" s="46">
        <v>48631.0</v>
      </c>
      <c r="D21" s="46" t="s">
        <v>118</v>
      </c>
      <c r="E21" s="27"/>
      <c r="F21" s="28"/>
      <c r="G21" s="29"/>
      <c r="H21" s="30">
        <v>7450.0</v>
      </c>
      <c r="I21" s="31"/>
      <c r="J21" s="32"/>
      <c r="K21" s="50"/>
      <c r="L21" s="47">
        <v>7450.0</v>
      </c>
      <c r="M21" s="18">
        <f t="shared" si="1"/>
        <v>0</v>
      </c>
    </row>
    <row r="22">
      <c r="A22" s="54">
        <v>18.0</v>
      </c>
      <c r="B22" s="46" t="s">
        <v>1748</v>
      </c>
      <c r="C22" s="46">
        <v>52206.0</v>
      </c>
      <c r="D22" s="46" t="s">
        <v>1419</v>
      </c>
      <c r="E22" s="27"/>
      <c r="F22" s="28"/>
      <c r="G22" s="29"/>
      <c r="H22" s="30">
        <v>350.0</v>
      </c>
      <c r="I22" s="31"/>
      <c r="J22" s="32"/>
      <c r="K22" s="50"/>
      <c r="L22" s="47">
        <v>350.0</v>
      </c>
      <c r="M22" s="18">
        <f t="shared" si="1"/>
        <v>0</v>
      </c>
    </row>
    <row r="23">
      <c r="A23" s="54">
        <v>19.0</v>
      </c>
      <c r="B23" s="46" t="s">
        <v>1749</v>
      </c>
      <c r="C23" s="46">
        <v>39588.0</v>
      </c>
      <c r="D23" s="46" t="s">
        <v>274</v>
      </c>
      <c r="E23" s="27"/>
      <c r="F23" s="28"/>
      <c r="G23" s="29"/>
      <c r="H23" s="30">
        <v>4500.0</v>
      </c>
      <c r="I23" s="31"/>
      <c r="J23" s="32"/>
      <c r="K23" s="50"/>
      <c r="L23" s="47">
        <v>4500.0</v>
      </c>
      <c r="M23" s="18">
        <f t="shared" si="1"/>
        <v>0</v>
      </c>
    </row>
    <row r="24">
      <c r="A24" s="54">
        <v>20.0</v>
      </c>
      <c r="B24" s="46" t="s">
        <v>1750</v>
      </c>
      <c r="C24" s="46">
        <v>50538.0</v>
      </c>
      <c r="D24" s="46" t="s">
        <v>605</v>
      </c>
      <c r="E24" s="27"/>
      <c r="F24" s="28"/>
      <c r="G24" s="29"/>
      <c r="H24" s="30">
        <v>5000.0</v>
      </c>
      <c r="I24" s="31"/>
      <c r="J24" s="32"/>
      <c r="K24" s="50"/>
      <c r="L24" s="47">
        <v>5000.0</v>
      </c>
      <c r="M24" s="18">
        <f t="shared" si="1"/>
        <v>0</v>
      </c>
    </row>
    <row r="25">
      <c r="A25" s="54">
        <v>21.0</v>
      </c>
      <c r="B25" s="46" t="s">
        <v>1751</v>
      </c>
      <c r="C25" s="46">
        <v>50221.0</v>
      </c>
      <c r="D25" s="46" t="s">
        <v>252</v>
      </c>
      <c r="E25" s="27"/>
      <c r="F25" s="28"/>
      <c r="G25" s="29"/>
      <c r="H25" s="30">
        <v>348.0</v>
      </c>
      <c r="I25" s="31"/>
      <c r="J25" s="32"/>
      <c r="K25" s="50"/>
      <c r="L25" s="47">
        <v>348.0</v>
      </c>
      <c r="M25" s="18">
        <f t="shared" si="1"/>
        <v>0</v>
      </c>
    </row>
    <row r="26">
      <c r="A26" s="54">
        <v>22.0</v>
      </c>
      <c r="B26" s="46" t="s">
        <v>1752</v>
      </c>
      <c r="C26" s="46">
        <v>50538.0</v>
      </c>
      <c r="D26" s="46" t="s">
        <v>605</v>
      </c>
      <c r="E26" s="27"/>
      <c r="F26" s="28"/>
      <c r="G26" s="29"/>
      <c r="H26" s="30">
        <v>5000.0</v>
      </c>
      <c r="I26" s="31"/>
      <c r="J26" s="32"/>
      <c r="K26" s="50"/>
      <c r="L26" s="47">
        <v>5000.0</v>
      </c>
      <c r="M26" s="18">
        <f t="shared" si="1"/>
        <v>0</v>
      </c>
    </row>
    <row r="27">
      <c r="A27" s="54">
        <v>23.0</v>
      </c>
      <c r="B27" s="46" t="s">
        <v>1753</v>
      </c>
      <c r="C27" s="46">
        <v>48657.0</v>
      </c>
      <c r="D27" s="46" t="s">
        <v>1663</v>
      </c>
      <c r="E27" s="27"/>
      <c r="F27" s="28"/>
      <c r="G27" s="29"/>
      <c r="H27" s="30">
        <v>550.0</v>
      </c>
      <c r="I27" s="31"/>
      <c r="J27" s="32"/>
      <c r="K27" s="50"/>
      <c r="L27" s="47">
        <v>550.0</v>
      </c>
      <c r="M27" s="18">
        <f t="shared" si="1"/>
        <v>0</v>
      </c>
    </row>
    <row r="28">
      <c r="A28" s="54">
        <v>24.0</v>
      </c>
      <c r="B28" s="46" t="s">
        <v>1754</v>
      </c>
      <c r="C28" s="46">
        <v>55179.0</v>
      </c>
      <c r="D28" s="46" t="s">
        <v>662</v>
      </c>
      <c r="E28" s="27"/>
      <c r="F28" s="28"/>
      <c r="G28" s="29"/>
      <c r="H28" s="30"/>
      <c r="I28" s="31">
        <v>16250.0</v>
      </c>
      <c r="J28" s="32"/>
      <c r="K28" s="50"/>
      <c r="L28" s="47">
        <v>16250.0</v>
      </c>
      <c r="M28" s="18">
        <f t="shared" si="1"/>
        <v>0</v>
      </c>
    </row>
    <row r="29">
      <c r="A29" s="54">
        <v>25.0</v>
      </c>
      <c r="B29" s="46" t="s">
        <v>1755</v>
      </c>
      <c r="C29" s="46">
        <v>39317.0</v>
      </c>
      <c r="D29" s="46" t="s">
        <v>84</v>
      </c>
      <c r="E29" s="27"/>
      <c r="F29" s="28"/>
      <c r="G29" s="29"/>
      <c r="H29" s="30">
        <v>15000.0</v>
      </c>
      <c r="I29" s="31"/>
      <c r="J29" s="32"/>
      <c r="K29" s="50"/>
      <c r="L29" s="47">
        <v>15000.0</v>
      </c>
      <c r="M29" s="18">
        <f t="shared" si="1"/>
        <v>0</v>
      </c>
    </row>
    <row r="30">
      <c r="A30" s="54">
        <v>26.0</v>
      </c>
      <c r="B30" s="46" t="s">
        <v>1756</v>
      </c>
      <c r="C30" s="46">
        <v>21384.0</v>
      </c>
      <c r="D30" s="46" t="s">
        <v>38</v>
      </c>
      <c r="E30" s="38">
        <v>1250.0</v>
      </c>
      <c r="F30" s="28"/>
      <c r="G30" s="29"/>
      <c r="H30" s="30"/>
      <c r="I30" s="31"/>
      <c r="J30" s="32"/>
      <c r="K30" s="50"/>
      <c r="L30" s="47">
        <v>1250.0</v>
      </c>
      <c r="M30" s="18">
        <f t="shared" si="1"/>
        <v>0</v>
      </c>
    </row>
    <row r="31">
      <c r="A31" s="54">
        <v>27.0</v>
      </c>
      <c r="B31" s="46" t="s">
        <v>1757</v>
      </c>
      <c r="C31" s="46">
        <v>13781.0</v>
      </c>
      <c r="D31" s="46" t="s">
        <v>278</v>
      </c>
      <c r="E31" s="27"/>
      <c r="F31" s="28"/>
      <c r="G31" s="29"/>
      <c r="H31" s="30">
        <v>10400.0</v>
      </c>
      <c r="I31" s="31"/>
      <c r="J31" s="32"/>
      <c r="K31" s="50"/>
      <c r="L31" s="47">
        <v>10400.0</v>
      </c>
      <c r="M31" s="18">
        <f t="shared" si="1"/>
        <v>0</v>
      </c>
    </row>
    <row r="32">
      <c r="A32" s="54">
        <v>28.0</v>
      </c>
      <c r="B32" s="46" t="s">
        <v>1758</v>
      </c>
      <c r="C32" s="46">
        <v>31738.0</v>
      </c>
      <c r="D32" s="46" t="s">
        <v>154</v>
      </c>
      <c r="E32" s="27"/>
      <c r="F32" s="28"/>
      <c r="G32" s="29"/>
      <c r="H32" s="30">
        <v>17650.0</v>
      </c>
      <c r="I32" s="31"/>
      <c r="J32" s="32"/>
      <c r="K32" s="50"/>
      <c r="L32" s="47">
        <v>17650.0</v>
      </c>
      <c r="M32" s="18">
        <f t="shared" si="1"/>
        <v>0</v>
      </c>
    </row>
    <row r="33">
      <c r="A33" s="54">
        <v>29.0</v>
      </c>
      <c r="B33" s="46" t="s">
        <v>1759</v>
      </c>
      <c r="C33" s="46">
        <v>52576.0</v>
      </c>
      <c r="D33" s="46" t="s">
        <v>394</v>
      </c>
      <c r="E33" s="27"/>
      <c r="F33" s="28"/>
      <c r="G33" s="29"/>
      <c r="H33" s="30">
        <v>10000.0</v>
      </c>
      <c r="I33" s="31"/>
      <c r="J33" s="32"/>
      <c r="K33" s="50"/>
      <c r="L33" s="47">
        <v>10000.0</v>
      </c>
      <c r="M33" s="18">
        <f t="shared" si="1"/>
        <v>0</v>
      </c>
    </row>
    <row r="34">
      <c r="A34" s="54">
        <v>30.0</v>
      </c>
      <c r="B34" s="46" t="s">
        <v>1760</v>
      </c>
      <c r="C34" s="46">
        <v>57699.0</v>
      </c>
      <c r="D34" s="46" t="s">
        <v>1761</v>
      </c>
      <c r="E34" s="27"/>
      <c r="F34" s="28"/>
      <c r="G34" s="29"/>
      <c r="H34" s="30"/>
      <c r="I34" s="31">
        <v>27000.0</v>
      </c>
      <c r="J34" s="32"/>
      <c r="K34" s="50"/>
      <c r="L34" s="47">
        <v>27000.0</v>
      </c>
      <c r="M34" s="18">
        <f t="shared" si="1"/>
        <v>0</v>
      </c>
    </row>
    <row r="35">
      <c r="A35" s="54">
        <v>31.0</v>
      </c>
      <c r="B35" s="46" t="s">
        <v>1762</v>
      </c>
      <c r="C35" s="46">
        <v>56745.0</v>
      </c>
      <c r="D35" s="46" t="s">
        <v>589</v>
      </c>
      <c r="E35" s="27"/>
      <c r="F35" s="37"/>
      <c r="G35" s="29"/>
      <c r="H35" s="30">
        <v>2650.0</v>
      </c>
      <c r="I35" s="31"/>
      <c r="J35" s="32"/>
      <c r="K35" s="50"/>
      <c r="L35" s="47">
        <v>2650.0</v>
      </c>
      <c r="M35" s="18">
        <f t="shared" si="1"/>
        <v>0</v>
      </c>
    </row>
    <row r="36">
      <c r="A36" s="54">
        <v>32.0</v>
      </c>
      <c r="B36" s="46" t="s">
        <v>1763</v>
      </c>
      <c r="C36" s="46">
        <v>46210.0</v>
      </c>
      <c r="D36" s="46" t="s">
        <v>1764</v>
      </c>
      <c r="E36" s="27"/>
      <c r="F36" s="28"/>
      <c r="G36" s="29"/>
      <c r="H36" s="30">
        <v>5650.0</v>
      </c>
      <c r="I36" s="31"/>
      <c r="J36" s="32"/>
      <c r="K36" s="50"/>
      <c r="L36" s="47">
        <v>5650.0</v>
      </c>
      <c r="M36" s="18">
        <f t="shared" si="1"/>
        <v>0</v>
      </c>
    </row>
    <row r="37">
      <c r="A37" s="54">
        <v>33.0</v>
      </c>
      <c r="B37" s="46" t="s">
        <v>1765</v>
      </c>
      <c r="C37" s="46">
        <v>22727.0</v>
      </c>
      <c r="D37" s="46" t="s">
        <v>162</v>
      </c>
      <c r="E37" s="27"/>
      <c r="F37" s="28"/>
      <c r="G37" s="29"/>
      <c r="H37" s="30">
        <v>10285.0</v>
      </c>
      <c r="I37" s="31"/>
      <c r="J37" s="32"/>
      <c r="K37" s="50"/>
      <c r="L37" s="47">
        <v>10285.0</v>
      </c>
      <c r="M37" s="18">
        <f t="shared" si="1"/>
        <v>0</v>
      </c>
    </row>
    <row r="38">
      <c r="A38" s="54">
        <v>34.0</v>
      </c>
      <c r="B38" s="46" t="s">
        <v>1766</v>
      </c>
      <c r="C38" s="46">
        <v>48136.0</v>
      </c>
      <c r="D38" s="46" t="s">
        <v>508</v>
      </c>
      <c r="E38" s="27"/>
      <c r="F38" s="28"/>
      <c r="G38" s="29"/>
      <c r="H38" s="30">
        <v>10000.0</v>
      </c>
      <c r="I38" s="31"/>
      <c r="J38" s="32"/>
      <c r="K38" s="50"/>
      <c r="L38" s="47">
        <v>10000.0</v>
      </c>
      <c r="M38" s="18">
        <f t="shared" si="1"/>
        <v>0</v>
      </c>
    </row>
    <row r="39">
      <c r="A39" s="54">
        <v>35.0</v>
      </c>
      <c r="B39" s="46" t="s">
        <v>1767</v>
      </c>
      <c r="C39" s="46">
        <v>50596.0</v>
      </c>
      <c r="D39" s="46" t="s">
        <v>493</v>
      </c>
      <c r="E39" s="27"/>
      <c r="F39" s="37">
        <v>90000.0</v>
      </c>
      <c r="G39" s="29"/>
      <c r="H39" s="30"/>
      <c r="I39" s="31"/>
      <c r="J39" s="32"/>
      <c r="K39" s="50"/>
      <c r="L39" s="47">
        <v>90000.0</v>
      </c>
      <c r="M39" s="18">
        <f t="shared" si="1"/>
        <v>0</v>
      </c>
    </row>
    <row r="40">
      <c r="A40" s="54">
        <v>36.0</v>
      </c>
      <c r="B40" s="46" t="s">
        <v>1768</v>
      </c>
      <c r="C40" s="46">
        <v>57125.0</v>
      </c>
      <c r="D40" s="46" t="s">
        <v>1769</v>
      </c>
      <c r="E40" s="27"/>
      <c r="F40" s="28"/>
      <c r="G40" s="29"/>
      <c r="H40" s="30">
        <v>1250.0</v>
      </c>
      <c r="I40" s="31"/>
      <c r="J40" s="32"/>
      <c r="K40" s="50"/>
      <c r="L40" s="47">
        <v>1250.0</v>
      </c>
      <c r="M40" s="18">
        <f t="shared" si="1"/>
        <v>0</v>
      </c>
    </row>
    <row r="41">
      <c r="A41" s="54">
        <v>37.0</v>
      </c>
      <c r="B41" s="46" t="s">
        <v>1770</v>
      </c>
      <c r="C41" s="46">
        <v>50595.0</v>
      </c>
      <c r="D41" s="46" t="s">
        <v>158</v>
      </c>
      <c r="E41" s="27"/>
      <c r="F41" s="28"/>
      <c r="G41" s="29"/>
      <c r="H41" s="30">
        <v>25400.0</v>
      </c>
      <c r="I41" s="31"/>
      <c r="J41" s="32"/>
      <c r="K41" s="50"/>
      <c r="L41" s="47">
        <v>25400.0</v>
      </c>
      <c r="M41" s="18">
        <f t="shared" si="1"/>
        <v>0</v>
      </c>
    </row>
    <row r="42">
      <c r="A42" s="54">
        <v>38.0</v>
      </c>
      <c r="B42" s="46" t="s">
        <v>1771</v>
      </c>
      <c r="C42" s="46">
        <v>53775.0</v>
      </c>
      <c r="D42" s="46" t="s">
        <v>348</v>
      </c>
      <c r="E42" s="27"/>
      <c r="F42" s="28"/>
      <c r="G42" s="29"/>
      <c r="H42" s="30">
        <v>5150.0</v>
      </c>
      <c r="I42" s="31"/>
      <c r="J42" s="32"/>
      <c r="K42" s="50"/>
      <c r="L42" s="47">
        <v>5150.0</v>
      </c>
      <c r="M42" s="18">
        <f t="shared" si="1"/>
        <v>0</v>
      </c>
    </row>
    <row r="43">
      <c r="A43" s="54">
        <v>39.0</v>
      </c>
      <c r="B43" s="46" t="s">
        <v>1772</v>
      </c>
      <c r="C43" s="46">
        <v>13781.0</v>
      </c>
      <c r="D43" s="46" t="s">
        <v>278</v>
      </c>
      <c r="E43" s="27"/>
      <c r="F43" s="28"/>
      <c r="G43" s="29"/>
      <c r="H43" s="30">
        <v>1250.0</v>
      </c>
      <c r="I43" s="31"/>
      <c r="J43" s="32"/>
      <c r="K43" s="50"/>
      <c r="L43" s="47">
        <v>1250.0</v>
      </c>
      <c r="M43" s="18">
        <f t="shared" si="1"/>
        <v>0</v>
      </c>
    </row>
    <row r="44">
      <c r="A44" s="54">
        <v>40.0</v>
      </c>
      <c r="B44" s="46" t="s">
        <v>1773</v>
      </c>
      <c r="C44" s="46">
        <v>53808.0</v>
      </c>
      <c r="D44" s="46" t="s">
        <v>1774</v>
      </c>
      <c r="E44" s="27"/>
      <c r="F44" s="28"/>
      <c r="G44" s="29"/>
      <c r="H44" s="30"/>
      <c r="I44" s="31">
        <v>6050.0</v>
      </c>
      <c r="J44" s="32"/>
      <c r="K44" s="50"/>
      <c r="L44" s="47">
        <v>6050.0</v>
      </c>
      <c r="M44" s="18">
        <f t="shared" si="1"/>
        <v>0</v>
      </c>
    </row>
    <row r="45">
      <c r="A45" s="54">
        <v>41.0</v>
      </c>
      <c r="B45" s="46" t="s">
        <v>1775</v>
      </c>
      <c r="C45" s="46">
        <v>52032.0</v>
      </c>
      <c r="D45" s="46" t="s">
        <v>233</v>
      </c>
      <c r="E45" s="27"/>
      <c r="F45" s="28"/>
      <c r="G45" s="29"/>
      <c r="H45" s="30">
        <v>20350.0</v>
      </c>
      <c r="I45" s="31"/>
      <c r="J45" s="32"/>
      <c r="K45" s="50"/>
      <c r="L45" s="47">
        <v>20350.0</v>
      </c>
      <c r="M45" s="18">
        <f t="shared" si="1"/>
        <v>0</v>
      </c>
    </row>
    <row r="46">
      <c r="A46" s="54">
        <v>42.0</v>
      </c>
      <c r="B46" s="46" t="s">
        <v>1776</v>
      </c>
      <c r="C46" s="46">
        <v>13133.0</v>
      </c>
      <c r="D46" s="46" t="s">
        <v>490</v>
      </c>
      <c r="E46" s="27"/>
      <c r="F46" s="28"/>
      <c r="G46" s="29"/>
      <c r="H46" s="30"/>
      <c r="I46" s="31">
        <v>30000.0</v>
      </c>
      <c r="J46" s="32"/>
      <c r="K46" s="50"/>
      <c r="L46" s="47">
        <v>30000.0</v>
      </c>
      <c r="M46" s="18">
        <f t="shared" si="1"/>
        <v>0</v>
      </c>
    </row>
    <row r="47">
      <c r="A47" s="54">
        <v>43.0</v>
      </c>
      <c r="B47" s="46" t="s">
        <v>1777</v>
      </c>
      <c r="C47" s="46">
        <v>48234.0</v>
      </c>
      <c r="D47" s="46" t="s">
        <v>1778</v>
      </c>
      <c r="E47" s="27"/>
      <c r="F47" s="28"/>
      <c r="G47" s="29"/>
      <c r="H47" s="30">
        <v>5150.0</v>
      </c>
      <c r="I47" s="31"/>
      <c r="J47" s="32"/>
      <c r="K47" s="50"/>
      <c r="L47" s="47">
        <v>5150.0</v>
      </c>
      <c r="M47" s="18">
        <f t="shared" si="1"/>
        <v>0</v>
      </c>
    </row>
    <row r="48">
      <c r="A48" s="54">
        <v>44.0</v>
      </c>
      <c r="B48" s="46" t="s">
        <v>1779</v>
      </c>
      <c r="C48" s="46">
        <v>56908.0</v>
      </c>
      <c r="D48" s="46" t="s">
        <v>1780</v>
      </c>
      <c r="E48" s="27"/>
      <c r="F48" s="28"/>
      <c r="G48" s="29"/>
      <c r="H48" s="30">
        <v>3150.0</v>
      </c>
      <c r="I48" s="31"/>
      <c r="J48" s="32"/>
      <c r="K48" s="50"/>
      <c r="L48" s="47">
        <v>3150.0</v>
      </c>
      <c r="M48" s="18">
        <f t="shared" si="1"/>
        <v>0</v>
      </c>
    </row>
    <row r="49">
      <c r="A49" s="54">
        <v>45.0</v>
      </c>
      <c r="B49" s="46" t="s">
        <v>1781</v>
      </c>
      <c r="C49" s="46">
        <v>21384.0</v>
      </c>
      <c r="D49" s="46" t="s">
        <v>38</v>
      </c>
      <c r="E49" s="38">
        <v>50.0</v>
      </c>
      <c r="F49" s="37">
        <v>1000.0</v>
      </c>
      <c r="G49" s="29"/>
      <c r="H49" s="30">
        <v>3950.0</v>
      </c>
      <c r="I49" s="31"/>
      <c r="J49" s="32"/>
      <c r="K49" s="50"/>
      <c r="L49" s="47">
        <v>5000.0</v>
      </c>
      <c r="M49" s="18">
        <f t="shared" si="1"/>
        <v>0</v>
      </c>
    </row>
    <row r="50">
      <c r="A50" s="54">
        <v>46.0</v>
      </c>
      <c r="B50" s="46" t="s">
        <v>1782</v>
      </c>
      <c r="C50" s="46">
        <v>37642.0</v>
      </c>
      <c r="D50" s="46" t="s">
        <v>482</v>
      </c>
      <c r="E50" s="27"/>
      <c r="F50" s="37">
        <v>1250.0</v>
      </c>
      <c r="G50" s="29"/>
      <c r="H50" s="30"/>
      <c r="I50" s="31"/>
      <c r="J50" s="32"/>
      <c r="K50" s="50"/>
      <c r="L50" s="47">
        <v>1250.0</v>
      </c>
      <c r="M50" s="18">
        <f t="shared" si="1"/>
        <v>0</v>
      </c>
    </row>
    <row r="51">
      <c r="A51" s="54">
        <v>47.0</v>
      </c>
      <c r="B51" s="46" t="s">
        <v>1783</v>
      </c>
      <c r="C51" s="46">
        <v>52755.0</v>
      </c>
      <c r="D51" s="46" t="s">
        <v>1077</v>
      </c>
      <c r="E51" s="38">
        <v>350.0</v>
      </c>
      <c r="F51" s="37"/>
      <c r="G51" s="29"/>
      <c r="H51" s="30"/>
      <c r="I51" s="31"/>
      <c r="J51" s="35"/>
      <c r="K51" s="33"/>
      <c r="L51" s="47">
        <v>350.0</v>
      </c>
      <c r="M51" s="18">
        <f t="shared" si="1"/>
        <v>0</v>
      </c>
    </row>
    <row r="52">
      <c r="A52" s="54">
        <v>48.0</v>
      </c>
      <c r="B52" s="46" t="s">
        <v>1784</v>
      </c>
      <c r="C52" s="46">
        <v>15709.0</v>
      </c>
      <c r="D52" s="46" t="s">
        <v>1333</v>
      </c>
      <c r="E52" s="27"/>
      <c r="F52" s="28"/>
      <c r="G52" s="29"/>
      <c r="H52" s="30">
        <v>4000.0</v>
      </c>
      <c r="I52" s="31"/>
      <c r="J52" s="32"/>
      <c r="K52" s="33"/>
      <c r="L52" s="47">
        <v>4000.0</v>
      </c>
      <c r="M52" s="18">
        <f t="shared" si="1"/>
        <v>0</v>
      </c>
    </row>
    <row r="53">
      <c r="A53" s="54">
        <v>49.0</v>
      </c>
      <c r="B53" s="46" t="s">
        <v>1785</v>
      </c>
      <c r="C53" s="46">
        <v>52805.0</v>
      </c>
      <c r="D53" s="46" t="s">
        <v>1786</v>
      </c>
      <c r="E53" s="27"/>
      <c r="F53" s="28"/>
      <c r="G53" s="29"/>
      <c r="H53" s="30">
        <v>5000.0</v>
      </c>
      <c r="I53" s="31"/>
      <c r="J53" s="32"/>
      <c r="K53" s="33"/>
      <c r="L53" s="47">
        <v>5000.0</v>
      </c>
      <c r="M53" s="18">
        <f t="shared" si="1"/>
        <v>0</v>
      </c>
    </row>
    <row r="54">
      <c r="A54" s="54">
        <v>50.0</v>
      </c>
      <c r="B54" s="46" t="s">
        <v>1787</v>
      </c>
      <c r="C54" s="46">
        <v>46778.0</v>
      </c>
      <c r="D54" s="46" t="s">
        <v>109</v>
      </c>
      <c r="E54" s="27"/>
      <c r="F54" s="28"/>
      <c r="G54" s="29"/>
      <c r="H54" s="30"/>
      <c r="I54" s="31">
        <v>350.0</v>
      </c>
      <c r="J54" s="32"/>
      <c r="K54" s="33"/>
      <c r="L54" s="47">
        <v>350.0</v>
      </c>
      <c r="M54" s="18">
        <f t="shared" si="1"/>
        <v>0</v>
      </c>
    </row>
    <row r="55">
      <c r="A55" s="54">
        <v>51.0</v>
      </c>
      <c r="B55" s="46" t="s">
        <v>1788</v>
      </c>
      <c r="C55" s="46">
        <v>57671.0</v>
      </c>
      <c r="D55" s="46" t="s">
        <v>1789</v>
      </c>
      <c r="E55" s="27"/>
      <c r="F55" s="28"/>
      <c r="G55" s="29"/>
      <c r="H55" s="30">
        <v>27000.0</v>
      </c>
      <c r="I55" s="31"/>
      <c r="J55" s="32"/>
      <c r="K55" s="33"/>
      <c r="L55" s="47">
        <v>27000.0</v>
      </c>
      <c r="M55" s="18">
        <f t="shared" si="1"/>
        <v>0</v>
      </c>
    </row>
    <row r="56">
      <c r="A56" s="54">
        <v>52.0</v>
      </c>
      <c r="B56" s="46" t="s">
        <v>1790</v>
      </c>
      <c r="C56" s="46">
        <v>55448.0</v>
      </c>
      <c r="D56" s="46" t="s">
        <v>1791</v>
      </c>
      <c r="E56" s="27"/>
      <c r="F56" s="28"/>
      <c r="G56" s="29"/>
      <c r="H56" s="30">
        <v>1650.0</v>
      </c>
      <c r="I56" s="31"/>
      <c r="J56" s="35"/>
      <c r="K56" s="33"/>
      <c r="L56" s="47">
        <v>1650.0</v>
      </c>
      <c r="M56" s="18">
        <f t="shared" si="1"/>
        <v>0</v>
      </c>
    </row>
    <row r="57">
      <c r="A57" s="54">
        <v>53.0</v>
      </c>
      <c r="B57" s="46" t="s">
        <v>1792</v>
      </c>
      <c r="C57" s="46">
        <v>56839.0</v>
      </c>
      <c r="D57" s="46" t="s">
        <v>1793</v>
      </c>
      <c r="E57" s="27"/>
      <c r="F57" s="28"/>
      <c r="G57" s="29"/>
      <c r="H57" s="30">
        <v>2500.0</v>
      </c>
      <c r="I57" s="31"/>
      <c r="J57" s="32"/>
      <c r="K57" s="33"/>
      <c r="L57" s="47">
        <v>2500.0</v>
      </c>
      <c r="M57" s="18">
        <f t="shared" si="1"/>
        <v>0</v>
      </c>
    </row>
    <row r="58">
      <c r="A58" s="54">
        <v>54.0</v>
      </c>
      <c r="B58" s="46" t="s">
        <v>1794</v>
      </c>
      <c r="C58" s="46">
        <v>10008.0</v>
      </c>
      <c r="D58" s="46" t="s">
        <v>78</v>
      </c>
      <c r="E58" s="27"/>
      <c r="F58" s="28"/>
      <c r="G58" s="29"/>
      <c r="H58" s="30"/>
      <c r="I58" s="31">
        <v>3050.0</v>
      </c>
      <c r="J58" s="32"/>
      <c r="K58" s="33"/>
      <c r="L58" s="47">
        <v>3050.0</v>
      </c>
      <c r="M58" s="18">
        <f t="shared" si="1"/>
        <v>0</v>
      </c>
    </row>
    <row r="59">
      <c r="A59" s="54">
        <v>55.0</v>
      </c>
      <c r="B59" s="46" t="s">
        <v>1795</v>
      </c>
      <c r="C59" s="46">
        <v>55171.0</v>
      </c>
      <c r="D59" s="46" t="s">
        <v>1796</v>
      </c>
      <c r="E59" s="27"/>
      <c r="F59" s="37"/>
      <c r="G59" s="29"/>
      <c r="H59" s="30"/>
      <c r="I59" s="31">
        <v>9590.0</v>
      </c>
      <c r="J59" s="32"/>
      <c r="K59" s="33"/>
      <c r="L59" s="47">
        <v>9590.0</v>
      </c>
      <c r="M59" s="18">
        <f t="shared" si="1"/>
        <v>0</v>
      </c>
    </row>
    <row r="60">
      <c r="A60" s="54">
        <v>56.0</v>
      </c>
      <c r="B60" s="46" t="s">
        <v>1797</v>
      </c>
      <c r="C60" s="46">
        <v>51976.0</v>
      </c>
      <c r="D60" s="46" t="s">
        <v>412</v>
      </c>
      <c r="E60" s="27"/>
      <c r="F60" s="37"/>
      <c r="G60" s="29"/>
      <c r="H60" s="30"/>
      <c r="I60" s="31">
        <v>15000.0</v>
      </c>
      <c r="J60" s="32"/>
      <c r="K60" s="33"/>
      <c r="L60" s="47">
        <v>15000.0</v>
      </c>
      <c r="M60" s="18">
        <f t="shared" si="1"/>
        <v>0</v>
      </c>
    </row>
    <row r="61">
      <c r="A61" s="54">
        <v>57.0</v>
      </c>
      <c r="B61" s="46" t="s">
        <v>1798</v>
      </c>
      <c r="C61" s="46">
        <v>53298.0</v>
      </c>
      <c r="D61" s="46" t="s">
        <v>691</v>
      </c>
      <c r="E61" s="27"/>
      <c r="F61" s="28"/>
      <c r="G61" s="29"/>
      <c r="H61" s="30"/>
      <c r="I61" s="31">
        <v>1400.0</v>
      </c>
      <c r="J61" s="35"/>
      <c r="K61" s="33"/>
      <c r="L61" s="47">
        <v>1400.0</v>
      </c>
      <c r="M61" s="18">
        <f t="shared" si="1"/>
        <v>0</v>
      </c>
    </row>
    <row r="62">
      <c r="A62" s="54">
        <v>58.0</v>
      </c>
      <c r="B62" s="46" t="s">
        <v>1799</v>
      </c>
      <c r="C62" s="46">
        <v>53298.0</v>
      </c>
      <c r="D62" s="46" t="s">
        <v>691</v>
      </c>
      <c r="E62" s="27"/>
      <c r="F62" s="28"/>
      <c r="G62" s="29"/>
      <c r="H62" s="30"/>
      <c r="I62" s="31">
        <v>10000.0</v>
      </c>
      <c r="J62" s="35"/>
      <c r="K62" s="33"/>
      <c r="L62" s="47">
        <v>10000.0</v>
      </c>
      <c r="M62" s="18">
        <f t="shared" si="1"/>
        <v>0</v>
      </c>
    </row>
    <row r="63">
      <c r="A63" s="54">
        <v>59.0</v>
      </c>
      <c r="B63" s="46" t="s">
        <v>1800</v>
      </c>
      <c r="C63" s="46">
        <v>16295.0</v>
      </c>
      <c r="D63" s="46" t="s">
        <v>484</v>
      </c>
      <c r="E63" s="27"/>
      <c r="F63" s="37"/>
      <c r="G63" s="29"/>
      <c r="H63" s="30">
        <v>10000.0</v>
      </c>
      <c r="I63" s="31"/>
      <c r="J63" s="32"/>
      <c r="K63" s="33"/>
      <c r="L63" s="47">
        <v>10000.0</v>
      </c>
      <c r="M63" s="18">
        <f t="shared" si="1"/>
        <v>0</v>
      </c>
    </row>
    <row r="64">
      <c r="A64" s="54">
        <v>60.0</v>
      </c>
      <c r="B64" s="46" t="s">
        <v>1801</v>
      </c>
      <c r="C64" s="46">
        <v>50596.0</v>
      </c>
      <c r="D64" s="46" t="s">
        <v>493</v>
      </c>
      <c r="E64" s="27"/>
      <c r="F64" s="28"/>
      <c r="G64" s="29"/>
      <c r="H64" s="30">
        <v>290.0</v>
      </c>
      <c r="I64" s="31"/>
      <c r="J64" s="32"/>
      <c r="K64" s="33"/>
      <c r="L64" s="47">
        <v>290.0</v>
      </c>
      <c r="M64" s="18">
        <f t="shared" si="1"/>
        <v>0</v>
      </c>
    </row>
    <row r="65">
      <c r="A65" s="54">
        <v>61.0</v>
      </c>
      <c r="B65" s="46" t="s">
        <v>1802</v>
      </c>
      <c r="C65" s="46">
        <v>56125.0</v>
      </c>
      <c r="D65" s="46" t="s">
        <v>1803</v>
      </c>
      <c r="E65" s="27"/>
      <c r="F65" s="37"/>
      <c r="G65" s="29"/>
      <c r="H65" s="30">
        <v>2500.0</v>
      </c>
      <c r="I65" s="31"/>
      <c r="J65" s="32"/>
      <c r="K65" s="33"/>
      <c r="L65" s="47">
        <v>2500.0</v>
      </c>
      <c r="M65" s="18">
        <f t="shared" si="1"/>
        <v>0</v>
      </c>
    </row>
    <row r="66">
      <c r="A66" s="54">
        <v>62.0</v>
      </c>
      <c r="B66" s="46" t="s">
        <v>1804</v>
      </c>
      <c r="C66" s="46">
        <v>37642.0</v>
      </c>
      <c r="D66" s="46" t="s">
        <v>482</v>
      </c>
      <c r="E66" s="27"/>
      <c r="F66" s="37">
        <v>2500.0</v>
      </c>
      <c r="G66" s="29"/>
      <c r="H66" s="30"/>
      <c r="I66" s="31"/>
      <c r="J66" s="32"/>
      <c r="K66" s="33"/>
      <c r="L66" s="47">
        <v>2500.0</v>
      </c>
      <c r="M66" s="18">
        <f t="shared" si="1"/>
        <v>0</v>
      </c>
    </row>
    <row r="67">
      <c r="A67" s="54">
        <v>63.0</v>
      </c>
      <c r="B67" s="46" t="s">
        <v>1805</v>
      </c>
      <c r="C67" s="46">
        <v>53249.0</v>
      </c>
      <c r="D67" s="46" t="s">
        <v>1806</v>
      </c>
      <c r="E67" s="27"/>
      <c r="F67" s="37"/>
      <c r="G67" s="29"/>
      <c r="H67" s="30">
        <v>300.0</v>
      </c>
      <c r="I67" s="31"/>
      <c r="J67" s="32"/>
      <c r="K67" s="33"/>
      <c r="L67" s="47">
        <v>300.0</v>
      </c>
      <c r="M67" s="18">
        <f t="shared" si="1"/>
        <v>0</v>
      </c>
    </row>
    <row r="68">
      <c r="A68" s="54">
        <v>64.0</v>
      </c>
      <c r="B68" s="46" t="s">
        <v>1807</v>
      </c>
      <c r="C68" s="46">
        <v>30933.0</v>
      </c>
      <c r="D68" s="46" t="s">
        <v>976</v>
      </c>
      <c r="E68" s="38"/>
      <c r="F68" s="37"/>
      <c r="G68" s="29"/>
      <c r="H68" s="30">
        <v>175000.0</v>
      </c>
      <c r="I68" s="31"/>
      <c r="J68" s="32"/>
      <c r="K68" s="33"/>
      <c r="L68" s="47">
        <v>175000.0</v>
      </c>
      <c r="M68" s="18">
        <f t="shared" si="1"/>
        <v>0</v>
      </c>
    </row>
    <row r="69">
      <c r="A69" s="54">
        <v>65.0</v>
      </c>
      <c r="B69" s="46" t="s">
        <v>1808</v>
      </c>
      <c r="C69" s="46">
        <v>21384.0</v>
      </c>
      <c r="D69" s="46" t="s">
        <v>38</v>
      </c>
      <c r="E69" s="27"/>
      <c r="F69" s="37" t="s">
        <v>1809</v>
      </c>
      <c r="G69" s="29"/>
      <c r="H69" s="30">
        <v>2500.0</v>
      </c>
      <c r="I69" s="31"/>
      <c r="J69" s="32"/>
      <c r="K69" s="33"/>
      <c r="L69" s="47">
        <v>2500.0</v>
      </c>
      <c r="M69" s="51">
        <v>0.0</v>
      </c>
    </row>
    <row r="70">
      <c r="A70" s="54">
        <v>66.0</v>
      </c>
      <c r="B70" s="46" t="s">
        <v>1810</v>
      </c>
      <c r="C70" s="46">
        <v>56657.0</v>
      </c>
      <c r="D70" s="46" t="s">
        <v>1811</v>
      </c>
      <c r="E70" s="27"/>
      <c r="F70" s="37">
        <v>5000.0</v>
      </c>
      <c r="G70" s="29"/>
      <c r="H70" s="30"/>
      <c r="I70" s="31"/>
      <c r="J70" s="32"/>
      <c r="K70" s="33"/>
      <c r="L70" s="47">
        <v>5000.0</v>
      </c>
      <c r="M70" s="18">
        <f t="shared" ref="M70:M81" si="2">SUM(E70+F70+G70+H70+I70+J70+K70-L70)</f>
        <v>0</v>
      </c>
    </row>
    <row r="71">
      <c r="A71" s="54">
        <v>67.0</v>
      </c>
      <c r="B71" s="46" t="s">
        <v>1812</v>
      </c>
      <c r="C71" s="46">
        <v>10271.0</v>
      </c>
      <c r="D71" s="46" t="s">
        <v>474</v>
      </c>
      <c r="E71" s="38"/>
      <c r="F71" s="37">
        <v>3600.0</v>
      </c>
      <c r="G71" s="29"/>
      <c r="H71" s="30"/>
      <c r="I71" s="31"/>
      <c r="J71" s="32"/>
      <c r="K71" s="33"/>
      <c r="L71" s="47">
        <v>3600.0</v>
      </c>
      <c r="M71" s="18">
        <f t="shared" si="2"/>
        <v>0</v>
      </c>
    </row>
    <row r="72">
      <c r="A72" s="54">
        <v>68.0</v>
      </c>
      <c r="B72" s="46" t="s">
        <v>1813</v>
      </c>
      <c r="C72" s="46">
        <v>57672.0</v>
      </c>
      <c r="D72" s="46" t="s">
        <v>1814</v>
      </c>
      <c r="E72" s="27"/>
      <c r="F72" s="37"/>
      <c r="G72" s="29"/>
      <c r="H72" s="30">
        <v>27000.0</v>
      </c>
      <c r="I72" s="31"/>
      <c r="J72" s="35"/>
      <c r="K72" s="33"/>
      <c r="L72" s="47">
        <v>27000.0</v>
      </c>
      <c r="M72" s="18">
        <f t="shared" si="2"/>
        <v>0</v>
      </c>
    </row>
    <row r="73">
      <c r="A73" s="54">
        <v>69.0</v>
      </c>
      <c r="B73" s="46" t="s">
        <v>1815</v>
      </c>
      <c r="C73" s="46">
        <v>35245.0</v>
      </c>
      <c r="D73" s="46" t="s">
        <v>34</v>
      </c>
      <c r="E73" s="38"/>
      <c r="F73" s="28"/>
      <c r="G73" s="29"/>
      <c r="H73" s="30">
        <v>34500.0</v>
      </c>
      <c r="I73" s="31"/>
      <c r="J73" s="32"/>
      <c r="K73" s="33"/>
      <c r="L73" s="47">
        <v>34500.0</v>
      </c>
      <c r="M73" s="18">
        <f t="shared" si="2"/>
        <v>0</v>
      </c>
    </row>
    <row r="74">
      <c r="A74" s="54">
        <v>70.0</v>
      </c>
      <c r="B74" s="46" t="s">
        <v>1816</v>
      </c>
      <c r="C74" s="46">
        <v>57579.0</v>
      </c>
      <c r="D74" s="46" t="s">
        <v>1817</v>
      </c>
      <c r="E74" s="38"/>
      <c r="F74" s="37"/>
      <c r="G74" s="29"/>
      <c r="H74" s="30">
        <v>10000.0</v>
      </c>
      <c r="I74" s="31"/>
      <c r="J74" s="32"/>
      <c r="K74" s="33"/>
      <c r="L74" s="47">
        <v>10000.0</v>
      </c>
      <c r="M74" s="18">
        <f t="shared" si="2"/>
        <v>0</v>
      </c>
    </row>
    <row r="75">
      <c r="A75" s="54">
        <v>71.0</v>
      </c>
      <c r="B75" s="46" t="s">
        <v>1818</v>
      </c>
      <c r="C75" s="46">
        <v>50039.0</v>
      </c>
      <c r="D75" s="46" t="s">
        <v>1819</v>
      </c>
      <c r="E75" s="27"/>
      <c r="F75" s="28"/>
      <c r="G75" s="29"/>
      <c r="H75" s="30">
        <v>400.0</v>
      </c>
      <c r="I75" s="31"/>
      <c r="J75" s="35"/>
      <c r="K75" s="33"/>
      <c r="L75" s="47">
        <v>400.0</v>
      </c>
      <c r="M75" s="18">
        <f t="shared" si="2"/>
        <v>0</v>
      </c>
    </row>
    <row r="76">
      <c r="A76" s="54">
        <v>72.0</v>
      </c>
      <c r="B76" s="46" t="s">
        <v>1820</v>
      </c>
      <c r="C76" s="46">
        <v>49953.0</v>
      </c>
      <c r="D76" s="46" t="s">
        <v>1821</v>
      </c>
      <c r="E76" s="27"/>
      <c r="F76" s="28"/>
      <c r="G76" s="39">
        <v>1250.0</v>
      </c>
      <c r="H76" s="30"/>
      <c r="I76" s="31"/>
      <c r="J76" s="32"/>
      <c r="K76" s="33"/>
      <c r="L76" s="47">
        <v>1250.0</v>
      </c>
      <c r="M76" s="18">
        <f t="shared" si="2"/>
        <v>0</v>
      </c>
    </row>
    <row r="77">
      <c r="A77" s="54">
        <v>73.0</v>
      </c>
      <c r="B77" s="46" t="s">
        <v>1822</v>
      </c>
      <c r="C77" s="46">
        <v>51802.0</v>
      </c>
      <c r="D77" s="46" t="s">
        <v>760</v>
      </c>
      <c r="E77" s="27"/>
      <c r="F77" s="28"/>
      <c r="G77" s="39">
        <v>2650.0</v>
      </c>
      <c r="H77" s="30"/>
      <c r="I77" s="31"/>
      <c r="J77" s="32"/>
      <c r="K77" s="33"/>
      <c r="L77" s="47">
        <v>2650.0</v>
      </c>
      <c r="M77" s="18">
        <f t="shared" si="2"/>
        <v>0</v>
      </c>
    </row>
    <row r="78">
      <c r="A78" s="54">
        <v>74.0</v>
      </c>
      <c r="B78" s="46" t="s">
        <v>1823</v>
      </c>
      <c r="C78" s="46">
        <v>43380.0</v>
      </c>
      <c r="D78" s="46" t="s">
        <v>61</v>
      </c>
      <c r="E78" s="27"/>
      <c r="F78" s="37"/>
      <c r="G78" s="39">
        <v>25200.0</v>
      </c>
      <c r="H78" s="30"/>
      <c r="I78" s="31"/>
      <c r="J78" s="32"/>
      <c r="K78" s="33"/>
      <c r="L78" s="47">
        <v>25200.0</v>
      </c>
      <c r="M78" s="18">
        <f t="shared" si="2"/>
        <v>0</v>
      </c>
    </row>
    <row r="79">
      <c r="A79" s="54">
        <v>75.0</v>
      </c>
      <c r="B79" s="46" t="s">
        <v>1824</v>
      </c>
      <c r="C79" s="46">
        <v>49918.0</v>
      </c>
      <c r="D79" s="46" t="s">
        <v>114</v>
      </c>
      <c r="E79" s="27"/>
      <c r="F79" s="37"/>
      <c r="G79" s="39">
        <v>1250.0</v>
      </c>
      <c r="H79" s="30"/>
      <c r="I79" s="31"/>
      <c r="J79" s="32"/>
      <c r="K79" s="33"/>
      <c r="L79" s="47">
        <v>1250.0</v>
      </c>
      <c r="M79" s="18">
        <f t="shared" si="2"/>
        <v>0</v>
      </c>
    </row>
    <row r="80">
      <c r="A80" s="54">
        <v>76.0</v>
      </c>
      <c r="B80" s="46" t="s">
        <v>1825</v>
      </c>
      <c r="C80" s="46">
        <v>49918.0</v>
      </c>
      <c r="D80" s="46" t="s">
        <v>114</v>
      </c>
      <c r="E80" s="27"/>
      <c r="F80" s="37"/>
      <c r="G80" s="39">
        <v>1750.0</v>
      </c>
      <c r="H80" s="30"/>
      <c r="I80" s="31"/>
      <c r="J80" s="32"/>
      <c r="K80" s="33"/>
      <c r="L80" s="47">
        <v>1750.0</v>
      </c>
      <c r="M80" s="18">
        <f t="shared" si="2"/>
        <v>0</v>
      </c>
    </row>
    <row r="81">
      <c r="A81" s="54">
        <v>77.0</v>
      </c>
      <c r="B81" s="46" t="s">
        <v>1826</v>
      </c>
      <c r="C81" s="46">
        <v>50336.0</v>
      </c>
      <c r="D81" s="46" t="s">
        <v>1827</v>
      </c>
      <c r="E81" s="27"/>
      <c r="F81" s="37"/>
      <c r="G81" s="39">
        <v>10000.0</v>
      </c>
      <c r="H81" s="30"/>
      <c r="I81" s="31"/>
      <c r="J81" s="32"/>
      <c r="K81" s="33"/>
      <c r="L81" s="47">
        <v>10000.0</v>
      </c>
      <c r="M81" s="18">
        <f t="shared" si="2"/>
        <v>0</v>
      </c>
    </row>
    <row r="82">
      <c r="A82" s="54"/>
      <c r="B82" s="45"/>
      <c r="C82" s="45"/>
      <c r="D82" s="44"/>
      <c r="E82" s="22">
        <f t="shared" ref="E82:I82" si="3">SUM(E5:E81)</f>
        <v>4500</v>
      </c>
      <c r="F82" s="22">
        <f t="shared" si="3"/>
        <v>103350</v>
      </c>
      <c r="G82" s="22">
        <f t="shared" si="3"/>
        <v>42100</v>
      </c>
      <c r="H82" s="22">
        <f t="shared" si="3"/>
        <v>585694</v>
      </c>
      <c r="I82" s="22">
        <f t="shared" si="3"/>
        <v>146790</v>
      </c>
      <c r="J82" s="22">
        <f>SUM(J50:J81)</f>
        <v>0</v>
      </c>
      <c r="K82" s="22">
        <f>SUM(K68:K81)</f>
        <v>0</v>
      </c>
      <c r="L82" s="22">
        <f>SUM(L5:L81)</f>
        <v>882434</v>
      </c>
      <c r="M82" s="51">
        <v>0.0</v>
      </c>
    </row>
    <row r="83">
      <c r="A83" s="23"/>
      <c r="B83" s="23"/>
      <c r="C83" s="23"/>
      <c r="D83" s="23"/>
      <c r="E83" s="24">
        <f>SUM(K82:M82)</f>
        <v>882434</v>
      </c>
      <c r="F83" s="6"/>
      <c r="G83" s="6"/>
      <c r="H83" s="6"/>
      <c r="I83" s="6"/>
      <c r="J83" s="6"/>
      <c r="K83" s="7"/>
      <c r="L83" s="25"/>
      <c r="M83" s="23"/>
    </row>
    <row r="84">
      <c r="L84" s="40" t="s">
        <v>254</v>
      </c>
    </row>
  </sheetData>
  <mergeCells count="14">
    <mergeCell ref="F3:G3"/>
    <mergeCell ref="H3:I3"/>
    <mergeCell ref="J3:J4"/>
    <mergeCell ref="K3:K4"/>
    <mergeCell ref="E83:K83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5"/>
    <col customWidth="1" min="2" max="2" width="24.75"/>
    <col customWidth="1" min="4" max="4" width="43.25"/>
    <col customWidth="1" min="5" max="5" width="9.5"/>
  </cols>
  <sheetData>
    <row r="1">
      <c r="A1" s="1" t="s">
        <v>1828</v>
      </c>
    </row>
    <row r="2">
      <c r="A2" s="2" t="s">
        <v>1</v>
      </c>
      <c r="B2" s="3" t="s">
        <v>2</v>
      </c>
      <c r="C2" s="2" t="s">
        <v>3</v>
      </c>
      <c r="D2" s="4" t="s">
        <v>4</v>
      </c>
      <c r="E2" s="5" t="s">
        <v>5</v>
      </c>
      <c r="F2" s="6"/>
      <c r="G2" s="6"/>
      <c r="H2" s="6"/>
      <c r="I2" s="6"/>
      <c r="J2" s="6"/>
      <c r="K2" s="6"/>
      <c r="L2" s="6"/>
      <c r="M2" s="7"/>
    </row>
    <row r="3">
      <c r="A3" s="8"/>
      <c r="B3" s="8"/>
      <c r="C3" s="8"/>
      <c r="D3" s="8"/>
      <c r="E3" s="2" t="s">
        <v>6</v>
      </c>
      <c r="F3" s="5" t="s">
        <v>7</v>
      </c>
      <c r="G3" s="7"/>
      <c r="H3" s="5" t="s">
        <v>8</v>
      </c>
      <c r="I3" s="7"/>
      <c r="J3" s="2" t="s">
        <v>9</v>
      </c>
      <c r="K3" s="4" t="s">
        <v>10</v>
      </c>
      <c r="L3" s="2" t="s">
        <v>11</v>
      </c>
      <c r="M3" s="2" t="s">
        <v>12</v>
      </c>
    </row>
    <row r="4">
      <c r="A4" s="9"/>
      <c r="B4" s="9"/>
      <c r="C4" s="9"/>
      <c r="D4" s="9"/>
      <c r="E4" s="9"/>
      <c r="F4" s="10" t="s">
        <v>13</v>
      </c>
      <c r="G4" s="10" t="s">
        <v>14</v>
      </c>
      <c r="H4" s="10" t="s">
        <v>15</v>
      </c>
      <c r="I4" s="11" t="s">
        <v>16</v>
      </c>
      <c r="J4" s="9"/>
      <c r="K4" s="9"/>
      <c r="L4" s="9"/>
      <c r="M4" s="9"/>
    </row>
    <row r="5">
      <c r="A5" s="54">
        <v>1.0</v>
      </c>
      <c r="B5" s="46" t="s">
        <v>1829</v>
      </c>
      <c r="C5" s="46">
        <v>50871.0</v>
      </c>
      <c r="D5" s="46" t="s">
        <v>105</v>
      </c>
      <c r="E5" s="27"/>
      <c r="F5" s="28"/>
      <c r="G5" s="29"/>
      <c r="H5" s="30">
        <v>52850.0</v>
      </c>
      <c r="I5" s="31"/>
      <c r="J5" s="32"/>
      <c r="K5" s="50"/>
      <c r="L5" s="47">
        <v>52850.0</v>
      </c>
      <c r="M5" s="18">
        <f t="shared" ref="M5:M99" si="1">SUM(E5+F5+G5+H5+I5+J5+K5-L5)</f>
        <v>0</v>
      </c>
    </row>
    <row r="6">
      <c r="A6" s="54">
        <v>2.0</v>
      </c>
      <c r="B6" s="46" t="s">
        <v>1830</v>
      </c>
      <c r="C6" s="46">
        <v>54489.0</v>
      </c>
      <c r="D6" s="46" t="s">
        <v>63</v>
      </c>
      <c r="E6" s="38"/>
      <c r="F6" s="28"/>
      <c r="G6" s="29"/>
      <c r="H6" s="30">
        <v>12500.0</v>
      </c>
      <c r="I6" s="31"/>
      <c r="J6" s="35"/>
      <c r="K6" s="50"/>
      <c r="L6" s="47">
        <v>12500.0</v>
      </c>
      <c r="M6" s="18">
        <f t="shared" si="1"/>
        <v>0</v>
      </c>
    </row>
    <row r="7">
      <c r="A7" s="54">
        <v>3.0</v>
      </c>
      <c r="B7" s="46" t="s">
        <v>1831</v>
      </c>
      <c r="C7" s="46">
        <v>10320.0</v>
      </c>
      <c r="D7" s="46" t="s">
        <v>447</v>
      </c>
      <c r="E7" s="27"/>
      <c r="F7" s="28"/>
      <c r="G7" s="29"/>
      <c r="H7" s="30">
        <v>10000.0</v>
      </c>
      <c r="I7" s="31"/>
      <c r="J7" s="32"/>
      <c r="K7" s="50"/>
      <c r="L7" s="47">
        <v>10000.0</v>
      </c>
      <c r="M7" s="18">
        <f t="shared" si="1"/>
        <v>0</v>
      </c>
    </row>
    <row r="8">
      <c r="A8" s="54">
        <v>4.0</v>
      </c>
      <c r="B8" s="46" t="s">
        <v>1832</v>
      </c>
      <c r="C8" s="46">
        <v>54603.0</v>
      </c>
      <c r="D8" s="46" t="s">
        <v>1644</v>
      </c>
      <c r="E8" s="27"/>
      <c r="F8" s="28"/>
      <c r="G8" s="29"/>
      <c r="H8" s="30"/>
      <c r="I8" s="31">
        <v>1950.0</v>
      </c>
      <c r="J8" s="32"/>
      <c r="K8" s="50"/>
      <c r="L8" s="47">
        <v>1950.0</v>
      </c>
      <c r="M8" s="18">
        <f t="shared" si="1"/>
        <v>0</v>
      </c>
    </row>
    <row r="9">
      <c r="A9" s="54">
        <v>5.0</v>
      </c>
      <c r="B9" s="46" t="s">
        <v>1833</v>
      </c>
      <c r="C9" s="46">
        <v>51876.0</v>
      </c>
      <c r="D9" s="46" t="s">
        <v>74</v>
      </c>
      <c r="E9" s="27"/>
      <c r="F9" s="28"/>
      <c r="G9" s="29"/>
      <c r="H9" s="30">
        <v>15000.0</v>
      </c>
      <c r="I9" s="31"/>
      <c r="J9" s="32"/>
      <c r="K9" s="50"/>
      <c r="L9" s="47">
        <v>15000.0</v>
      </c>
      <c r="M9" s="18">
        <f t="shared" si="1"/>
        <v>0</v>
      </c>
    </row>
    <row r="10">
      <c r="A10" s="54">
        <v>6.0</v>
      </c>
      <c r="B10" s="46" t="s">
        <v>1834</v>
      </c>
      <c r="C10" s="46">
        <v>49655.0</v>
      </c>
      <c r="D10" s="46" t="s">
        <v>208</v>
      </c>
      <c r="E10" s="27"/>
      <c r="F10" s="28"/>
      <c r="G10" s="29"/>
      <c r="H10" s="30"/>
      <c r="I10" s="31">
        <v>1750.0</v>
      </c>
      <c r="J10" s="32"/>
      <c r="K10" s="50"/>
      <c r="L10" s="47">
        <v>1750.0</v>
      </c>
      <c r="M10" s="18">
        <f t="shared" si="1"/>
        <v>0</v>
      </c>
    </row>
    <row r="11">
      <c r="A11" s="54">
        <v>7.0</v>
      </c>
      <c r="B11" s="46" t="s">
        <v>1835</v>
      </c>
      <c r="C11" s="46">
        <v>48910.0</v>
      </c>
      <c r="D11" s="46" t="s">
        <v>399</v>
      </c>
      <c r="E11" s="27"/>
      <c r="F11" s="28"/>
      <c r="G11" s="29"/>
      <c r="H11" s="30"/>
      <c r="I11" s="31">
        <v>12580.0</v>
      </c>
      <c r="J11" s="32"/>
      <c r="K11" s="50"/>
      <c r="L11" s="47">
        <v>12580.0</v>
      </c>
      <c r="M11" s="18">
        <f t="shared" si="1"/>
        <v>0</v>
      </c>
    </row>
    <row r="12">
      <c r="A12" s="54">
        <v>8.0</v>
      </c>
      <c r="B12" s="46" t="s">
        <v>1836</v>
      </c>
      <c r="C12" s="46">
        <v>52396.0</v>
      </c>
      <c r="D12" s="46" t="s">
        <v>905</v>
      </c>
      <c r="E12" s="27"/>
      <c r="F12" s="28"/>
      <c r="G12" s="29"/>
      <c r="H12" s="30"/>
      <c r="I12" s="31">
        <v>25000.0</v>
      </c>
      <c r="J12" s="32"/>
      <c r="K12" s="50"/>
      <c r="L12" s="47">
        <v>25000.0</v>
      </c>
      <c r="M12" s="18">
        <f t="shared" si="1"/>
        <v>0</v>
      </c>
    </row>
    <row r="13">
      <c r="A13" s="54">
        <v>9.0</v>
      </c>
      <c r="B13" s="46" t="s">
        <v>1837</v>
      </c>
      <c r="C13" s="46">
        <v>52373.0</v>
      </c>
      <c r="D13" s="46" t="s">
        <v>76</v>
      </c>
      <c r="E13" s="27"/>
      <c r="F13" s="28"/>
      <c r="G13" s="29"/>
      <c r="H13" s="30"/>
      <c r="I13" s="31">
        <v>10000.0</v>
      </c>
      <c r="J13" s="32"/>
      <c r="K13" s="50"/>
      <c r="L13" s="47">
        <v>10000.0</v>
      </c>
      <c r="M13" s="18">
        <f t="shared" si="1"/>
        <v>0</v>
      </c>
    </row>
    <row r="14">
      <c r="A14" s="54">
        <v>10.0</v>
      </c>
      <c r="B14" s="46" t="s">
        <v>1838</v>
      </c>
      <c r="C14" s="46">
        <v>56407.0</v>
      </c>
      <c r="D14" s="46" t="s">
        <v>1839</v>
      </c>
      <c r="E14" s="27"/>
      <c r="F14" s="28"/>
      <c r="G14" s="29"/>
      <c r="H14" s="30"/>
      <c r="I14" s="31">
        <v>3600.0</v>
      </c>
      <c r="J14" s="32"/>
      <c r="K14" s="50"/>
      <c r="L14" s="47">
        <v>3600.0</v>
      </c>
      <c r="M14" s="18">
        <f t="shared" si="1"/>
        <v>0</v>
      </c>
    </row>
    <row r="15">
      <c r="A15" s="54">
        <v>11.0</v>
      </c>
      <c r="B15" s="46" t="s">
        <v>1840</v>
      </c>
      <c r="C15" s="46">
        <v>56535.0</v>
      </c>
      <c r="D15" s="46" t="s">
        <v>1841</v>
      </c>
      <c r="E15" s="27"/>
      <c r="F15" s="28"/>
      <c r="G15" s="29"/>
      <c r="H15" s="30"/>
      <c r="I15" s="31">
        <v>3600.0</v>
      </c>
      <c r="J15" s="32"/>
      <c r="K15" s="50"/>
      <c r="L15" s="47">
        <v>3600.0</v>
      </c>
      <c r="M15" s="18">
        <f t="shared" si="1"/>
        <v>0</v>
      </c>
    </row>
    <row r="16">
      <c r="A16" s="54">
        <v>12.0</v>
      </c>
      <c r="B16" s="46" t="s">
        <v>1842</v>
      </c>
      <c r="C16" s="46">
        <v>56646.0</v>
      </c>
      <c r="D16" s="46" t="s">
        <v>1843</v>
      </c>
      <c r="E16" s="27"/>
      <c r="F16" s="28"/>
      <c r="G16" s="29"/>
      <c r="H16" s="30"/>
      <c r="I16" s="31">
        <v>3600.0</v>
      </c>
      <c r="J16" s="32"/>
      <c r="K16" s="50"/>
      <c r="L16" s="47">
        <v>3600.0</v>
      </c>
      <c r="M16" s="18">
        <f t="shared" si="1"/>
        <v>0</v>
      </c>
    </row>
    <row r="17">
      <c r="A17" s="54">
        <v>13.0</v>
      </c>
      <c r="B17" s="46" t="s">
        <v>1844</v>
      </c>
      <c r="C17" s="46">
        <v>44168.0</v>
      </c>
      <c r="D17" s="46" t="s">
        <v>55</v>
      </c>
      <c r="E17" s="27"/>
      <c r="F17" s="28"/>
      <c r="G17" s="29"/>
      <c r="H17" s="30">
        <v>2650.0</v>
      </c>
      <c r="I17" s="31"/>
      <c r="J17" s="32"/>
      <c r="K17" s="50"/>
      <c r="L17" s="47">
        <v>2650.0</v>
      </c>
      <c r="M17" s="18">
        <f t="shared" si="1"/>
        <v>0</v>
      </c>
    </row>
    <row r="18">
      <c r="A18" s="54">
        <v>14.0</v>
      </c>
      <c r="B18" s="46" t="s">
        <v>1845</v>
      </c>
      <c r="C18" s="46">
        <v>48854.0</v>
      </c>
      <c r="D18" s="46" t="s">
        <v>301</v>
      </c>
      <c r="E18" s="27"/>
      <c r="F18" s="28"/>
      <c r="G18" s="29"/>
      <c r="H18" s="30"/>
      <c r="I18" s="31">
        <v>7200.0</v>
      </c>
      <c r="J18" s="32"/>
      <c r="K18" s="50"/>
      <c r="L18" s="47">
        <v>7200.0</v>
      </c>
      <c r="M18" s="18">
        <f t="shared" si="1"/>
        <v>0</v>
      </c>
    </row>
    <row r="19">
      <c r="A19" s="54">
        <v>15.0</v>
      </c>
      <c r="B19" s="46" t="s">
        <v>1846</v>
      </c>
      <c r="C19" s="46">
        <v>40166.0</v>
      </c>
      <c r="D19" s="46" t="s">
        <v>1713</v>
      </c>
      <c r="E19" s="27"/>
      <c r="F19" s="28"/>
      <c r="G19" s="29"/>
      <c r="H19" s="30"/>
      <c r="I19" s="31">
        <v>5150.0</v>
      </c>
      <c r="J19" s="32"/>
      <c r="K19" s="50"/>
      <c r="L19" s="47">
        <v>5150.0</v>
      </c>
      <c r="M19" s="18">
        <f t="shared" si="1"/>
        <v>0</v>
      </c>
    </row>
    <row r="20">
      <c r="A20" s="54">
        <v>16.0</v>
      </c>
      <c r="B20" s="46" t="s">
        <v>1847</v>
      </c>
      <c r="C20" s="46">
        <v>30248.0</v>
      </c>
      <c r="D20" s="46" t="s">
        <v>1848</v>
      </c>
      <c r="E20" s="27"/>
      <c r="F20" s="28"/>
      <c r="G20" s="29"/>
      <c r="H20" s="30">
        <v>500.0</v>
      </c>
      <c r="I20" s="31"/>
      <c r="J20" s="32"/>
      <c r="K20" s="50"/>
      <c r="L20" s="47">
        <v>500.0</v>
      </c>
      <c r="M20" s="18">
        <f t="shared" si="1"/>
        <v>0</v>
      </c>
    </row>
    <row r="21">
      <c r="A21" s="54">
        <v>17.0</v>
      </c>
      <c r="B21" s="46" t="s">
        <v>1849</v>
      </c>
      <c r="C21" s="46">
        <v>50873.0</v>
      </c>
      <c r="D21" s="46" t="s">
        <v>1268</v>
      </c>
      <c r="E21" s="27"/>
      <c r="F21" s="28"/>
      <c r="G21" s="29"/>
      <c r="H21" s="30">
        <v>1427.0</v>
      </c>
      <c r="I21" s="31"/>
      <c r="J21" s="32"/>
      <c r="K21" s="50"/>
      <c r="L21" s="47">
        <v>1427.0</v>
      </c>
      <c r="M21" s="18">
        <f t="shared" si="1"/>
        <v>0</v>
      </c>
    </row>
    <row r="22">
      <c r="A22" s="54">
        <v>18.0</v>
      </c>
      <c r="B22" s="46" t="s">
        <v>1850</v>
      </c>
      <c r="C22" s="46">
        <v>55146.0</v>
      </c>
      <c r="D22" s="46" t="s">
        <v>261</v>
      </c>
      <c r="E22" s="27"/>
      <c r="F22" s="28"/>
      <c r="G22" s="29"/>
      <c r="H22" s="30">
        <v>2500.0</v>
      </c>
      <c r="I22" s="31"/>
      <c r="J22" s="32"/>
      <c r="K22" s="50"/>
      <c r="L22" s="47">
        <v>2500.0</v>
      </c>
      <c r="M22" s="18">
        <f t="shared" si="1"/>
        <v>0</v>
      </c>
    </row>
    <row r="23">
      <c r="A23" s="54">
        <v>19.0</v>
      </c>
      <c r="B23" s="46" t="s">
        <v>1851</v>
      </c>
      <c r="C23" s="46">
        <v>33055.0</v>
      </c>
      <c r="D23" s="46" t="s">
        <v>263</v>
      </c>
      <c r="E23" s="27"/>
      <c r="F23" s="28"/>
      <c r="G23" s="29"/>
      <c r="H23" s="30">
        <v>5000.0</v>
      </c>
      <c r="I23" s="31"/>
      <c r="J23" s="32"/>
      <c r="K23" s="50"/>
      <c r="L23" s="47">
        <v>5000.0</v>
      </c>
      <c r="M23" s="18">
        <f t="shared" si="1"/>
        <v>0</v>
      </c>
    </row>
    <row r="24">
      <c r="A24" s="54">
        <v>20.0</v>
      </c>
      <c r="B24" s="46" t="s">
        <v>1852</v>
      </c>
      <c r="C24" s="46">
        <v>33054.0</v>
      </c>
      <c r="D24" s="46" t="s">
        <v>1853</v>
      </c>
      <c r="E24" s="27"/>
      <c r="F24" s="28"/>
      <c r="G24" s="29"/>
      <c r="H24" s="30"/>
      <c r="I24" s="31">
        <v>600.0</v>
      </c>
      <c r="J24" s="32"/>
      <c r="K24" s="50"/>
      <c r="L24" s="47">
        <v>600.0</v>
      </c>
      <c r="M24" s="18">
        <f t="shared" si="1"/>
        <v>0</v>
      </c>
    </row>
    <row r="25">
      <c r="A25" s="54">
        <v>21.0</v>
      </c>
      <c r="B25" s="46" t="s">
        <v>1854</v>
      </c>
      <c r="C25" s="46">
        <v>49825.0</v>
      </c>
      <c r="D25" s="46" t="s">
        <v>640</v>
      </c>
      <c r="E25" s="27"/>
      <c r="F25" s="28"/>
      <c r="G25" s="29"/>
      <c r="H25" s="30"/>
      <c r="I25" s="31">
        <v>1750.0</v>
      </c>
      <c r="J25" s="32"/>
      <c r="K25" s="50"/>
      <c r="L25" s="47">
        <v>1750.0</v>
      </c>
      <c r="M25" s="18">
        <f t="shared" si="1"/>
        <v>0</v>
      </c>
    </row>
    <row r="26">
      <c r="A26" s="54">
        <v>22.0</v>
      </c>
      <c r="B26" s="46" t="s">
        <v>1855</v>
      </c>
      <c r="C26" s="46">
        <v>33065.0</v>
      </c>
      <c r="D26" s="46" t="s">
        <v>36</v>
      </c>
      <c r="E26" s="27"/>
      <c r="F26" s="28"/>
      <c r="G26" s="29"/>
      <c r="H26" s="30">
        <v>2650.0</v>
      </c>
      <c r="I26" s="31"/>
      <c r="J26" s="32"/>
      <c r="K26" s="50"/>
      <c r="L26" s="47">
        <v>2650.0</v>
      </c>
      <c r="M26" s="18">
        <f t="shared" si="1"/>
        <v>0</v>
      </c>
    </row>
    <row r="27">
      <c r="A27" s="54">
        <v>23.0</v>
      </c>
      <c r="B27" s="46" t="s">
        <v>1856</v>
      </c>
      <c r="C27" s="46">
        <v>50538.0</v>
      </c>
      <c r="D27" s="46" t="s">
        <v>605</v>
      </c>
      <c r="E27" s="27"/>
      <c r="F27" s="28"/>
      <c r="G27" s="29"/>
      <c r="H27" s="30">
        <v>3900.0</v>
      </c>
      <c r="I27" s="31"/>
      <c r="J27" s="32"/>
      <c r="K27" s="50"/>
      <c r="L27" s="47">
        <v>3900.0</v>
      </c>
      <c r="M27" s="18">
        <f t="shared" si="1"/>
        <v>0</v>
      </c>
    </row>
    <row r="28">
      <c r="A28" s="54">
        <v>24.0</v>
      </c>
      <c r="B28" s="46" t="s">
        <v>1857</v>
      </c>
      <c r="C28" s="46">
        <v>53874.0</v>
      </c>
      <c r="D28" s="46" t="s">
        <v>1858</v>
      </c>
      <c r="E28" s="27"/>
      <c r="F28" s="28"/>
      <c r="G28" s="29"/>
      <c r="H28" s="30"/>
      <c r="I28" s="31">
        <v>5440.0</v>
      </c>
      <c r="J28" s="32"/>
      <c r="K28" s="50"/>
      <c r="L28" s="47">
        <v>5440.0</v>
      </c>
      <c r="M28" s="18">
        <f t="shared" si="1"/>
        <v>0</v>
      </c>
    </row>
    <row r="29">
      <c r="A29" s="54">
        <v>25.0</v>
      </c>
      <c r="B29" s="46" t="s">
        <v>1859</v>
      </c>
      <c r="C29" s="46">
        <v>51537.0</v>
      </c>
      <c r="D29" s="46" t="s">
        <v>1860</v>
      </c>
      <c r="E29" s="27"/>
      <c r="F29" s="28"/>
      <c r="G29" s="29"/>
      <c r="H29" s="30"/>
      <c r="I29" s="31">
        <v>15000.0</v>
      </c>
      <c r="J29" s="32"/>
      <c r="K29" s="50"/>
      <c r="L29" s="47">
        <v>15000.0</v>
      </c>
      <c r="M29" s="18">
        <f t="shared" si="1"/>
        <v>0</v>
      </c>
    </row>
    <row r="30">
      <c r="A30" s="54">
        <v>26.0</v>
      </c>
      <c r="B30" s="46" t="s">
        <v>1861</v>
      </c>
      <c r="C30" s="46">
        <v>52032.0</v>
      </c>
      <c r="D30" s="46" t="s">
        <v>233</v>
      </c>
      <c r="E30" s="27"/>
      <c r="F30" s="28"/>
      <c r="G30" s="29"/>
      <c r="H30" s="30">
        <v>700.0</v>
      </c>
      <c r="I30" s="31"/>
      <c r="J30" s="32"/>
      <c r="K30" s="50"/>
      <c r="L30" s="47">
        <v>700.0</v>
      </c>
      <c r="M30" s="18">
        <f t="shared" si="1"/>
        <v>0</v>
      </c>
    </row>
    <row r="31">
      <c r="A31" s="54">
        <v>27.0</v>
      </c>
      <c r="B31" s="46" t="s">
        <v>1862</v>
      </c>
      <c r="C31" s="46">
        <v>49660.0</v>
      </c>
      <c r="D31" s="46" t="s">
        <v>1863</v>
      </c>
      <c r="E31" s="27"/>
      <c r="F31" s="28"/>
      <c r="G31" s="29"/>
      <c r="H31" s="30">
        <v>5000.0</v>
      </c>
      <c r="I31" s="31"/>
      <c r="J31" s="32"/>
      <c r="K31" s="50"/>
      <c r="L31" s="47">
        <v>5000.0</v>
      </c>
      <c r="M31" s="18">
        <f t="shared" si="1"/>
        <v>0</v>
      </c>
    </row>
    <row r="32">
      <c r="A32" s="54">
        <v>28.0</v>
      </c>
      <c r="B32" s="46" t="s">
        <v>1864</v>
      </c>
      <c r="C32" s="46">
        <v>37642.0</v>
      </c>
      <c r="D32" s="46" t="s">
        <v>482</v>
      </c>
      <c r="E32" s="27"/>
      <c r="F32" s="28"/>
      <c r="G32" s="29"/>
      <c r="H32" s="30">
        <v>15000.0</v>
      </c>
      <c r="I32" s="31"/>
      <c r="J32" s="32"/>
      <c r="K32" s="50"/>
      <c r="L32" s="47">
        <v>15000.0</v>
      </c>
      <c r="M32" s="18">
        <f t="shared" si="1"/>
        <v>0</v>
      </c>
    </row>
    <row r="33">
      <c r="A33" s="54">
        <v>29.0</v>
      </c>
      <c r="B33" s="46" t="s">
        <v>1865</v>
      </c>
      <c r="C33" s="46">
        <v>52647.0</v>
      </c>
      <c r="D33" s="46" t="s">
        <v>322</v>
      </c>
      <c r="E33" s="27"/>
      <c r="F33" s="28"/>
      <c r="G33" s="29"/>
      <c r="H33" s="30">
        <v>15000.0</v>
      </c>
      <c r="I33" s="31"/>
      <c r="J33" s="32"/>
      <c r="K33" s="50"/>
      <c r="L33" s="47">
        <v>15000.0</v>
      </c>
      <c r="M33" s="18">
        <f t="shared" si="1"/>
        <v>0</v>
      </c>
    </row>
    <row r="34">
      <c r="A34" s="54">
        <v>30.0</v>
      </c>
      <c r="B34" s="46" t="s">
        <v>1866</v>
      </c>
      <c r="C34" s="46">
        <v>52647.0</v>
      </c>
      <c r="D34" s="46" t="s">
        <v>322</v>
      </c>
      <c r="E34" s="27"/>
      <c r="F34" s="37"/>
      <c r="G34" s="29"/>
      <c r="H34" s="30">
        <v>580.0</v>
      </c>
      <c r="I34" s="31"/>
      <c r="J34" s="32"/>
      <c r="K34" s="50"/>
      <c r="L34" s="47">
        <v>580.0</v>
      </c>
      <c r="M34" s="18">
        <f t="shared" si="1"/>
        <v>0</v>
      </c>
    </row>
    <row r="35">
      <c r="A35" s="54">
        <v>31.0</v>
      </c>
      <c r="B35" s="46" t="s">
        <v>1867</v>
      </c>
      <c r="C35" s="46">
        <v>46927.0</v>
      </c>
      <c r="D35" s="46" t="s">
        <v>1868</v>
      </c>
      <c r="E35" s="27"/>
      <c r="F35" s="28"/>
      <c r="G35" s="29"/>
      <c r="H35" s="30">
        <v>2650.0</v>
      </c>
      <c r="I35" s="31"/>
      <c r="J35" s="32"/>
      <c r="K35" s="50"/>
      <c r="L35" s="47">
        <v>2650.0</v>
      </c>
      <c r="M35" s="18">
        <f t="shared" si="1"/>
        <v>0</v>
      </c>
    </row>
    <row r="36">
      <c r="A36" s="54">
        <v>32.0</v>
      </c>
      <c r="B36" s="46" t="s">
        <v>1869</v>
      </c>
      <c r="C36" s="46">
        <v>40235.0</v>
      </c>
      <c r="D36" s="46" t="s">
        <v>1691</v>
      </c>
      <c r="E36" s="27"/>
      <c r="F36" s="28"/>
      <c r="G36" s="29"/>
      <c r="H36" s="30"/>
      <c r="I36" s="31">
        <v>5000.0</v>
      </c>
      <c r="J36" s="32"/>
      <c r="K36" s="50"/>
      <c r="L36" s="47">
        <v>5000.0</v>
      </c>
      <c r="M36" s="18">
        <f t="shared" si="1"/>
        <v>0</v>
      </c>
    </row>
    <row r="37">
      <c r="A37" s="54">
        <v>33.0</v>
      </c>
      <c r="B37" s="46" t="s">
        <v>1870</v>
      </c>
      <c r="C37" s="46">
        <v>40235.0</v>
      </c>
      <c r="D37" s="46" t="s">
        <v>1691</v>
      </c>
      <c r="E37" s="27"/>
      <c r="F37" s="28"/>
      <c r="G37" s="29"/>
      <c r="H37" s="30"/>
      <c r="I37" s="31">
        <v>5000.0</v>
      </c>
      <c r="J37" s="32"/>
      <c r="K37" s="50"/>
      <c r="L37" s="47">
        <v>5000.0</v>
      </c>
      <c r="M37" s="18">
        <f t="shared" si="1"/>
        <v>0</v>
      </c>
    </row>
    <row r="38">
      <c r="A38" s="54">
        <v>34.0</v>
      </c>
      <c r="B38" s="46" t="s">
        <v>1871</v>
      </c>
      <c r="C38" s="46">
        <v>33342.0</v>
      </c>
      <c r="D38" s="46" t="s">
        <v>1872</v>
      </c>
      <c r="E38" s="27"/>
      <c r="F38" s="37"/>
      <c r="G38" s="29"/>
      <c r="H38" s="30"/>
      <c r="I38" s="31">
        <v>2500.0</v>
      </c>
      <c r="J38" s="32"/>
      <c r="K38" s="50"/>
      <c r="L38" s="47">
        <v>2500.0</v>
      </c>
      <c r="M38" s="18">
        <f t="shared" si="1"/>
        <v>0</v>
      </c>
    </row>
    <row r="39">
      <c r="A39" s="54">
        <v>35.0</v>
      </c>
      <c r="B39" s="46" t="s">
        <v>1873</v>
      </c>
      <c r="C39" s="46">
        <v>21384.0</v>
      </c>
      <c r="D39" s="46" t="s">
        <v>38</v>
      </c>
      <c r="E39" s="27"/>
      <c r="F39" s="28"/>
      <c r="G39" s="29"/>
      <c r="H39" s="30"/>
      <c r="I39" s="31">
        <v>10000.0</v>
      </c>
      <c r="J39" s="32"/>
      <c r="K39" s="50"/>
      <c r="L39" s="47">
        <v>10000.0</v>
      </c>
      <c r="M39" s="18">
        <f t="shared" si="1"/>
        <v>0</v>
      </c>
    </row>
    <row r="40">
      <c r="A40" s="54">
        <v>36.0</v>
      </c>
      <c r="B40" s="46" t="s">
        <v>1874</v>
      </c>
      <c r="C40" s="46">
        <v>21384.0</v>
      </c>
      <c r="D40" s="46" t="s">
        <v>38</v>
      </c>
      <c r="E40" s="27"/>
      <c r="F40" s="37">
        <v>2500.0</v>
      </c>
      <c r="G40" s="29"/>
      <c r="H40" s="30"/>
      <c r="I40" s="31"/>
      <c r="J40" s="32"/>
      <c r="K40" s="50"/>
      <c r="L40" s="47">
        <v>2500.0</v>
      </c>
      <c r="M40" s="18">
        <f t="shared" si="1"/>
        <v>0</v>
      </c>
    </row>
    <row r="41">
      <c r="A41" s="54">
        <v>37.0</v>
      </c>
      <c r="B41" s="46" t="s">
        <v>1875</v>
      </c>
      <c r="C41" s="46">
        <v>36769.0</v>
      </c>
      <c r="D41" s="46" t="s">
        <v>276</v>
      </c>
      <c r="E41" s="27"/>
      <c r="F41" s="28"/>
      <c r="G41" s="29"/>
      <c r="H41" s="30">
        <v>10000.0</v>
      </c>
      <c r="I41" s="31"/>
      <c r="J41" s="32"/>
      <c r="K41" s="50"/>
      <c r="L41" s="47">
        <v>10000.0</v>
      </c>
      <c r="M41" s="18">
        <f t="shared" si="1"/>
        <v>0</v>
      </c>
    </row>
    <row r="42">
      <c r="A42" s="54">
        <v>38.0</v>
      </c>
      <c r="B42" s="46" t="s">
        <v>1876</v>
      </c>
      <c r="C42" s="46">
        <v>52960.0</v>
      </c>
      <c r="D42" s="46" t="s">
        <v>92</v>
      </c>
      <c r="E42" s="27"/>
      <c r="F42" s="28"/>
      <c r="G42" s="29"/>
      <c r="H42" s="30">
        <v>5150.0</v>
      </c>
      <c r="I42" s="31"/>
      <c r="J42" s="32"/>
      <c r="K42" s="50"/>
      <c r="L42" s="47">
        <v>5150.0</v>
      </c>
      <c r="M42" s="18">
        <f t="shared" si="1"/>
        <v>0</v>
      </c>
    </row>
    <row r="43">
      <c r="A43" s="54">
        <v>39.0</v>
      </c>
      <c r="B43" s="46" t="s">
        <v>1877</v>
      </c>
      <c r="C43" s="46">
        <v>55225.0</v>
      </c>
      <c r="D43" s="46" t="s">
        <v>1878</v>
      </c>
      <c r="E43" s="27"/>
      <c r="F43" s="28"/>
      <c r="G43" s="29"/>
      <c r="H43" s="30">
        <v>27000.0</v>
      </c>
      <c r="I43" s="31"/>
      <c r="J43" s="32"/>
      <c r="K43" s="50"/>
      <c r="L43" s="47">
        <v>27000.0</v>
      </c>
      <c r="M43" s="18">
        <f t="shared" si="1"/>
        <v>0</v>
      </c>
    </row>
    <row r="44">
      <c r="A44" s="54">
        <v>40.0</v>
      </c>
      <c r="B44" s="46" t="s">
        <v>1879</v>
      </c>
      <c r="C44" s="46">
        <v>22332.0</v>
      </c>
      <c r="D44" s="46" t="s">
        <v>138</v>
      </c>
      <c r="E44" s="27"/>
      <c r="F44" s="28"/>
      <c r="G44" s="29"/>
      <c r="H44" s="30"/>
      <c r="I44" s="31">
        <v>13180.0</v>
      </c>
      <c r="J44" s="32"/>
      <c r="K44" s="50"/>
      <c r="L44" s="47">
        <v>13180.0</v>
      </c>
      <c r="M44" s="18">
        <f t="shared" si="1"/>
        <v>0</v>
      </c>
    </row>
    <row r="45">
      <c r="A45" s="54">
        <v>41.0</v>
      </c>
      <c r="B45" s="46" t="s">
        <v>1880</v>
      </c>
      <c r="C45" s="46">
        <v>50222.0</v>
      </c>
      <c r="D45" s="46" t="s">
        <v>47</v>
      </c>
      <c r="E45" s="27"/>
      <c r="F45" s="28"/>
      <c r="G45" s="29"/>
      <c r="H45" s="30">
        <v>471.0</v>
      </c>
      <c r="I45" s="31"/>
      <c r="J45" s="32"/>
      <c r="K45" s="50"/>
      <c r="L45" s="47">
        <v>471.0</v>
      </c>
      <c r="M45" s="18">
        <f t="shared" si="1"/>
        <v>0</v>
      </c>
    </row>
    <row r="46">
      <c r="A46" s="54">
        <v>42.0</v>
      </c>
      <c r="B46" s="46" t="s">
        <v>1881</v>
      </c>
      <c r="C46" s="46">
        <v>21928.0</v>
      </c>
      <c r="D46" s="46" t="s">
        <v>1882</v>
      </c>
      <c r="E46" s="38">
        <v>5000.0</v>
      </c>
      <c r="F46" s="28"/>
      <c r="G46" s="29"/>
      <c r="H46" s="30"/>
      <c r="I46" s="31"/>
      <c r="J46" s="32"/>
      <c r="K46" s="50"/>
      <c r="L46" s="47">
        <v>5000.0</v>
      </c>
      <c r="M46" s="18">
        <f t="shared" si="1"/>
        <v>0</v>
      </c>
    </row>
    <row r="47">
      <c r="A47" s="54">
        <v>43.0</v>
      </c>
      <c r="B47" s="46" t="s">
        <v>1883</v>
      </c>
      <c r="C47" s="46">
        <v>54489.0</v>
      </c>
      <c r="D47" s="46" t="s">
        <v>63</v>
      </c>
      <c r="E47" s="27"/>
      <c r="F47" s="28"/>
      <c r="G47" s="29"/>
      <c r="H47" s="30">
        <v>2500.0</v>
      </c>
      <c r="I47" s="31"/>
      <c r="J47" s="32"/>
      <c r="K47" s="50"/>
      <c r="L47" s="47">
        <v>2500.0</v>
      </c>
      <c r="M47" s="18">
        <f t="shared" si="1"/>
        <v>0</v>
      </c>
    </row>
    <row r="48">
      <c r="A48" s="54">
        <v>44.0</v>
      </c>
      <c r="B48" s="46" t="s">
        <v>1884</v>
      </c>
      <c r="C48" s="46">
        <v>48141.0</v>
      </c>
      <c r="D48" s="46" t="s">
        <v>693</v>
      </c>
      <c r="E48" s="38"/>
      <c r="F48" s="37"/>
      <c r="G48" s="29"/>
      <c r="H48" s="30">
        <v>2650.0</v>
      </c>
      <c r="I48" s="31"/>
      <c r="J48" s="32"/>
      <c r="K48" s="50"/>
      <c r="L48" s="47">
        <v>2650.0</v>
      </c>
      <c r="M48" s="18">
        <f t="shared" si="1"/>
        <v>0</v>
      </c>
    </row>
    <row r="49">
      <c r="A49" s="54">
        <v>45.0</v>
      </c>
      <c r="B49" s="46" t="s">
        <v>1885</v>
      </c>
      <c r="C49" s="46">
        <v>31738.0</v>
      </c>
      <c r="D49" s="46" t="s">
        <v>154</v>
      </c>
      <c r="E49" s="27"/>
      <c r="F49" s="37"/>
      <c r="G49" s="29"/>
      <c r="H49" s="30">
        <v>7800.0</v>
      </c>
      <c r="I49" s="31"/>
      <c r="J49" s="32"/>
      <c r="K49" s="50"/>
      <c r="L49" s="47">
        <v>7800.0</v>
      </c>
      <c r="M49" s="18">
        <f t="shared" si="1"/>
        <v>0</v>
      </c>
    </row>
    <row r="50">
      <c r="A50" s="54">
        <v>46.0</v>
      </c>
      <c r="B50" s="46" t="s">
        <v>1886</v>
      </c>
      <c r="C50" s="46">
        <v>48631.0</v>
      </c>
      <c r="D50" s="46" t="s">
        <v>118</v>
      </c>
      <c r="E50" s="38"/>
      <c r="F50" s="37"/>
      <c r="G50" s="29"/>
      <c r="H50" s="30">
        <v>5350.0</v>
      </c>
      <c r="I50" s="31"/>
      <c r="J50" s="35"/>
      <c r="K50" s="33"/>
      <c r="L50" s="47">
        <v>5350.0</v>
      </c>
      <c r="M50" s="18">
        <f t="shared" si="1"/>
        <v>0</v>
      </c>
    </row>
    <row r="51">
      <c r="A51" s="54">
        <v>47.0</v>
      </c>
      <c r="B51" s="46" t="s">
        <v>1887</v>
      </c>
      <c r="C51" s="46">
        <v>45937.0</v>
      </c>
      <c r="D51" s="46" t="s">
        <v>337</v>
      </c>
      <c r="E51" s="27"/>
      <c r="F51" s="28"/>
      <c r="G51" s="29"/>
      <c r="H51" s="30">
        <v>2500.0</v>
      </c>
      <c r="I51" s="31"/>
      <c r="J51" s="32"/>
      <c r="K51" s="33"/>
      <c r="L51" s="47">
        <v>2500.0</v>
      </c>
      <c r="M51" s="18">
        <f t="shared" si="1"/>
        <v>0</v>
      </c>
    </row>
    <row r="52">
      <c r="A52" s="54">
        <v>48.0</v>
      </c>
      <c r="B52" s="46" t="s">
        <v>1888</v>
      </c>
      <c r="C52" s="46">
        <v>57649.0</v>
      </c>
      <c r="D52" s="46" t="s">
        <v>1889</v>
      </c>
      <c r="E52" s="27"/>
      <c r="F52" s="28"/>
      <c r="G52" s="29"/>
      <c r="H52" s="30">
        <v>27000.0</v>
      </c>
      <c r="I52" s="31"/>
      <c r="J52" s="32"/>
      <c r="K52" s="33"/>
      <c r="L52" s="47">
        <v>27000.0</v>
      </c>
      <c r="M52" s="18">
        <f t="shared" si="1"/>
        <v>0</v>
      </c>
    </row>
    <row r="53">
      <c r="A53" s="54">
        <v>49.0</v>
      </c>
      <c r="B53" s="46" t="s">
        <v>1890</v>
      </c>
      <c r="C53" s="46">
        <v>10001.0</v>
      </c>
      <c r="D53" s="46" t="s">
        <v>218</v>
      </c>
      <c r="E53" s="27"/>
      <c r="F53" s="28"/>
      <c r="G53" s="29"/>
      <c r="H53" s="30">
        <v>45000.0</v>
      </c>
      <c r="I53" s="31"/>
      <c r="J53" s="32"/>
      <c r="K53" s="33"/>
      <c r="L53" s="47">
        <v>45000.0</v>
      </c>
      <c r="M53" s="18">
        <f t="shared" si="1"/>
        <v>0</v>
      </c>
    </row>
    <row r="54">
      <c r="A54" s="54">
        <v>50.0</v>
      </c>
      <c r="B54" s="46" t="s">
        <v>1891</v>
      </c>
      <c r="C54" s="46">
        <v>51970.0</v>
      </c>
      <c r="D54" s="46" t="s">
        <v>858</v>
      </c>
      <c r="E54" s="27"/>
      <c r="F54" s="28"/>
      <c r="G54" s="29"/>
      <c r="H54" s="30">
        <v>10800.0</v>
      </c>
      <c r="I54" s="31"/>
      <c r="J54" s="32"/>
      <c r="K54" s="33"/>
      <c r="L54" s="47">
        <v>10800.0</v>
      </c>
      <c r="M54" s="18">
        <f t="shared" si="1"/>
        <v>0</v>
      </c>
    </row>
    <row r="55">
      <c r="A55" s="54">
        <v>51.0</v>
      </c>
      <c r="B55" s="46" t="s">
        <v>1892</v>
      </c>
      <c r="C55" s="46">
        <v>47179.0</v>
      </c>
      <c r="D55" s="46" t="s">
        <v>438</v>
      </c>
      <c r="E55" s="27"/>
      <c r="F55" s="28"/>
      <c r="G55" s="29"/>
      <c r="H55" s="30"/>
      <c r="I55" s="31">
        <v>10000.0</v>
      </c>
      <c r="J55" s="35"/>
      <c r="K55" s="33"/>
      <c r="L55" s="47">
        <v>10000.0</v>
      </c>
      <c r="M55" s="18">
        <f t="shared" si="1"/>
        <v>0</v>
      </c>
    </row>
    <row r="56">
      <c r="A56" s="54">
        <v>52.0</v>
      </c>
      <c r="B56" s="46" t="s">
        <v>1893</v>
      </c>
      <c r="C56" s="46">
        <v>22341.0</v>
      </c>
      <c r="D56" s="46" t="s">
        <v>293</v>
      </c>
      <c r="E56" s="27"/>
      <c r="F56" s="28"/>
      <c r="G56" s="29"/>
      <c r="H56" s="30">
        <v>4150.0</v>
      </c>
      <c r="I56" s="31"/>
      <c r="J56" s="32"/>
      <c r="K56" s="33"/>
      <c r="L56" s="47">
        <v>4150.0</v>
      </c>
      <c r="M56" s="18">
        <f t="shared" si="1"/>
        <v>0</v>
      </c>
    </row>
    <row r="57">
      <c r="A57" s="54">
        <v>53.0</v>
      </c>
      <c r="B57" s="46" t="s">
        <v>1894</v>
      </c>
      <c r="C57" s="46">
        <v>50436.0</v>
      </c>
      <c r="D57" s="46" t="s">
        <v>421</v>
      </c>
      <c r="E57" s="27"/>
      <c r="F57" s="37">
        <v>46600.0</v>
      </c>
      <c r="G57" s="29"/>
      <c r="H57" s="30"/>
      <c r="I57" s="31"/>
      <c r="J57" s="32"/>
      <c r="K57" s="33"/>
      <c r="L57" s="47">
        <v>46600.0</v>
      </c>
      <c r="M57" s="18">
        <f t="shared" si="1"/>
        <v>0</v>
      </c>
    </row>
    <row r="58">
      <c r="A58" s="54">
        <v>54.0</v>
      </c>
      <c r="B58" s="46" t="s">
        <v>1895</v>
      </c>
      <c r="C58" s="46">
        <v>50148.0</v>
      </c>
      <c r="D58" s="46" t="s">
        <v>244</v>
      </c>
      <c r="E58" s="27"/>
      <c r="F58" s="37"/>
      <c r="G58" s="29"/>
      <c r="H58" s="30">
        <v>1472.0</v>
      </c>
      <c r="I58" s="31"/>
      <c r="J58" s="32"/>
      <c r="K58" s="33"/>
      <c r="L58" s="47">
        <v>1472.0</v>
      </c>
      <c r="M58" s="18">
        <f t="shared" si="1"/>
        <v>0</v>
      </c>
    </row>
    <row r="59">
      <c r="A59" s="54">
        <v>55.0</v>
      </c>
      <c r="B59" s="46" t="s">
        <v>1896</v>
      </c>
      <c r="C59" s="46">
        <v>12102.0</v>
      </c>
      <c r="D59" s="46" t="s">
        <v>345</v>
      </c>
      <c r="E59" s="27"/>
      <c r="F59" s="37"/>
      <c r="G59" s="29"/>
      <c r="H59" s="30">
        <v>1398.0</v>
      </c>
      <c r="I59" s="31"/>
      <c r="J59" s="32"/>
      <c r="K59" s="33"/>
      <c r="L59" s="47">
        <v>1398.0</v>
      </c>
      <c r="M59" s="18">
        <f t="shared" si="1"/>
        <v>0</v>
      </c>
    </row>
    <row r="60">
      <c r="A60" s="54">
        <v>56.0</v>
      </c>
      <c r="B60" s="46" t="s">
        <v>1897</v>
      </c>
      <c r="C60" s="46">
        <v>57710.0</v>
      </c>
      <c r="D60" s="46" t="s">
        <v>1898</v>
      </c>
      <c r="E60" s="27"/>
      <c r="F60" s="28"/>
      <c r="G60" s="29"/>
      <c r="H60" s="30"/>
      <c r="I60" s="31">
        <v>2850.0</v>
      </c>
      <c r="J60" s="35"/>
      <c r="K60" s="33"/>
      <c r="L60" s="47">
        <v>2850.0</v>
      </c>
      <c r="M60" s="18">
        <f t="shared" si="1"/>
        <v>0</v>
      </c>
    </row>
    <row r="61">
      <c r="A61" s="54">
        <v>57.0</v>
      </c>
      <c r="B61" s="46" t="s">
        <v>1899</v>
      </c>
      <c r="C61" s="46">
        <v>49864.0</v>
      </c>
      <c r="D61" s="46" t="s">
        <v>687</v>
      </c>
      <c r="E61" s="27"/>
      <c r="F61" s="28"/>
      <c r="G61" s="29"/>
      <c r="H61" s="30">
        <v>448.0</v>
      </c>
      <c r="I61" s="31"/>
      <c r="J61" s="35"/>
      <c r="K61" s="33"/>
      <c r="L61" s="47">
        <v>448.0</v>
      </c>
      <c r="M61" s="18">
        <f t="shared" si="1"/>
        <v>0</v>
      </c>
    </row>
    <row r="62">
      <c r="A62" s="54">
        <v>58.0</v>
      </c>
      <c r="B62" s="46" t="s">
        <v>1900</v>
      </c>
      <c r="C62" s="46">
        <v>51040.0</v>
      </c>
      <c r="D62" s="46" t="s">
        <v>196</v>
      </c>
      <c r="E62" s="27"/>
      <c r="F62" s="37">
        <v>34850.0</v>
      </c>
      <c r="G62" s="29"/>
      <c r="H62" s="30"/>
      <c r="I62" s="31"/>
      <c r="J62" s="32"/>
      <c r="K62" s="33"/>
      <c r="L62" s="47">
        <v>34850.0</v>
      </c>
      <c r="M62" s="18">
        <f t="shared" si="1"/>
        <v>0</v>
      </c>
    </row>
    <row r="63">
      <c r="A63" s="54">
        <v>59.0</v>
      </c>
      <c r="B63" s="46" t="s">
        <v>1901</v>
      </c>
      <c r="C63" s="46">
        <v>25650.0</v>
      </c>
      <c r="D63" s="46" t="s">
        <v>378</v>
      </c>
      <c r="E63" s="27"/>
      <c r="F63" s="28"/>
      <c r="G63" s="29"/>
      <c r="H63" s="30">
        <v>100.0</v>
      </c>
      <c r="I63" s="31"/>
      <c r="J63" s="32"/>
      <c r="K63" s="33"/>
      <c r="L63" s="47">
        <v>100.0</v>
      </c>
      <c r="M63" s="18">
        <f t="shared" si="1"/>
        <v>0</v>
      </c>
    </row>
    <row r="64">
      <c r="A64" s="54">
        <v>60.0</v>
      </c>
      <c r="B64" s="46" t="s">
        <v>1902</v>
      </c>
      <c r="C64" s="46">
        <v>50821.0</v>
      </c>
      <c r="D64" s="46" t="s">
        <v>465</v>
      </c>
      <c r="E64" s="27"/>
      <c r="F64" s="37"/>
      <c r="G64" s="29"/>
      <c r="H64" s="30">
        <v>1250.0</v>
      </c>
      <c r="I64" s="31"/>
      <c r="J64" s="32"/>
      <c r="K64" s="33"/>
      <c r="L64" s="47">
        <v>1250.0</v>
      </c>
      <c r="M64" s="18">
        <f t="shared" si="1"/>
        <v>0</v>
      </c>
    </row>
    <row r="65">
      <c r="A65" s="54">
        <v>61.0</v>
      </c>
      <c r="B65" s="46" t="s">
        <v>1903</v>
      </c>
      <c r="C65" s="46">
        <v>22727.0</v>
      </c>
      <c r="D65" s="46" t="s">
        <v>162</v>
      </c>
      <c r="E65" s="27"/>
      <c r="F65" s="37"/>
      <c r="G65" s="29"/>
      <c r="H65" s="30">
        <v>350.0</v>
      </c>
      <c r="I65" s="31"/>
      <c r="J65" s="32"/>
      <c r="K65" s="33"/>
      <c r="L65" s="47">
        <v>350.0</v>
      </c>
      <c r="M65" s="18">
        <f t="shared" si="1"/>
        <v>0</v>
      </c>
    </row>
    <row r="66">
      <c r="A66" s="54">
        <v>62.0</v>
      </c>
      <c r="B66" s="46" t="s">
        <v>1904</v>
      </c>
      <c r="C66" s="46">
        <v>55961.0</v>
      </c>
      <c r="D66" s="46" t="s">
        <v>1905</v>
      </c>
      <c r="E66" s="27"/>
      <c r="F66" s="37"/>
      <c r="G66" s="29"/>
      <c r="H66" s="30">
        <v>8750.0</v>
      </c>
      <c r="I66" s="31"/>
      <c r="J66" s="32"/>
      <c r="K66" s="33"/>
      <c r="L66" s="47">
        <v>8750.0</v>
      </c>
      <c r="M66" s="18">
        <f t="shared" si="1"/>
        <v>0</v>
      </c>
    </row>
    <row r="67">
      <c r="A67" s="54">
        <v>63.0</v>
      </c>
      <c r="B67" s="46" t="s">
        <v>1906</v>
      </c>
      <c r="C67" s="46">
        <v>33447.0</v>
      </c>
      <c r="D67" s="46" t="s">
        <v>1907</v>
      </c>
      <c r="E67" s="27"/>
      <c r="F67" s="37"/>
      <c r="G67" s="29"/>
      <c r="H67" s="30"/>
      <c r="I67" s="31">
        <v>300.0</v>
      </c>
      <c r="J67" s="32"/>
      <c r="K67" s="33"/>
      <c r="L67" s="47">
        <v>300.0</v>
      </c>
      <c r="M67" s="18">
        <f t="shared" si="1"/>
        <v>0</v>
      </c>
    </row>
    <row r="68">
      <c r="A68" s="54">
        <v>64.0</v>
      </c>
      <c r="B68" s="46" t="s">
        <v>1908</v>
      </c>
      <c r="C68" s="46">
        <v>17441.0</v>
      </c>
      <c r="D68" s="46" t="s">
        <v>1909</v>
      </c>
      <c r="E68" s="27"/>
      <c r="F68" s="37"/>
      <c r="G68" s="29"/>
      <c r="H68" s="30"/>
      <c r="I68" s="31">
        <v>300.0</v>
      </c>
      <c r="J68" s="32"/>
      <c r="K68" s="33"/>
      <c r="L68" s="47">
        <v>300.0</v>
      </c>
      <c r="M68" s="18">
        <f t="shared" si="1"/>
        <v>0</v>
      </c>
    </row>
    <row r="69">
      <c r="A69" s="54">
        <v>65.0</v>
      </c>
      <c r="B69" s="46" t="s">
        <v>1910</v>
      </c>
      <c r="C69" s="46">
        <v>37940.0</v>
      </c>
      <c r="D69" s="46" t="s">
        <v>1911</v>
      </c>
      <c r="E69" s="27"/>
      <c r="F69" s="37"/>
      <c r="G69" s="29"/>
      <c r="H69" s="30"/>
      <c r="I69" s="31">
        <v>300.0</v>
      </c>
      <c r="J69" s="32"/>
      <c r="K69" s="33"/>
      <c r="L69" s="47">
        <v>300.0</v>
      </c>
      <c r="M69" s="18">
        <f t="shared" si="1"/>
        <v>0</v>
      </c>
    </row>
    <row r="70">
      <c r="A70" s="54">
        <v>66.0</v>
      </c>
      <c r="B70" s="46" t="s">
        <v>1912</v>
      </c>
      <c r="C70" s="46">
        <v>33894.0</v>
      </c>
      <c r="D70" s="46" t="s">
        <v>1913</v>
      </c>
      <c r="E70" s="27"/>
      <c r="F70" s="37"/>
      <c r="G70" s="29"/>
      <c r="H70" s="30"/>
      <c r="I70" s="31">
        <v>300.0</v>
      </c>
      <c r="J70" s="32"/>
      <c r="K70" s="33"/>
      <c r="L70" s="47">
        <v>300.0</v>
      </c>
      <c r="M70" s="18">
        <f t="shared" si="1"/>
        <v>0</v>
      </c>
    </row>
    <row r="71">
      <c r="A71" s="54">
        <v>67.0</v>
      </c>
      <c r="B71" s="46" t="s">
        <v>1914</v>
      </c>
      <c r="C71" s="46">
        <v>56172.0</v>
      </c>
      <c r="D71" s="46" t="s">
        <v>1915</v>
      </c>
      <c r="E71" s="27"/>
      <c r="F71" s="37"/>
      <c r="G71" s="29"/>
      <c r="H71" s="30"/>
      <c r="I71" s="31">
        <v>300.0</v>
      </c>
      <c r="J71" s="32"/>
      <c r="K71" s="33"/>
      <c r="L71" s="47">
        <v>300.0</v>
      </c>
      <c r="M71" s="18">
        <f t="shared" si="1"/>
        <v>0</v>
      </c>
    </row>
    <row r="72">
      <c r="A72" s="54">
        <v>68.0</v>
      </c>
      <c r="B72" s="46" t="s">
        <v>1916</v>
      </c>
      <c r="C72" s="46">
        <v>13762.0</v>
      </c>
      <c r="D72" s="46" t="s">
        <v>356</v>
      </c>
      <c r="E72" s="27"/>
      <c r="F72" s="37">
        <v>15000.0</v>
      </c>
      <c r="G72" s="29"/>
      <c r="H72" s="30"/>
      <c r="I72" s="31"/>
      <c r="J72" s="32"/>
      <c r="K72" s="33"/>
      <c r="L72" s="47">
        <v>15000.0</v>
      </c>
      <c r="M72" s="18">
        <f t="shared" si="1"/>
        <v>0</v>
      </c>
    </row>
    <row r="73">
      <c r="A73" s="54">
        <v>69.0</v>
      </c>
      <c r="B73" s="46" t="s">
        <v>1917</v>
      </c>
      <c r="C73" s="46">
        <v>48779.0</v>
      </c>
      <c r="D73" s="46" t="s">
        <v>1918</v>
      </c>
      <c r="E73" s="27"/>
      <c r="F73" s="37">
        <v>7500.0</v>
      </c>
      <c r="G73" s="29"/>
      <c r="H73" s="30"/>
      <c r="I73" s="31"/>
      <c r="J73" s="32"/>
      <c r="K73" s="33"/>
      <c r="L73" s="47">
        <v>7500.0</v>
      </c>
      <c r="M73" s="18">
        <f t="shared" si="1"/>
        <v>0</v>
      </c>
    </row>
    <row r="74">
      <c r="A74" s="54">
        <v>70.0</v>
      </c>
      <c r="B74" s="46" t="s">
        <v>1919</v>
      </c>
      <c r="C74" s="46">
        <v>42046.0</v>
      </c>
      <c r="D74" s="46" t="s">
        <v>24</v>
      </c>
      <c r="E74" s="27"/>
      <c r="F74" s="37">
        <v>12750.0</v>
      </c>
      <c r="G74" s="29"/>
      <c r="H74" s="30"/>
      <c r="I74" s="31"/>
      <c r="J74" s="32"/>
      <c r="K74" s="33"/>
      <c r="L74" s="47">
        <v>12750.0</v>
      </c>
      <c r="M74" s="18">
        <f t="shared" si="1"/>
        <v>0</v>
      </c>
    </row>
    <row r="75">
      <c r="A75" s="54">
        <v>71.0</v>
      </c>
      <c r="B75" s="46" t="s">
        <v>1920</v>
      </c>
      <c r="C75" s="46">
        <v>42052.0</v>
      </c>
      <c r="D75" s="46" t="s">
        <v>1921</v>
      </c>
      <c r="E75" s="27"/>
      <c r="F75" s="37">
        <v>5000.0</v>
      </c>
      <c r="G75" s="29"/>
      <c r="H75" s="30"/>
      <c r="I75" s="31"/>
      <c r="J75" s="32"/>
      <c r="K75" s="33"/>
      <c r="L75" s="47">
        <v>5000.0</v>
      </c>
      <c r="M75" s="18">
        <f t="shared" si="1"/>
        <v>0</v>
      </c>
    </row>
    <row r="76">
      <c r="A76" s="54">
        <v>72.0</v>
      </c>
      <c r="B76" s="46" t="s">
        <v>1922</v>
      </c>
      <c r="C76" s="46">
        <v>39317.0</v>
      </c>
      <c r="D76" s="46" t="s">
        <v>84</v>
      </c>
      <c r="E76" s="27"/>
      <c r="F76" s="37"/>
      <c r="G76" s="29"/>
      <c r="H76" s="30"/>
      <c r="I76" s="31">
        <v>2850.0</v>
      </c>
      <c r="J76" s="32"/>
      <c r="K76" s="33"/>
      <c r="L76" s="47">
        <v>2850.0</v>
      </c>
      <c r="M76" s="18">
        <f t="shared" si="1"/>
        <v>0</v>
      </c>
    </row>
    <row r="77">
      <c r="A77" s="54">
        <v>73.0</v>
      </c>
      <c r="B77" s="46" t="s">
        <v>1923</v>
      </c>
      <c r="C77" s="46">
        <v>54816.0</v>
      </c>
      <c r="D77" s="46" t="s">
        <v>358</v>
      </c>
      <c r="E77" s="27"/>
      <c r="F77" s="37"/>
      <c r="G77" s="29"/>
      <c r="H77" s="30"/>
      <c r="I77" s="31">
        <v>1280.0</v>
      </c>
      <c r="J77" s="32"/>
      <c r="K77" s="33"/>
      <c r="L77" s="47">
        <v>1280.0</v>
      </c>
      <c r="M77" s="18">
        <f t="shared" si="1"/>
        <v>0</v>
      </c>
    </row>
    <row r="78">
      <c r="A78" s="54">
        <v>74.0</v>
      </c>
      <c r="B78" s="46" t="s">
        <v>1924</v>
      </c>
      <c r="C78" s="46">
        <v>56027.0</v>
      </c>
      <c r="D78" s="46" t="s">
        <v>284</v>
      </c>
      <c r="E78" s="27"/>
      <c r="F78" s="37"/>
      <c r="G78" s="29"/>
      <c r="H78" s="30"/>
      <c r="I78" s="31">
        <v>1250.0</v>
      </c>
      <c r="J78" s="32"/>
      <c r="K78" s="33"/>
      <c r="L78" s="47">
        <v>1250.0</v>
      </c>
      <c r="M78" s="18">
        <f t="shared" si="1"/>
        <v>0</v>
      </c>
    </row>
    <row r="79">
      <c r="A79" s="54">
        <v>75.0</v>
      </c>
      <c r="B79" s="46" t="s">
        <v>1925</v>
      </c>
      <c r="C79" s="46">
        <v>56215.0</v>
      </c>
      <c r="D79" s="46" t="s">
        <v>879</v>
      </c>
      <c r="E79" s="27"/>
      <c r="F79" s="37"/>
      <c r="G79" s="29"/>
      <c r="H79" s="30"/>
      <c r="I79" s="31">
        <v>5000.0</v>
      </c>
      <c r="J79" s="32"/>
      <c r="K79" s="33"/>
      <c r="L79" s="47">
        <v>5000.0</v>
      </c>
      <c r="M79" s="18">
        <f t="shared" si="1"/>
        <v>0</v>
      </c>
    </row>
    <row r="80">
      <c r="A80" s="54">
        <v>76.0</v>
      </c>
      <c r="B80" s="46" t="s">
        <v>1926</v>
      </c>
      <c r="C80" s="46">
        <v>54312.0</v>
      </c>
      <c r="D80" s="46" t="s">
        <v>881</v>
      </c>
      <c r="E80" s="27"/>
      <c r="F80" s="37"/>
      <c r="G80" s="29"/>
      <c r="H80" s="30"/>
      <c r="I80" s="31">
        <v>5000.0</v>
      </c>
      <c r="J80" s="32"/>
      <c r="K80" s="33"/>
      <c r="L80" s="47">
        <v>5000.0</v>
      </c>
      <c r="M80" s="18">
        <f t="shared" si="1"/>
        <v>0</v>
      </c>
    </row>
    <row r="81">
      <c r="A81" s="54">
        <v>77.0</v>
      </c>
      <c r="B81" s="46" t="s">
        <v>1927</v>
      </c>
      <c r="C81" s="46">
        <v>50821.0</v>
      </c>
      <c r="D81" s="46" t="s">
        <v>465</v>
      </c>
      <c r="E81" s="27"/>
      <c r="F81" s="37"/>
      <c r="G81" s="29"/>
      <c r="H81" s="30">
        <v>300.0</v>
      </c>
      <c r="I81" s="31"/>
      <c r="J81" s="32"/>
      <c r="K81" s="33"/>
      <c r="L81" s="47">
        <v>300.0</v>
      </c>
      <c r="M81" s="18">
        <f t="shared" si="1"/>
        <v>0</v>
      </c>
    </row>
    <row r="82">
      <c r="A82" s="54">
        <v>78.0</v>
      </c>
      <c r="B82" s="46" t="s">
        <v>1928</v>
      </c>
      <c r="C82" s="46">
        <v>50596.0</v>
      </c>
      <c r="D82" s="46" t="s">
        <v>493</v>
      </c>
      <c r="E82" s="27"/>
      <c r="F82" s="37"/>
      <c r="G82" s="29"/>
      <c r="H82" s="30">
        <v>25000.0</v>
      </c>
      <c r="I82" s="31"/>
      <c r="J82" s="32"/>
      <c r="K82" s="33"/>
      <c r="L82" s="47">
        <v>25000.0</v>
      </c>
      <c r="M82" s="18">
        <f t="shared" si="1"/>
        <v>0</v>
      </c>
    </row>
    <row r="83">
      <c r="A83" s="54">
        <v>79.0</v>
      </c>
      <c r="B83" s="46" t="s">
        <v>1929</v>
      </c>
      <c r="C83" s="46">
        <v>53809.0</v>
      </c>
      <c r="D83" s="46" t="s">
        <v>1930</v>
      </c>
      <c r="E83" s="27"/>
      <c r="F83" s="37"/>
      <c r="G83" s="29"/>
      <c r="H83" s="30"/>
      <c r="I83" s="31">
        <v>2650.0</v>
      </c>
      <c r="J83" s="32"/>
      <c r="K83" s="33"/>
      <c r="L83" s="47">
        <v>2650.0</v>
      </c>
      <c r="M83" s="18">
        <f t="shared" si="1"/>
        <v>0</v>
      </c>
    </row>
    <row r="84">
      <c r="A84" s="54">
        <v>80.0</v>
      </c>
      <c r="B84" s="46" t="s">
        <v>1931</v>
      </c>
      <c r="C84" s="46">
        <v>55854.0</v>
      </c>
      <c r="D84" s="46" t="s">
        <v>1932</v>
      </c>
      <c r="E84" s="38">
        <v>280.0</v>
      </c>
      <c r="F84" s="37"/>
      <c r="G84" s="29"/>
      <c r="H84" s="30"/>
      <c r="I84" s="31"/>
      <c r="J84" s="32"/>
      <c r="K84" s="33"/>
      <c r="L84" s="47">
        <v>280.0</v>
      </c>
      <c r="M84" s="18">
        <f t="shared" si="1"/>
        <v>0</v>
      </c>
    </row>
    <row r="85">
      <c r="A85" s="54">
        <v>81.0</v>
      </c>
      <c r="B85" s="46" t="s">
        <v>1933</v>
      </c>
      <c r="C85" s="46">
        <v>55501.0</v>
      </c>
      <c r="D85" s="46" t="s">
        <v>1934</v>
      </c>
      <c r="E85" s="38">
        <v>5000.0</v>
      </c>
      <c r="F85" s="37"/>
      <c r="G85" s="29"/>
      <c r="H85" s="30"/>
      <c r="I85" s="31"/>
      <c r="J85" s="32"/>
      <c r="K85" s="33"/>
      <c r="L85" s="47">
        <v>5000.0</v>
      </c>
      <c r="M85" s="18">
        <f t="shared" si="1"/>
        <v>0</v>
      </c>
    </row>
    <row r="86">
      <c r="A86" s="54">
        <v>82.0</v>
      </c>
      <c r="B86" s="46" t="s">
        <v>1935</v>
      </c>
      <c r="C86" s="46">
        <v>57734.0</v>
      </c>
      <c r="D86" s="46" t="s">
        <v>1936</v>
      </c>
      <c r="E86" s="38">
        <v>20000.0</v>
      </c>
      <c r="F86" s="37"/>
      <c r="G86" s="29"/>
      <c r="H86" s="30">
        <v>7000.0</v>
      </c>
      <c r="I86" s="31"/>
      <c r="J86" s="32"/>
      <c r="K86" s="33"/>
      <c r="L86" s="47">
        <v>27000.0</v>
      </c>
      <c r="M86" s="18">
        <f t="shared" si="1"/>
        <v>0</v>
      </c>
    </row>
    <row r="87">
      <c r="A87" s="54">
        <v>83.0</v>
      </c>
      <c r="B87" s="46" t="s">
        <v>1937</v>
      </c>
      <c r="C87" s="46">
        <v>57735.0</v>
      </c>
      <c r="D87" s="46" t="s">
        <v>1938</v>
      </c>
      <c r="E87" s="27"/>
      <c r="F87" s="37"/>
      <c r="G87" s="29"/>
      <c r="H87" s="30">
        <v>27000.0</v>
      </c>
      <c r="I87" s="31"/>
      <c r="J87" s="32"/>
      <c r="K87" s="33"/>
      <c r="L87" s="47">
        <v>27000.0</v>
      </c>
      <c r="M87" s="18">
        <f t="shared" si="1"/>
        <v>0</v>
      </c>
    </row>
    <row r="88">
      <c r="A88" s="54">
        <v>84.0</v>
      </c>
      <c r="B88" s="46" t="s">
        <v>1939</v>
      </c>
      <c r="C88" s="46">
        <v>57737.0</v>
      </c>
      <c r="D88" s="46" t="s">
        <v>1940</v>
      </c>
      <c r="E88" s="27"/>
      <c r="F88" s="37"/>
      <c r="G88" s="29"/>
      <c r="H88" s="30">
        <v>27000.0</v>
      </c>
      <c r="I88" s="31"/>
      <c r="J88" s="32"/>
      <c r="K88" s="33"/>
      <c r="L88" s="47">
        <v>27000.0</v>
      </c>
      <c r="M88" s="18">
        <f t="shared" si="1"/>
        <v>0</v>
      </c>
    </row>
    <row r="89">
      <c r="A89" s="54">
        <v>85.0</v>
      </c>
      <c r="B89" s="46" t="s">
        <v>1941</v>
      </c>
      <c r="C89" s="46">
        <v>55409.0</v>
      </c>
      <c r="D89" s="46" t="s">
        <v>945</v>
      </c>
      <c r="E89" s="38">
        <v>2800.0</v>
      </c>
      <c r="F89" s="37"/>
      <c r="G89" s="29"/>
      <c r="H89" s="30">
        <v>2200.0</v>
      </c>
      <c r="I89" s="31"/>
      <c r="J89" s="32"/>
      <c r="K89" s="33"/>
      <c r="L89" s="47">
        <v>5000.0</v>
      </c>
      <c r="M89" s="18">
        <f t="shared" si="1"/>
        <v>0</v>
      </c>
    </row>
    <row r="90">
      <c r="A90" s="54">
        <v>86.0</v>
      </c>
      <c r="B90" s="46" t="s">
        <v>1942</v>
      </c>
      <c r="C90" s="46">
        <v>50436.0</v>
      </c>
      <c r="D90" s="46" t="s">
        <v>421</v>
      </c>
      <c r="E90" s="38">
        <v>300.0</v>
      </c>
      <c r="F90" s="37"/>
      <c r="G90" s="29"/>
      <c r="H90" s="30"/>
      <c r="I90" s="31"/>
      <c r="J90" s="32"/>
      <c r="K90" s="33"/>
      <c r="L90" s="47">
        <v>300.0</v>
      </c>
      <c r="M90" s="18">
        <f t="shared" si="1"/>
        <v>0</v>
      </c>
    </row>
    <row r="91">
      <c r="A91" s="54">
        <v>87.0</v>
      </c>
      <c r="B91" s="46" t="s">
        <v>1943</v>
      </c>
      <c r="C91" s="46">
        <v>56570.0</v>
      </c>
      <c r="D91" s="46" t="s">
        <v>1944</v>
      </c>
      <c r="E91" s="38">
        <v>3600.0</v>
      </c>
      <c r="F91" s="37"/>
      <c r="G91" s="29"/>
      <c r="H91" s="30"/>
      <c r="I91" s="31"/>
      <c r="J91" s="32"/>
      <c r="K91" s="33"/>
      <c r="L91" s="47">
        <v>3600.0</v>
      </c>
      <c r="M91" s="18">
        <f t="shared" si="1"/>
        <v>0</v>
      </c>
    </row>
    <row r="92">
      <c r="A92" s="54">
        <v>88.0</v>
      </c>
      <c r="B92" s="46" t="s">
        <v>1945</v>
      </c>
      <c r="C92" s="46">
        <v>51697.0</v>
      </c>
      <c r="D92" s="46" t="s">
        <v>741</v>
      </c>
      <c r="E92" s="38">
        <v>2800.0</v>
      </c>
      <c r="F92" s="37"/>
      <c r="G92" s="29"/>
      <c r="H92" s="30">
        <v>2200.0</v>
      </c>
      <c r="I92" s="31"/>
      <c r="J92" s="32"/>
      <c r="K92" s="33"/>
      <c r="L92" s="47">
        <v>5000.0</v>
      </c>
      <c r="M92" s="18">
        <f t="shared" si="1"/>
        <v>0</v>
      </c>
    </row>
    <row r="93">
      <c r="A93" s="54">
        <v>89.0</v>
      </c>
      <c r="B93" s="46" t="s">
        <v>1946</v>
      </c>
      <c r="C93" s="46">
        <v>35245.0</v>
      </c>
      <c r="D93" s="46" t="s">
        <v>34</v>
      </c>
      <c r="E93" s="27"/>
      <c r="F93" s="37"/>
      <c r="G93" s="29"/>
      <c r="H93" s="30"/>
      <c r="I93" s="31"/>
      <c r="J93" s="35">
        <v>100.0</v>
      </c>
      <c r="K93" s="33"/>
      <c r="L93" s="47">
        <v>100.0</v>
      </c>
      <c r="M93" s="18">
        <f t="shared" si="1"/>
        <v>0</v>
      </c>
    </row>
    <row r="94">
      <c r="A94" s="54">
        <v>90.0</v>
      </c>
      <c r="B94" s="46" t="s">
        <v>1947</v>
      </c>
      <c r="C94" s="46">
        <v>51565.0</v>
      </c>
      <c r="D94" s="46" t="s">
        <v>1948</v>
      </c>
      <c r="E94" s="27"/>
      <c r="F94" s="37"/>
      <c r="G94" s="29"/>
      <c r="H94" s="30"/>
      <c r="I94" s="31"/>
      <c r="J94" s="35">
        <v>300.0</v>
      </c>
      <c r="K94" s="33"/>
      <c r="L94" s="47">
        <v>300.0</v>
      </c>
      <c r="M94" s="18">
        <f t="shared" si="1"/>
        <v>0</v>
      </c>
    </row>
    <row r="95">
      <c r="A95" s="54">
        <v>91.0</v>
      </c>
      <c r="B95" s="46" t="s">
        <v>1949</v>
      </c>
      <c r="C95" s="46">
        <v>51976.0</v>
      </c>
      <c r="D95" s="46" t="s">
        <v>412</v>
      </c>
      <c r="E95" s="27"/>
      <c r="F95" s="37"/>
      <c r="G95" s="29"/>
      <c r="H95" s="30"/>
      <c r="I95" s="31"/>
      <c r="J95" s="35">
        <v>15000.0</v>
      </c>
      <c r="K95" s="33"/>
      <c r="L95" s="47">
        <v>15000.0</v>
      </c>
      <c r="M95" s="18">
        <f t="shared" si="1"/>
        <v>0</v>
      </c>
    </row>
    <row r="96">
      <c r="A96" s="54">
        <v>92.0</v>
      </c>
      <c r="B96" s="46" t="s">
        <v>1950</v>
      </c>
      <c r="C96" s="46">
        <v>10008.0</v>
      </c>
      <c r="D96" s="46" t="s">
        <v>78</v>
      </c>
      <c r="E96" s="27"/>
      <c r="F96" s="37">
        <v>5000.0</v>
      </c>
      <c r="G96" s="29"/>
      <c r="H96" s="30"/>
      <c r="I96" s="31"/>
      <c r="J96" s="32"/>
      <c r="K96" s="33"/>
      <c r="L96" s="47">
        <v>5000.0</v>
      </c>
      <c r="M96" s="18">
        <f t="shared" si="1"/>
        <v>0</v>
      </c>
    </row>
    <row r="97">
      <c r="A97" s="54">
        <v>93.0</v>
      </c>
      <c r="B97" s="46" t="s">
        <v>1951</v>
      </c>
      <c r="C97" s="46">
        <v>49953.0</v>
      </c>
      <c r="D97" s="46" t="s">
        <v>1821</v>
      </c>
      <c r="E97" s="38"/>
      <c r="F97" s="37"/>
      <c r="G97" s="39">
        <v>2500.0</v>
      </c>
      <c r="H97" s="30"/>
      <c r="I97" s="31"/>
      <c r="J97" s="32"/>
      <c r="K97" s="33"/>
      <c r="L97" s="47">
        <v>2500.0</v>
      </c>
      <c r="M97" s="18">
        <f t="shared" si="1"/>
        <v>0</v>
      </c>
    </row>
    <row r="98">
      <c r="A98" s="54">
        <v>94.0</v>
      </c>
      <c r="B98" s="46" t="s">
        <v>1952</v>
      </c>
      <c r="C98" s="46">
        <v>49953.0</v>
      </c>
      <c r="D98" s="46" t="s">
        <v>1821</v>
      </c>
      <c r="E98" s="27"/>
      <c r="F98" s="37"/>
      <c r="G98" s="39">
        <v>1250.0</v>
      </c>
      <c r="H98" s="30"/>
      <c r="I98" s="31"/>
      <c r="J98" s="32"/>
      <c r="K98" s="33"/>
      <c r="L98" s="47">
        <v>1250.0</v>
      </c>
      <c r="M98" s="18">
        <f t="shared" si="1"/>
        <v>0</v>
      </c>
    </row>
    <row r="99">
      <c r="A99" s="54">
        <v>95.0</v>
      </c>
      <c r="B99" s="46" t="s">
        <v>1953</v>
      </c>
      <c r="C99" s="46">
        <v>51741.0</v>
      </c>
      <c r="D99" s="46" t="s">
        <v>1954</v>
      </c>
      <c r="E99" s="27"/>
      <c r="F99" s="37"/>
      <c r="G99" s="39">
        <v>8400.0</v>
      </c>
      <c r="H99" s="30"/>
      <c r="I99" s="31"/>
      <c r="J99" s="32"/>
      <c r="K99" s="33"/>
      <c r="L99" s="47">
        <v>8400.0</v>
      </c>
      <c r="M99" s="18">
        <f t="shared" si="1"/>
        <v>0</v>
      </c>
    </row>
    <row r="100">
      <c r="A100" s="54"/>
      <c r="B100" s="45"/>
      <c r="C100" s="45"/>
      <c r="D100" s="44"/>
      <c r="E100" s="22">
        <f t="shared" ref="E100:I100" si="2">SUM(E5:E99)</f>
        <v>39780</v>
      </c>
      <c r="F100" s="22">
        <f t="shared" si="2"/>
        <v>129200</v>
      </c>
      <c r="G100" s="22">
        <f t="shared" si="2"/>
        <v>12150</v>
      </c>
      <c r="H100" s="22">
        <f t="shared" si="2"/>
        <v>402746</v>
      </c>
      <c r="I100" s="22">
        <f t="shared" si="2"/>
        <v>165280</v>
      </c>
      <c r="J100" s="22">
        <f>SUM(J49:J99)</f>
        <v>15400</v>
      </c>
      <c r="K100" s="22">
        <f>SUM(K97:K99)</f>
        <v>0</v>
      </c>
      <c r="L100" s="22">
        <f>SUM(L5:L99)</f>
        <v>764556</v>
      </c>
      <c r="M100" s="51">
        <v>0.0</v>
      </c>
    </row>
    <row r="101">
      <c r="A101" s="23"/>
      <c r="B101" s="23"/>
      <c r="C101" s="23"/>
      <c r="D101" s="23"/>
      <c r="E101" s="24">
        <f>SUM(K100:M100)</f>
        <v>764556</v>
      </c>
      <c r="F101" s="6"/>
      <c r="G101" s="6"/>
      <c r="H101" s="6"/>
      <c r="I101" s="6"/>
      <c r="J101" s="6"/>
      <c r="K101" s="7"/>
      <c r="L101" s="25"/>
      <c r="M101" s="23"/>
    </row>
    <row r="102">
      <c r="L102" s="40" t="s">
        <v>254</v>
      </c>
    </row>
  </sheetData>
  <mergeCells count="14">
    <mergeCell ref="F3:G3"/>
    <mergeCell ref="H3:I3"/>
    <mergeCell ref="J3:J4"/>
    <mergeCell ref="K3:K4"/>
    <mergeCell ref="E101:K101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5"/>
    <col customWidth="1" min="2" max="2" width="24.75"/>
    <col customWidth="1" min="4" max="4" width="43.25"/>
    <col customWidth="1" min="5" max="5" width="9.5"/>
  </cols>
  <sheetData>
    <row r="1">
      <c r="A1" s="1" t="s">
        <v>1955</v>
      </c>
    </row>
    <row r="2">
      <c r="A2" s="2" t="s">
        <v>1</v>
      </c>
      <c r="B2" s="3" t="s">
        <v>2</v>
      </c>
      <c r="C2" s="2" t="s">
        <v>3</v>
      </c>
      <c r="D2" s="4" t="s">
        <v>4</v>
      </c>
      <c r="E2" s="5" t="s">
        <v>5</v>
      </c>
      <c r="F2" s="6"/>
      <c r="G2" s="6"/>
      <c r="H2" s="6"/>
      <c r="I2" s="6"/>
      <c r="J2" s="6"/>
      <c r="K2" s="6"/>
      <c r="L2" s="6"/>
      <c r="M2" s="7"/>
    </row>
    <row r="3">
      <c r="A3" s="8"/>
      <c r="B3" s="8"/>
      <c r="C3" s="8"/>
      <c r="D3" s="8"/>
      <c r="E3" s="2" t="s">
        <v>6</v>
      </c>
      <c r="F3" s="5" t="s">
        <v>7</v>
      </c>
      <c r="G3" s="7"/>
      <c r="H3" s="5" t="s">
        <v>8</v>
      </c>
      <c r="I3" s="7"/>
      <c r="J3" s="2" t="s">
        <v>9</v>
      </c>
      <c r="K3" s="4" t="s">
        <v>10</v>
      </c>
      <c r="L3" s="2" t="s">
        <v>11</v>
      </c>
      <c r="M3" s="2" t="s">
        <v>12</v>
      </c>
    </row>
    <row r="4">
      <c r="A4" s="9"/>
      <c r="B4" s="9"/>
      <c r="C4" s="9"/>
      <c r="D4" s="9"/>
      <c r="E4" s="9"/>
      <c r="F4" s="10" t="s">
        <v>13</v>
      </c>
      <c r="G4" s="10" t="s">
        <v>14</v>
      </c>
      <c r="H4" s="10" t="s">
        <v>15</v>
      </c>
      <c r="I4" s="11" t="s">
        <v>16</v>
      </c>
      <c r="J4" s="9"/>
      <c r="K4" s="9"/>
      <c r="L4" s="9"/>
      <c r="M4" s="9"/>
    </row>
    <row r="5">
      <c r="A5" s="41">
        <v>1.0</v>
      </c>
      <c r="B5" s="46" t="s">
        <v>1956</v>
      </c>
      <c r="C5" s="46">
        <v>54917.0</v>
      </c>
      <c r="D5" s="46" t="s">
        <v>1957</v>
      </c>
      <c r="E5" s="27"/>
      <c r="F5" s="28"/>
      <c r="G5" s="29"/>
      <c r="H5" s="30">
        <v>300.0</v>
      </c>
      <c r="I5" s="31"/>
      <c r="J5" s="32"/>
      <c r="K5" s="50"/>
      <c r="L5" s="47">
        <v>300.0</v>
      </c>
      <c r="M5" s="18">
        <f t="shared" ref="M5:M65" si="1">SUM(E5+F5+G5+H5+I5+J5+K5-L5)</f>
        <v>0</v>
      </c>
    </row>
    <row r="6">
      <c r="A6" s="41">
        <v>2.0</v>
      </c>
      <c r="B6" s="46" t="s">
        <v>1958</v>
      </c>
      <c r="C6" s="46">
        <v>54046.0</v>
      </c>
      <c r="D6" s="46" t="s">
        <v>779</v>
      </c>
      <c r="E6" s="27"/>
      <c r="F6" s="37"/>
      <c r="G6" s="29"/>
      <c r="H6" s="30"/>
      <c r="I6" s="31">
        <v>8750.0</v>
      </c>
      <c r="J6" s="35"/>
      <c r="K6" s="33"/>
      <c r="L6" s="47">
        <v>8750.0</v>
      </c>
      <c r="M6" s="18">
        <f t="shared" si="1"/>
        <v>0</v>
      </c>
    </row>
    <row r="7">
      <c r="A7" s="41">
        <v>3.0</v>
      </c>
      <c r="B7" s="46" t="s">
        <v>1959</v>
      </c>
      <c r="C7" s="46">
        <v>56224.0</v>
      </c>
      <c r="D7" s="46" t="s">
        <v>1960</v>
      </c>
      <c r="E7" s="27"/>
      <c r="F7" s="28"/>
      <c r="G7" s="29"/>
      <c r="H7" s="30"/>
      <c r="I7" s="31">
        <v>300.0</v>
      </c>
      <c r="J7" s="32"/>
      <c r="K7" s="33"/>
      <c r="L7" s="47">
        <v>300.0</v>
      </c>
      <c r="M7" s="18">
        <f t="shared" si="1"/>
        <v>0</v>
      </c>
    </row>
    <row r="8">
      <c r="A8" s="41">
        <v>4.0</v>
      </c>
      <c r="B8" s="46" t="s">
        <v>1961</v>
      </c>
      <c r="C8" s="46">
        <v>50871.0</v>
      </c>
      <c r="D8" s="46" t="s">
        <v>105</v>
      </c>
      <c r="E8" s="27"/>
      <c r="F8" s="28"/>
      <c r="G8" s="29"/>
      <c r="H8" s="30">
        <v>62000.0</v>
      </c>
      <c r="I8" s="31"/>
      <c r="J8" s="32"/>
      <c r="K8" s="33"/>
      <c r="L8" s="47">
        <v>62000.0</v>
      </c>
      <c r="M8" s="18">
        <f t="shared" si="1"/>
        <v>0</v>
      </c>
    </row>
    <row r="9">
      <c r="A9" s="41">
        <v>5.0</v>
      </c>
      <c r="B9" s="46" t="s">
        <v>1962</v>
      </c>
      <c r="C9" s="46">
        <v>48910.0</v>
      </c>
      <c r="D9" s="46" t="s">
        <v>399</v>
      </c>
      <c r="E9" s="27"/>
      <c r="F9" s="28"/>
      <c r="G9" s="29"/>
      <c r="H9" s="30">
        <v>5150.0</v>
      </c>
      <c r="I9" s="31"/>
      <c r="J9" s="32"/>
      <c r="K9" s="33"/>
      <c r="L9" s="47">
        <v>5150.0</v>
      </c>
      <c r="M9" s="18">
        <f t="shared" si="1"/>
        <v>0</v>
      </c>
    </row>
    <row r="10">
      <c r="A10" s="41">
        <v>6.0</v>
      </c>
      <c r="B10" s="46" t="s">
        <v>1963</v>
      </c>
      <c r="C10" s="46">
        <v>48141.0</v>
      </c>
      <c r="D10" s="46" t="s">
        <v>693</v>
      </c>
      <c r="E10" s="27"/>
      <c r="F10" s="28"/>
      <c r="G10" s="29"/>
      <c r="H10" s="30"/>
      <c r="I10" s="31">
        <v>5000.0</v>
      </c>
      <c r="J10" s="32"/>
      <c r="K10" s="33"/>
      <c r="L10" s="47">
        <v>5000.0</v>
      </c>
      <c r="M10" s="18">
        <f t="shared" si="1"/>
        <v>0</v>
      </c>
    </row>
    <row r="11">
      <c r="A11" s="41">
        <v>7.0</v>
      </c>
      <c r="B11" s="46" t="s">
        <v>1964</v>
      </c>
      <c r="C11" s="46">
        <v>46559.0</v>
      </c>
      <c r="D11" s="46" t="s">
        <v>1965</v>
      </c>
      <c r="E11" s="27"/>
      <c r="F11" s="28"/>
      <c r="G11" s="29"/>
      <c r="H11" s="30"/>
      <c r="I11" s="31">
        <v>5000.0</v>
      </c>
      <c r="J11" s="35"/>
      <c r="K11" s="33"/>
      <c r="L11" s="47">
        <v>5000.0</v>
      </c>
      <c r="M11" s="18">
        <f t="shared" si="1"/>
        <v>0</v>
      </c>
    </row>
    <row r="12">
      <c r="A12" s="41">
        <v>8.0</v>
      </c>
      <c r="B12" s="46" t="s">
        <v>1966</v>
      </c>
      <c r="C12" s="46">
        <v>31738.0</v>
      </c>
      <c r="D12" s="46" t="s">
        <v>154</v>
      </c>
      <c r="E12" s="27"/>
      <c r="F12" s="28"/>
      <c r="G12" s="29"/>
      <c r="H12" s="30">
        <v>5000.0</v>
      </c>
      <c r="I12" s="31"/>
      <c r="J12" s="32"/>
      <c r="K12" s="33"/>
      <c r="L12" s="47">
        <v>5000.0</v>
      </c>
      <c r="M12" s="18">
        <f t="shared" si="1"/>
        <v>0</v>
      </c>
    </row>
    <row r="13">
      <c r="A13" s="41">
        <v>9.0</v>
      </c>
      <c r="B13" s="46" t="s">
        <v>1967</v>
      </c>
      <c r="C13" s="46">
        <v>32798.0</v>
      </c>
      <c r="D13" s="46" t="s">
        <v>1968</v>
      </c>
      <c r="E13" s="27"/>
      <c r="F13" s="28"/>
      <c r="G13" s="29"/>
      <c r="H13" s="30">
        <v>5000.0</v>
      </c>
      <c r="I13" s="31"/>
      <c r="J13" s="32"/>
      <c r="K13" s="33"/>
      <c r="L13" s="47">
        <v>5000.0</v>
      </c>
      <c r="M13" s="18">
        <f t="shared" si="1"/>
        <v>0</v>
      </c>
    </row>
    <row r="14">
      <c r="A14" s="41">
        <v>10.0</v>
      </c>
      <c r="B14" s="46" t="s">
        <v>1969</v>
      </c>
      <c r="C14" s="46">
        <v>28414.0</v>
      </c>
      <c r="D14" s="46" t="s">
        <v>833</v>
      </c>
      <c r="E14" s="27"/>
      <c r="F14" s="28"/>
      <c r="G14" s="29"/>
      <c r="H14" s="30">
        <v>300.0</v>
      </c>
      <c r="I14" s="31"/>
      <c r="J14" s="32"/>
      <c r="K14" s="33"/>
      <c r="L14" s="47">
        <v>300.0</v>
      </c>
      <c r="M14" s="18">
        <f t="shared" si="1"/>
        <v>0</v>
      </c>
    </row>
    <row r="15">
      <c r="A15" s="41">
        <v>11.0</v>
      </c>
      <c r="B15" s="46" t="s">
        <v>1970</v>
      </c>
      <c r="C15" s="46">
        <v>52373.0</v>
      </c>
      <c r="D15" s="46" t="s">
        <v>76</v>
      </c>
      <c r="E15" s="27"/>
      <c r="F15" s="28"/>
      <c r="G15" s="29"/>
      <c r="H15" s="30"/>
      <c r="I15" s="31">
        <v>15000.0</v>
      </c>
      <c r="J15" s="32"/>
      <c r="K15" s="33"/>
      <c r="L15" s="47">
        <v>15000.0</v>
      </c>
      <c r="M15" s="18">
        <f t="shared" si="1"/>
        <v>0</v>
      </c>
    </row>
    <row r="16">
      <c r="A16" s="41">
        <v>12.0</v>
      </c>
      <c r="B16" s="46" t="s">
        <v>1971</v>
      </c>
      <c r="C16" s="46">
        <v>10008.0</v>
      </c>
      <c r="D16" s="46" t="s">
        <v>78</v>
      </c>
      <c r="E16" s="27"/>
      <c r="F16" s="28"/>
      <c r="G16" s="29"/>
      <c r="H16" s="30">
        <v>0.0</v>
      </c>
      <c r="I16" s="31"/>
      <c r="J16" s="35"/>
      <c r="K16" s="33"/>
      <c r="L16" s="47">
        <v>5000.0</v>
      </c>
      <c r="M16" s="18">
        <f t="shared" si="1"/>
        <v>-5000</v>
      </c>
    </row>
    <row r="17">
      <c r="A17" s="41">
        <v>13.0</v>
      </c>
      <c r="B17" s="46" t="s">
        <v>1972</v>
      </c>
      <c r="C17" s="46">
        <v>53629.0</v>
      </c>
      <c r="D17" s="46" t="s">
        <v>1446</v>
      </c>
      <c r="E17" s="27"/>
      <c r="F17" s="28"/>
      <c r="G17" s="29"/>
      <c r="H17" s="30"/>
      <c r="I17" s="31">
        <v>15000.0</v>
      </c>
      <c r="J17" s="35"/>
      <c r="K17" s="33"/>
      <c r="L17" s="47">
        <v>15000.0</v>
      </c>
      <c r="M17" s="18">
        <f t="shared" si="1"/>
        <v>0</v>
      </c>
    </row>
    <row r="18">
      <c r="A18" s="41">
        <v>14.0</v>
      </c>
      <c r="B18" s="46" t="s">
        <v>1973</v>
      </c>
      <c r="C18" s="46">
        <v>50538.0</v>
      </c>
      <c r="D18" s="46" t="s">
        <v>605</v>
      </c>
      <c r="E18" s="27"/>
      <c r="F18" s="37"/>
      <c r="G18" s="29"/>
      <c r="H18" s="30">
        <v>435.0</v>
      </c>
      <c r="I18" s="31"/>
      <c r="J18" s="32"/>
      <c r="K18" s="33"/>
      <c r="L18" s="47">
        <v>435.0</v>
      </c>
      <c r="M18" s="18">
        <f t="shared" si="1"/>
        <v>0</v>
      </c>
    </row>
    <row r="19">
      <c r="A19" s="41">
        <v>15.0</v>
      </c>
      <c r="B19" s="46" t="s">
        <v>1974</v>
      </c>
      <c r="C19" s="46">
        <v>52727.0</v>
      </c>
      <c r="D19" s="46" t="s">
        <v>798</v>
      </c>
      <c r="E19" s="27"/>
      <c r="F19" s="28"/>
      <c r="G19" s="29"/>
      <c r="H19" s="30">
        <v>2850.0</v>
      </c>
      <c r="I19" s="31"/>
      <c r="J19" s="32"/>
      <c r="K19" s="33"/>
      <c r="L19" s="47">
        <v>2850.0</v>
      </c>
      <c r="M19" s="18">
        <f t="shared" si="1"/>
        <v>0</v>
      </c>
    </row>
    <row r="20">
      <c r="A20" s="41">
        <v>16.0</v>
      </c>
      <c r="B20" s="46" t="s">
        <v>1975</v>
      </c>
      <c r="C20" s="46">
        <v>10006.0</v>
      </c>
      <c r="D20" s="46" t="s">
        <v>654</v>
      </c>
      <c r="E20" s="27"/>
      <c r="F20" s="28"/>
      <c r="G20" s="29"/>
      <c r="H20" s="30">
        <v>15000.0</v>
      </c>
      <c r="I20" s="31"/>
      <c r="J20" s="32"/>
      <c r="K20" s="33"/>
      <c r="L20" s="47">
        <v>15000.0</v>
      </c>
      <c r="M20" s="18">
        <f t="shared" si="1"/>
        <v>0</v>
      </c>
    </row>
    <row r="21">
      <c r="A21" s="41">
        <v>17.0</v>
      </c>
      <c r="B21" s="46" t="s">
        <v>1976</v>
      </c>
      <c r="C21" s="46">
        <v>52032.0</v>
      </c>
      <c r="D21" s="46" t="s">
        <v>233</v>
      </c>
      <c r="E21" s="27"/>
      <c r="F21" s="28"/>
      <c r="G21" s="29"/>
      <c r="H21" s="30">
        <v>1600.0</v>
      </c>
      <c r="I21" s="31"/>
      <c r="J21" s="32"/>
      <c r="K21" s="33"/>
      <c r="L21" s="47">
        <v>1600.0</v>
      </c>
      <c r="M21" s="18">
        <f t="shared" si="1"/>
        <v>0</v>
      </c>
    </row>
    <row r="22">
      <c r="A22" s="41">
        <v>18.0</v>
      </c>
      <c r="B22" s="46" t="s">
        <v>1977</v>
      </c>
      <c r="C22" s="46">
        <v>50173.0</v>
      </c>
      <c r="D22" s="46" t="s">
        <v>67</v>
      </c>
      <c r="E22" s="27"/>
      <c r="F22" s="37"/>
      <c r="G22" s="29"/>
      <c r="H22" s="30"/>
      <c r="I22" s="31">
        <v>1250.0</v>
      </c>
      <c r="J22" s="32"/>
      <c r="K22" s="33"/>
      <c r="L22" s="47">
        <v>1250.0</v>
      </c>
      <c r="M22" s="18">
        <f t="shared" si="1"/>
        <v>0</v>
      </c>
    </row>
    <row r="23">
      <c r="A23" s="41">
        <v>19.0</v>
      </c>
      <c r="B23" s="46" t="s">
        <v>1978</v>
      </c>
      <c r="C23" s="46">
        <v>57743.0</v>
      </c>
      <c r="D23" s="46" t="s">
        <v>1979</v>
      </c>
      <c r="E23" s="27"/>
      <c r="F23" s="28"/>
      <c r="G23" s="29"/>
      <c r="H23" s="30"/>
      <c r="I23" s="31">
        <v>27000.0</v>
      </c>
      <c r="J23" s="32"/>
      <c r="K23" s="33"/>
      <c r="L23" s="47">
        <v>27000.0</v>
      </c>
      <c r="M23" s="18">
        <f t="shared" si="1"/>
        <v>0</v>
      </c>
    </row>
    <row r="24">
      <c r="A24" s="41">
        <v>20.0</v>
      </c>
      <c r="B24" s="46" t="s">
        <v>1980</v>
      </c>
      <c r="C24" s="46">
        <v>10008.0</v>
      </c>
      <c r="D24" s="46" t="s">
        <v>78</v>
      </c>
      <c r="E24" s="27"/>
      <c r="F24" s="28"/>
      <c r="G24" s="29"/>
      <c r="H24" s="30">
        <v>2500.0</v>
      </c>
      <c r="I24" s="31"/>
      <c r="J24" s="32"/>
      <c r="K24" s="33"/>
      <c r="L24" s="47">
        <v>2500.0</v>
      </c>
      <c r="M24" s="18">
        <f t="shared" si="1"/>
        <v>0</v>
      </c>
    </row>
    <row r="25">
      <c r="A25" s="41">
        <v>21.0</v>
      </c>
      <c r="B25" s="46" t="s">
        <v>1981</v>
      </c>
      <c r="C25" s="46">
        <v>48910.0</v>
      </c>
      <c r="D25" s="46" t="s">
        <v>399</v>
      </c>
      <c r="E25" s="27"/>
      <c r="F25" s="37"/>
      <c r="G25" s="29"/>
      <c r="H25" s="30"/>
      <c r="I25" s="31">
        <v>16050.0</v>
      </c>
      <c r="J25" s="32"/>
      <c r="K25" s="33"/>
      <c r="L25" s="47">
        <v>16050.0</v>
      </c>
      <c r="M25" s="18">
        <f t="shared" si="1"/>
        <v>0</v>
      </c>
    </row>
    <row r="26">
      <c r="A26" s="41">
        <v>22.0</v>
      </c>
      <c r="B26" s="46" t="s">
        <v>1982</v>
      </c>
      <c r="C26" s="46">
        <v>51876.0</v>
      </c>
      <c r="D26" s="46" t="s">
        <v>74</v>
      </c>
      <c r="E26" s="38"/>
      <c r="F26" s="28"/>
      <c r="G26" s="29"/>
      <c r="H26" s="30">
        <v>2752.0</v>
      </c>
      <c r="I26" s="36"/>
      <c r="J26" s="32"/>
      <c r="K26" s="33"/>
      <c r="L26" s="47">
        <v>2752.0</v>
      </c>
      <c r="M26" s="18">
        <f t="shared" si="1"/>
        <v>0</v>
      </c>
    </row>
    <row r="27">
      <c r="A27" s="41">
        <v>23.0</v>
      </c>
      <c r="B27" s="46" t="s">
        <v>1983</v>
      </c>
      <c r="C27" s="46">
        <v>52331.0</v>
      </c>
      <c r="D27" s="46" t="s">
        <v>1984</v>
      </c>
      <c r="E27" s="27"/>
      <c r="F27" s="37"/>
      <c r="G27" s="29"/>
      <c r="H27" s="30">
        <v>2500.0</v>
      </c>
      <c r="I27" s="31"/>
      <c r="J27" s="35"/>
      <c r="K27" s="33"/>
      <c r="L27" s="47">
        <v>2500.0</v>
      </c>
      <c r="M27" s="18">
        <f t="shared" si="1"/>
        <v>0</v>
      </c>
    </row>
    <row r="28">
      <c r="A28" s="41">
        <v>24.0</v>
      </c>
      <c r="B28" s="46" t="s">
        <v>1985</v>
      </c>
      <c r="C28" s="46">
        <v>22727.0</v>
      </c>
      <c r="D28" s="46" t="s">
        <v>162</v>
      </c>
      <c r="E28" s="27"/>
      <c r="F28" s="28"/>
      <c r="G28" s="29"/>
      <c r="H28" s="30">
        <v>5150.0</v>
      </c>
      <c r="I28" s="31"/>
      <c r="J28" s="32"/>
      <c r="K28" s="33"/>
      <c r="L28" s="47">
        <v>5150.0</v>
      </c>
      <c r="M28" s="18">
        <f t="shared" si="1"/>
        <v>0</v>
      </c>
    </row>
    <row r="29">
      <c r="A29" s="41">
        <v>25.0</v>
      </c>
      <c r="B29" s="46" t="s">
        <v>1986</v>
      </c>
      <c r="C29" s="46">
        <v>43381.0</v>
      </c>
      <c r="D29" s="46" t="s">
        <v>1730</v>
      </c>
      <c r="E29" s="27"/>
      <c r="F29" s="28"/>
      <c r="G29" s="29"/>
      <c r="H29" s="30">
        <v>900.0</v>
      </c>
      <c r="I29" s="31"/>
      <c r="J29" s="32"/>
      <c r="K29" s="33"/>
      <c r="L29" s="47">
        <v>900.0</v>
      </c>
      <c r="M29" s="18">
        <f t="shared" si="1"/>
        <v>0</v>
      </c>
    </row>
    <row r="30">
      <c r="A30" s="41">
        <v>26.0</v>
      </c>
      <c r="B30" s="46" t="s">
        <v>1987</v>
      </c>
      <c r="C30" s="46">
        <v>22727.0</v>
      </c>
      <c r="D30" s="46" t="s">
        <v>162</v>
      </c>
      <c r="E30" s="27"/>
      <c r="F30" s="28"/>
      <c r="G30" s="29"/>
      <c r="H30" s="30">
        <v>5000.0</v>
      </c>
      <c r="I30" s="31"/>
      <c r="J30" s="35"/>
      <c r="K30" s="33"/>
      <c r="L30" s="47">
        <v>5000.0</v>
      </c>
      <c r="M30" s="18">
        <f t="shared" si="1"/>
        <v>0</v>
      </c>
    </row>
    <row r="31">
      <c r="A31" s="41">
        <v>27.0</v>
      </c>
      <c r="B31" s="46" t="s">
        <v>1988</v>
      </c>
      <c r="C31" s="46">
        <v>43381.0</v>
      </c>
      <c r="D31" s="46" t="s">
        <v>1730</v>
      </c>
      <c r="E31" s="27"/>
      <c r="F31" s="28"/>
      <c r="G31" s="29"/>
      <c r="H31" s="30">
        <v>20000.0</v>
      </c>
      <c r="I31" s="31"/>
      <c r="J31" s="32"/>
      <c r="K31" s="33"/>
      <c r="L31" s="47">
        <v>20000.0</v>
      </c>
      <c r="M31" s="18">
        <f t="shared" si="1"/>
        <v>0</v>
      </c>
    </row>
    <row r="32">
      <c r="A32" s="41">
        <v>28.0</v>
      </c>
      <c r="B32" s="46" t="s">
        <v>1989</v>
      </c>
      <c r="C32" s="46">
        <v>13781.0</v>
      </c>
      <c r="D32" s="46" t="s">
        <v>278</v>
      </c>
      <c r="E32" s="38">
        <v>700.0</v>
      </c>
      <c r="F32" s="28"/>
      <c r="G32" s="29"/>
      <c r="H32" s="30"/>
      <c r="I32" s="31"/>
      <c r="J32" s="32"/>
      <c r="K32" s="33"/>
      <c r="L32" s="47">
        <v>700.0</v>
      </c>
      <c r="M32" s="18">
        <f t="shared" si="1"/>
        <v>0</v>
      </c>
    </row>
    <row r="33">
      <c r="A33" s="41">
        <v>29.0</v>
      </c>
      <c r="B33" s="46" t="s">
        <v>1990</v>
      </c>
      <c r="C33" s="46">
        <v>12102.0</v>
      </c>
      <c r="D33" s="46" t="s">
        <v>345</v>
      </c>
      <c r="E33" s="27"/>
      <c r="F33" s="37"/>
      <c r="G33" s="39"/>
      <c r="H33" s="30">
        <v>2693.0</v>
      </c>
      <c r="I33" s="31"/>
      <c r="J33" s="32"/>
      <c r="K33" s="33"/>
      <c r="L33" s="47">
        <v>2693.0</v>
      </c>
      <c r="M33" s="18">
        <f t="shared" si="1"/>
        <v>0</v>
      </c>
    </row>
    <row r="34">
      <c r="A34" s="41">
        <v>30.0</v>
      </c>
      <c r="B34" s="46" t="s">
        <v>1991</v>
      </c>
      <c r="C34" s="46">
        <v>22332.0</v>
      </c>
      <c r="D34" s="46" t="s">
        <v>138</v>
      </c>
      <c r="E34" s="27"/>
      <c r="F34" s="37"/>
      <c r="G34" s="39"/>
      <c r="H34" s="30">
        <v>3900.0</v>
      </c>
      <c r="I34" s="31"/>
      <c r="J34" s="32"/>
      <c r="K34" s="33"/>
      <c r="L34" s="47">
        <v>3900.0</v>
      </c>
      <c r="M34" s="18">
        <f t="shared" si="1"/>
        <v>0</v>
      </c>
    </row>
    <row r="35">
      <c r="A35" s="41">
        <v>31.0</v>
      </c>
      <c r="B35" s="46" t="s">
        <v>1992</v>
      </c>
      <c r="C35" s="46">
        <v>48631.0</v>
      </c>
      <c r="D35" s="46" t="s">
        <v>118</v>
      </c>
      <c r="E35" s="27"/>
      <c r="F35" s="28"/>
      <c r="G35" s="29"/>
      <c r="H35" s="30">
        <v>350.0</v>
      </c>
      <c r="I35" s="31"/>
      <c r="J35" s="32"/>
      <c r="K35" s="33"/>
      <c r="L35" s="47">
        <v>350.0</v>
      </c>
      <c r="M35" s="18">
        <f t="shared" si="1"/>
        <v>0</v>
      </c>
    </row>
    <row r="36">
      <c r="A36" s="41">
        <v>32.0</v>
      </c>
      <c r="B36" s="46" t="s">
        <v>1993</v>
      </c>
      <c r="C36" s="46">
        <v>10008.0</v>
      </c>
      <c r="D36" s="46" t="s">
        <v>78</v>
      </c>
      <c r="E36" s="27"/>
      <c r="F36" s="28"/>
      <c r="G36" s="29"/>
      <c r="H36" s="30">
        <v>27400.0</v>
      </c>
      <c r="I36" s="31"/>
      <c r="J36" s="32"/>
      <c r="K36" s="33"/>
      <c r="L36" s="47">
        <v>27400.0</v>
      </c>
      <c r="M36" s="18">
        <f t="shared" si="1"/>
        <v>0</v>
      </c>
    </row>
    <row r="37">
      <c r="A37" s="41">
        <v>33.0</v>
      </c>
      <c r="B37" s="46" t="s">
        <v>1994</v>
      </c>
      <c r="C37" s="46">
        <v>21384.0</v>
      </c>
      <c r="D37" s="46" t="s">
        <v>38</v>
      </c>
      <c r="E37" s="27"/>
      <c r="F37" s="28"/>
      <c r="G37" s="29"/>
      <c r="H37" s="30">
        <v>2500.0</v>
      </c>
      <c r="I37" s="31"/>
      <c r="J37" s="32"/>
      <c r="K37" s="33"/>
      <c r="L37" s="47">
        <v>2500.0</v>
      </c>
      <c r="M37" s="18">
        <f t="shared" si="1"/>
        <v>0</v>
      </c>
    </row>
    <row r="38">
      <c r="A38" s="41">
        <v>34.0</v>
      </c>
      <c r="B38" s="46" t="s">
        <v>1995</v>
      </c>
      <c r="C38" s="46">
        <v>28414.0</v>
      </c>
      <c r="D38" s="46" t="s">
        <v>833</v>
      </c>
      <c r="E38" s="27"/>
      <c r="F38" s="28"/>
      <c r="G38" s="29"/>
      <c r="H38" s="30">
        <v>12500.0</v>
      </c>
      <c r="I38" s="31"/>
      <c r="J38" s="35"/>
      <c r="K38" s="33"/>
      <c r="L38" s="47">
        <v>12500.0</v>
      </c>
      <c r="M38" s="18">
        <f t="shared" si="1"/>
        <v>0</v>
      </c>
    </row>
    <row r="39">
      <c r="A39" s="41">
        <v>35.0</v>
      </c>
      <c r="B39" s="46" t="s">
        <v>1996</v>
      </c>
      <c r="C39" s="46">
        <v>10008.0</v>
      </c>
      <c r="D39" s="46" t="s">
        <v>78</v>
      </c>
      <c r="E39" s="27"/>
      <c r="F39" s="28"/>
      <c r="G39" s="29"/>
      <c r="H39" s="30"/>
      <c r="I39" s="31">
        <v>1400.0</v>
      </c>
      <c r="J39" s="32"/>
      <c r="K39" s="33"/>
      <c r="L39" s="47">
        <v>1400.0</v>
      </c>
      <c r="M39" s="18">
        <f t="shared" si="1"/>
        <v>0</v>
      </c>
    </row>
    <row r="40">
      <c r="A40" s="41">
        <v>36.0</v>
      </c>
      <c r="B40" s="46" t="s">
        <v>1997</v>
      </c>
      <c r="C40" s="46">
        <v>35245.0</v>
      </c>
      <c r="D40" s="46" t="s">
        <v>34</v>
      </c>
      <c r="E40" s="27"/>
      <c r="F40" s="28"/>
      <c r="G40" s="29"/>
      <c r="H40" s="30"/>
      <c r="I40" s="31">
        <v>0.0</v>
      </c>
      <c r="J40" s="35"/>
      <c r="K40" s="33"/>
      <c r="L40" s="47">
        <v>300.0</v>
      </c>
      <c r="M40" s="18">
        <f t="shared" si="1"/>
        <v>-300</v>
      </c>
    </row>
    <row r="41">
      <c r="A41" s="41">
        <v>37.0</v>
      </c>
      <c r="B41" s="46" t="s">
        <v>1998</v>
      </c>
      <c r="C41" s="46">
        <v>57751.0</v>
      </c>
      <c r="D41" s="46" t="s">
        <v>1999</v>
      </c>
      <c r="E41" s="27"/>
      <c r="F41" s="28"/>
      <c r="G41" s="29"/>
      <c r="H41" s="30"/>
      <c r="I41" s="31">
        <v>27000.0</v>
      </c>
      <c r="J41" s="35"/>
      <c r="K41" s="33"/>
      <c r="L41" s="47">
        <v>27000.0</v>
      </c>
      <c r="M41" s="18">
        <f t="shared" si="1"/>
        <v>0</v>
      </c>
    </row>
    <row r="42">
      <c r="A42" s="41">
        <v>38.0</v>
      </c>
      <c r="B42" s="46" t="s">
        <v>2000</v>
      </c>
      <c r="C42" s="46">
        <v>38387.0</v>
      </c>
      <c r="D42" s="46" t="s">
        <v>2001</v>
      </c>
      <c r="E42" s="27"/>
      <c r="F42" s="28"/>
      <c r="G42" s="29"/>
      <c r="H42" s="30">
        <v>600.0</v>
      </c>
      <c r="I42" s="31"/>
      <c r="J42" s="32"/>
      <c r="K42" s="33"/>
      <c r="L42" s="47">
        <v>600.0</v>
      </c>
      <c r="M42" s="18">
        <f t="shared" si="1"/>
        <v>0</v>
      </c>
    </row>
    <row r="43">
      <c r="A43" s="54">
        <v>0.0</v>
      </c>
      <c r="B43" s="46" t="s">
        <v>2002</v>
      </c>
      <c r="C43" s="46">
        <v>46441.0</v>
      </c>
      <c r="D43" s="46" t="s">
        <v>2003</v>
      </c>
      <c r="E43" s="27"/>
      <c r="F43" s="28"/>
      <c r="G43" s="29"/>
      <c r="H43" s="30">
        <v>300.0</v>
      </c>
      <c r="I43" s="31"/>
      <c r="J43" s="32"/>
      <c r="K43" s="33"/>
      <c r="L43" s="47">
        <v>300.0</v>
      </c>
      <c r="M43" s="18">
        <f t="shared" si="1"/>
        <v>0</v>
      </c>
    </row>
    <row r="44">
      <c r="A44" s="41">
        <v>40.0</v>
      </c>
      <c r="B44" s="46" t="s">
        <v>2004</v>
      </c>
      <c r="C44" s="46">
        <v>36918.0</v>
      </c>
      <c r="D44" s="46" t="s">
        <v>607</v>
      </c>
      <c r="E44" s="27"/>
      <c r="F44" s="28"/>
      <c r="G44" s="29"/>
      <c r="H44" s="30">
        <v>5000.0</v>
      </c>
      <c r="I44" s="31"/>
      <c r="J44" s="32"/>
      <c r="K44" s="33"/>
      <c r="L44" s="47">
        <v>5000.0</v>
      </c>
      <c r="M44" s="18">
        <f t="shared" si="1"/>
        <v>0</v>
      </c>
    </row>
    <row r="45">
      <c r="A45" s="41">
        <v>41.0</v>
      </c>
      <c r="B45" s="46" t="s">
        <v>2005</v>
      </c>
      <c r="C45" s="46">
        <v>48910.0</v>
      </c>
      <c r="D45" s="46" t="s">
        <v>399</v>
      </c>
      <c r="E45" s="38"/>
      <c r="F45" s="37"/>
      <c r="G45" s="29"/>
      <c r="H45" s="30"/>
      <c r="I45" s="31">
        <v>8200.0</v>
      </c>
      <c r="J45" s="32"/>
      <c r="K45" s="33"/>
      <c r="L45" s="47">
        <v>8200.0</v>
      </c>
      <c r="M45" s="18">
        <f t="shared" si="1"/>
        <v>0</v>
      </c>
    </row>
    <row r="46">
      <c r="A46" s="41">
        <v>42.0</v>
      </c>
      <c r="B46" s="46" t="s">
        <v>2006</v>
      </c>
      <c r="C46" s="46">
        <v>43380.0</v>
      </c>
      <c r="D46" s="46" t="s">
        <v>61</v>
      </c>
      <c r="E46" s="38"/>
      <c r="F46" s="37"/>
      <c r="G46" s="29"/>
      <c r="H46" s="30">
        <v>5000.0</v>
      </c>
      <c r="I46" s="31"/>
      <c r="J46" s="32"/>
      <c r="K46" s="33"/>
      <c r="L46" s="47">
        <v>5000.0</v>
      </c>
      <c r="M46" s="18">
        <f t="shared" si="1"/>
        <v>0</v>
      </c>
    </row>
    <row r="47">
      <c r="A47" s="41">
        <v>43.0</v>
      </c>
      <c r="B47" s="46" t="s">
        <v>2007</v>
      </c>
      <c r="C47" s="46">
        <v>47520.0</v>
      </c>
      <c r="D47" s="46" t="s">
        <v>2008</v>
      </c>
      <c r="E47" s="27"/>
      <c r="F47" s="28"/>
      <c r="G47" s="39"/>
      <c r="H47" s="30"/>
      <c r="I47" s="31">
        <v>10800.0</v>
      </c>
      <c r="J47" s="32"/>
      <c r="K47" s="33"/>
      <c r="L47" s="47">
        <v>10800.0</v>
      </c>
      <c r="M47" s="18">
        <f t="shared" si="1"/>
        <v>0</v>
      </c>
    </row>
    <row r="48">
      <c r="A48" s="41">
        <v>44.0</v>
      </c>
      <c r="B48" s="46" t="s">
        <v>2009</v>
      </c>
      <c r="C48" s="46">
        <v>46583.0</v>
      </c>
      <c r="D48" s="46" t="s">
        <v>2010</v>
      </c>
      <c r="E48" s="27"/>
      <c r="F48" s="28"/>
      <c r="G48" s="39"/>
      <c r="H48" s="30"/>
      <c r="I48" s="31">
        <v>3600.0</v>
      </c>
      <c r="J48" s="32"/>
      <c r="K48" s="33"/>
      <c r="L48" s="47">
        <v>3600.0</v>
      </c>
      <c r="M48" s="18">
        <f t="shared" si="1"/>
        <v>0</v>
      </c>
    </row>
    <row r="49">
      <c r="A49" s="41">
        <v>45.0</v>
      </c>
      <c r="B49" s="46" t="s">
        <v>2011</v>
      </c>
      <c r="C49" s="46">
        <v>47816.0</v>
      </c>
      <c r="D49" s="46" t="s">
        <v>2012</v>
      </c>
      <c r="E49" s="27"/>
      <c r="F49" s="28"/>
      <c r="G49" s="39"/>
      <c r="H49" s="30"/>
      <c r="I49" s="31">
        <v>12200.0</v>
      </c>
      <c r="J49" s="32"/>
      <c r="K49" s="33"/>
      <c r="L49" s="47">
        <v>12200.0</v>
      </c>
      <c r="M49" s="18">
        <f t="shared" si="1"/>
        <v>0</v>
      </c>
    </row>
    <row r="50">
      <c r="A50" s="41">
        <v>46.0</v>
      </c>
      <c r="B50" s="46" t="s">
        <v>2013</v>
      </c>
      <c r="C50" s="46">
        <v>40436.0</v>
      </c>
      <c r="D50" s="46" t="s">
        <v>2014</v>
      </c>
      <c r="E50" s="27"/>
      <c r="F50" s="28"/>
      <c r="G50" s="39"/>
      <c r="H50" s="30"/>
      <c r="I50" s="31">
        <v>9750.0</v>
      </c>
      <c r="J50" s="32"/>
      <c r="K50" s="33"/>
      <c r="L50" s="47">
        <v>9750.0</v>
      </c>
      <c r="M50" s="18">
        <f t="shared" si="1"/>
        <v>0</v>
      </c>
    </row>
    <row r="51">
      <c r="A51" s="41">
        <v>47.0</v>
      </c>
      <c r="B51" s="46" t="s">
        <v>2015</v>
      </c>
      <c r="C51" s="46">
        <v>26831.0</v>
      </c>
      <c r="D51" s="46" t="s">
        <v>315</v>
      </c>
      <c r="E51" s="27"/>
      <c r="F51" s="28"/>
      <c r="G51" s="39"/>
      <c r="H51" s="30"/>
      <c r="I51" s="31">
        <v>10000.0</v>
      </c>
      <c r="J51" s="32"/>
      <c r="K51" s="33"/>
      <c r="L51" s="47">
        <v>10000.0</v>
      </c>
      <c r="M51" s="18">
        <f t="shared" si="1"/>
        <v>0</v>
      </c>
    </row>
    <row r="52">
      <c r="A52" s="41">
        <v>48.0</v>
      </c>
      <c r="B52" s="46" t="s">
        <v>2016</v>
      </c>
      <c r="C52" s="46">
        <v>39588.0</v>
      </c>
      <c r="D52" s="46" t="s">
        <v>274</v>
      </c>
      <c r="E52" s="27"/>
      <c r="F52" s="28"/>
      <c r="G52" s="39"/>
      <c r="H52" s="30">
        <v>3600.0</v>
      </c>
      <c r="I52" s="31"/>
      <c r="J52" s="32"/>
      <c r="K52" s="33"/>
      <c r="L52" s="47">
        <v>3600.0</v>
      </c>
      <c r="M52" s="18">
        <f t="shared" si="1"/>
        <v>0</v>
      </c>
    </row>
    <row r="53">
      <c r="A53" s="41">
        <v>49.0</v>
      </c>
      <c r="B53" s="46" t="s">
        <v>2017</v>
      </c>
      <c r="C53" s="46">
        <v>35245.0</v>
      </c>
      <c r="D53" s="46" t="s">
        <v>34</v>
      </c>
      <c r="E53" s="27"/>
      <c r="F53" s="28"/>
      <c r="G53" s="39"/>
      <c r="H53" s="30"/>
      <c r="I53" s="31"/>
      <c r="J53" s="35">
        <v>10000.0</v>
      </c>
      <c r="K53" s="33"/>
      <c r="L53" s="47">
        <v>10000.0</v>
      </c>
      <c r="M53" s="18">
        <f t="shared" si="1"/>
        <v>0</v>
      </c>
    </row>
    <row r="54">
      <c r="A54" s="41">
        <v>50.0</v>
      </c>
      <c r="B54" s="46" t="s">
        <v>2018</v>
      </c>
      <c r="C54" s="46">
        <v>57754.0</v>
      </c>
      <c r="D54" s="46" t="s">
        <v>2019</v>
      </c>
      <c r="E54" s="27"/>
      <c r="F54" s="28"/>
      <c r="G54" s="39"/>
      <c r="H54" s="30">
        <v>27000.0</v>
      </c>
      <c r="I54" s="31"/>
      <c r="J54" s="32"/>
      <c r="K54" s="33"/>
      <c r="L54" s="47">
        <v>27000.0</v>
      </c>
      <c r="M54" s="18">
        <f t="shared" si="1"/>
        <v>0</v>
      </c>
    </row>
    <row r="55">
      <c r="A55" s="41">
        <v>51.0</v>
      </c>
      <c r="B55" s="46" t="s">
        <v>2020</v>
      </c>
      <c r="C55" s="46">
        <v>40433.0</v>
      </c>
      <c r="D55" s="46" t="s">
        <v>2021</v>
      </c>
      <c r="E55" s="27"/>
      <c r="F55" s="28"/>
      <c r="G55" s="39"/>
      <c r="H55" s="30"/>
      <c r="I55" s="31">
        <v>13400.0</v>
      </c>
      <c r="J55" s="35"/>
      <c r="K55" s="33"/>
      <c r="L55" s="47">
        <v>13400.0</v>
      </c>
      <c r="M55" s="18">
        <f t="shared" si="1"/>
        <v>0</v>
      </c>
    </row>
    <row r="56">
      <c r="A56" s="41">
        <v>52.0</v>
      </c>
      <c r="B56" s="46" t="s">
        <v>2022</v>
      </c>
      <c r="C56" s="46">
        <v>34851.0</v>
      </c>
      <c r="D56" s="46" t="s">
        <v>2023</v>
      </c>
      <c r="E56" s="27"/>
      <c r="F56" s="28"/>
      <c r="G56" s="39"/>
      <c r="H56" s="30">
        <v>5000.0</v>
      </c>
      <c r="I56" s="31"/>
      <c r="J56" s="32"/>
      <c r="K56" s="33"/>
      <c r="L56" s="47">
        <v>5000.0</v>
      </c>
      <c r="M56" s="18">
        <f t="shared" si="1"/>
        <v>0</v>
      </c>
    </row>
    <row r="57">
      <c r="A57" s="41">
        <v>53.0</v>
      </c>
      <c r="B57" s="46" t="s">
        <v>2024</v>
      </c>
      <c r="C57" s="46">
        <v>34851.0</v>
      </c>
      <c r="D57" s="46" t="s">
        <v>2023</v>
      </c>
      <c r="E57" s="27"/>
      <c r="F57" s="28"/>
      <c r="G57" s="39"/>
      <c r="H57" s="30">
        <v>5000.0</v>
      </c>
      <c r="I57" s="31"/>
      <c r="J57" s="32"/>
      <c r="K57" s="33"/>
      <c r="L57" s="47">
        <v>5000.0</v>
      </c>
      <c r="M57" s="18">
        <f t="shared" si="1"/>
        <v>0</v>
      </c>
    </row>
    <row r="58">
      <c r="A58" s="41">
        <v>54.0</v>
      </c>
      <c r="B58" s="46" t="s">
        <v>2025</v>
      </c>
      <c r="C58" s="46">
        <v>57078.0</v>
      </c>
      <c r="D58" s="46" t="s">
        <v>2026</v>
      </c>
      <c r="E58" s="27"/>
      <c r="F58" s="28"/>
      <c r="G58" s="39"/>
      <c r="H58" s="30">
        <v>300.0</v>
      </c>
      <c r="I58" s="31"/>
      <c r="J58" s="32"/>
      <c r="K58" s="33"/>
      <c r="L58" s="47">
        <v>300.0</v>
      </c>
      <c r="M58" s="18">
        <f t="shared" si="1"/>
        <v>0</v>
      </c>
    </row>
    <row r="59">
      <c r="A59" s="41">
        <v>55.0</v>
      </c>
      <c r="B59" s="46" t="s">
        <v>2027</v>
      </c>
      <c r="C59" s="46">
        <v>21937.0</v>
      </c>
      <c r="D59" s="46" t="s">
        <v>1153</v>
      </c>
      <c r="E59" s="27"/>
      <c r="F59" s="28"/>
      <c r="G59" s="39"/>
      <c r="H59" s="30"/>
      <c r="I59" s="31">
        <v>25900.0</v>
      </c>
      <c r="J59" s="32"/>
      <c r="K59" s="33"/>
      <c r="L59" s="47">
        <v>25900.0</v>
      </c>
      <c r="M59" s="18">
        <f t="shared" si="1"/>
        <v>0</v>
      </c>
    </row>
    <row r="60">
      <c r="A60" s="41">
        <v>56.0</v>
      </c>
      <c r="B60" s="46" t="s">
        <v>2028</v>
      </c>
      <c r="C60" s="46">
        <v>48872.0</v>
      </c>
      <c r="D60" s="46" t="s">
        <v>2029</v>
      </c>
      <c r="E60" s="27"/>
      <c r="F60" s="28"/>
      <c r="G60" s="39"/>
      <c r="H60" s="30">
        <v>350.0</v>
      </c>
      <c r="I60" s="31"/>
      <c r="J60" s="32"/>
      <c r="K60" s="33"/>
      <c r="L60" s="47">
        <v>350.0</v>
      </c>
      <c r="M60" s="18">
        <f t="shared" si="1"/>
        <v>0</v>
      </c>
    </row>
    <row r="61">
      <c r="A61" s="41">
        <v>57.0</v>
      </c>
      <c r="B61" s="46" t="s">
        <v>2030</v>
      </c>
      <c r="C61" s="46">
        <v>53507.0</v>
      </c>
      <c r="D61" s="46" t="s">
        <v>2031</v>
      </c>
      <c r="E61" s="27"/>
      <c r="F61" s="28"/>
      <c r="G61" s="39"/>
      <c r="H61" s="30">
        <v>485.0</v>
      </c>
      <c r="I61" s="31"/>
      <c r="J61" s="32"/>
      <c r="K61" s="33"/>
      <c r="L61" s="47">
        <v>485.0</v>
      </c>
      <c r="M61" s="18">
        <f t="shared" si="1"/>
        <v>0</v>
      </c>
    </row>
    <row r="62">
      <c r="A62" s="41">
        <v>58.0</v>
      </c>
      <c r="B62" s="46" t="s">
        <v>2032</v>
      </c>
      <c r="C62" s="46">
        <v>39384.0</v>
      </c>
      <c r="D62" s="46" t="s">
        <v>2033</v>
      </c>
      <c r="E62" s="27"/>
      <c r="F62" s="28"/>
      <c r="G62" s="39"/>
      <c r="H62" s="30"/>
      <c r="I62" s="31">
        <v>3600.0</v>
      </c>
      <c r="J62" s="32"/>
      <c r="K62" s="33"/>
      <c r="L62" s="47">
        <v>3600.0</v>
      </c>
      <c r="M62" s="18">
        <f t="shared" si="1"/>
        <v>0</v>
      </c>
    </row>
    <row r="63">
      <c r="A63" s="41">
        <v>59.0</v>
      </c>
      <c r="B63" s="46" t="s">
        <v>2034</v>
      </c>
      <c r="C63" s="46">
        <v>50236.0</v>
      </c>
      <c r="D63" s="46" t="s">
        <v>2035</v>
      </c>
      <c r="E63" s="27"/>
      <c r="F63" s="28"/>
      <c r="G63" s="39"/>
      <c r="H63" s="30"/>
      <c r="I63" s="31">
        <v>3600.0</v>
      </c>
      <c r="J63" s="32"/>
      <c r="K63" s="33"/>
      <c r="L63" s="47">
        <v>3600.0</v>
      </c>
      <c r="M63" s="18">
        <f t="shared" si="1"/>
        <v>0</v>
      </c>
    </row>
    <row r="64">
      <c r="A64" s="41">
        <v>60.0</v>
      </c>
      <c r="B64" s="46" t="s">
        <v>2036</v>
      </c>
      <c r="C64" s="46">
        <v>50593.0</v>
      </c>
      <c r="D64" s="46" t="s">
        <v>1048</v>
      </c>
      <c r="E64" s="27"/>
      <c r="F64" s="28"/>
      <c r="G64" s="39">
        <v>15000.0</v>
      </c>
      <c r="H64" s="30"/>
      <c r="I64" s="31"/>
      <c r="J64" s="32"/>
      <c r="K64" s="33"/>
      <c r="L64" s="47">
        <v>15000.0</v>
      </c>
      <c r="M64" s="18">
        <f t="shared" si="1"/>
        <v>0</v>
      </c>
    </row>
    <row r="65">
      <c r="A65" s="41">
        <v>61.0</v>
      </c>
      <c r="B65" s="46" t="s">
        <v>2037</v>
      </c>
      <c r="C65" s="46">
        <v>50221.0</v>
      </c>
      <c r="D65" s="46" t="s">
        <v>252</v>
      </c>
      <c r="E65" s="27"/>
      <c r="F65" s="28"/>
      <c r="G65" s="39">
        <v>2500.0</v>
      </c>
      <c r="H65" s="30"/>
      <c r="I65" s="31"/>
      <c r="J65" s="32"/>
      <c r="K65" s="33"/>
      <c r="L65" s="47">
        <v>2500.0</v>
      </c>
      <c r="M65" s="18">
        <f t="shared" si="1"/>
        <v>0</v>
      </c>
    </row>
    <row r="66">
      <c r="A66" s="41"/>
      <c r="B66" s="45"/>
      <c r="C66" s="45"/>
      <c r="D66" s="44"/>
      <c r="E66" s="22">
        <f t="shared" ref="E66:J66" si="2">SUM(E5:E65)</f>
        <v>700</v>
      </c>
      <c r="F66" s="22">
        <f t="shared" si="2"/>
        <v>0</v>
      </c>
      <c r="G66" s="22">
        <f t="shared" si="2"/>
        <v>17500</v>
      </c>
      <c r="H66" s="22">
        <f t="shared" si="2"/>
        <v>238415</v>
      </c>
      <c r="I66" s="22">
        <f t="shared" si="2"/>
        <v>222800</v>
      </c>
      <c r="J66" s="22">
        <f t="shared" si="2"/>
        <v>10000</v>
      </c>
      <c r="K66" s="22">
        <f>SUM(K23:K65)</f>
        <v>0</v>
      </c>
      <c r="L66" s="22">
        <f t="shared" ref="L66:M66" si="3">SUM(L5:L65)</f>
        <v>494715</v>
      </c>
      <c r="M66" s="18">
        <f t="shared" si="3"/>
        <v>-5300</v>
      </c>
    </row>
    <row r="67">
      <c r="A67" s="23"/>
      <c r="B67" s="23"/>
      <c r="C67" s="23"/>
      <c r="D67" s="23"/>
      <c r="E67" s="24">
        <f>SUM(K66:M66)</f>
        <v>489415</v>
      </c>
      <c r="F67" s="6"/>
      <c r="G67" s="6"/>
      <c r="H67" s="6"/>
      <c r="I67" s="6"/>
      <c r="J67" s="6"/>
      <c r="K67" s="7"/>
      <c r="L67" s="25"/>
      <c r="M67" s="23"/>
    </row>
    <row r="68">
      <c r="L68" s="40" t="s">
        <v>254</v>
      </c>
    </row>
  </sheetData>
  <mergeCells count="14">
    <mergeCell ref="F3:G3"/>
    <mergeCell ref="H3:I3"/>
    <mergeCell ref="J3:J4"/>
    <mergeCell ref="K3:K4"/>
    <mergeCell ref="E67:K67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5"/>
    <col customWidth="1" min="2" max="2" width="24.75"/>
    <col customWidth="1" min="4" max="4" width="43.25"/>
    <col customWidth="1" min="5" max="5" width="9.5"/>
  </cols>
  <sheetData>
    <row r="1">
      <c r="A1" s="1" t="s">
        <v>2038</v>
      </c>
    </row>
    <row r="2">
      <c r="A2" s="2" t="s">
        <v>1</v>
      </c>
      <c r="B2" s="3" t="s">
        <v>2</v>
      </c>
      <c r="C2" s="2" t="s">
        <v>3</v>
      </c>
      <c r="D2" s="4" t="s">
        <v>4</v>
      </c>
      <c r="E2" s="5" t="s">
        <v>5</v>
      </c>
      <c r="F2" s="6"/>
      <c r="G2" s="6"/>
      <c r="H2" s="6"/>
      <c r="I2" s="6"/>
      <c r="J2" s="6"/>
      <c r="K2" s="6"/>
      <c r="L2" s="6"/>
      <c r="M2" s="7"/>
    </row>
    <row r="3">
      <c r="A3" s="8"/>
      <c r="B3" s="8"/>
      <c r="C3" s="8"/>
      <c r="D3" s="8"/>
      <c r="E3" s="2" t="s">
        <v>6</v>
      </c>
      <c r="F3" s="5" t="s">
        <v>7</v>
      </c>
      <c r="G3" s="7"/>
      <c r="H3" s="5" t="s">
        <v>8</v>
      </c>
      <c r="I3" s="7"/>
      <c r="J3" s="2" t="s">
        <v>9</v>
      </c>
      <c r="K3" s="4" t="s">
        <v>10</v>
      </c>
      <c r="L3" s="2" t="s">
        <v>11</v>
      </c>
      <c r="M3" s="2" t="s">
        <v>12</v>
      </c>
    </row>
    <row r="4">
      <c r="A4" s="9"/>
      <c r="B4" s="9"/>
      <c r="C4" s="9"/>
      <c r="D4" s="9"/>
      <c r="E4" s="9"/>
      <c r="F4" s="10" t="s">
        <v>13</v>
      </c>
      <c r="G4" s="10" t="s">
        <v>14</v>
      </c>
      <c r="H4" s="10" t="s">
        <v>15</v>
      </c>
      <c r="I4" s="11" t="s">
        <v>16</v>
      </c>
      <c r="J4" s="9"/>
      <c r="K4" s="9"/>
      <c r="L4" s="9"/>
      <c r="M4" s="9"/>
    </row>
    <row r="5">
      <c r="A5" s="41">
        <v>1.0</v>
      </c>
      <c r="B5" s="26" t="s">
        <v>2039</v>
      </c>
      <c r="C5" s="26">
        <v>50871.0</v>
      </c>
      <c r="D5" s="26" t="s">
        <v>105</v>
      </c>
      <c r="E5" s="27"/>
      <c r="F5" s="28"/>
      <c r="G5" s="29"/>
      <c r="H5" s="30">
        <v>41750.0</v>
      </c>
      <c r="I5" s="31"/>
      <c r="J5" s="32"/>
      <c r="K5" s="50"/>
      <c r="L5" s="17">
        <v>41750.0</v>
      </c>
      <c r="M5" s="18">
        <f t="shared" ref="M5:M68" si="1">SUM(E5+F5+G5+H5+I5+J5+K5-L5)</f>
        <v>0</v>
      </c>
    </row>
    <row r="6">
      <c r="A6" s="41">
        <v>2.0</v>
      </c>
      <c r="B6" s="26" t="s">
        <v>2040</v>
      </c>
      <c r="C6" s="26">
        <v>10250.0</v>
      </c>
      <c r="D6" s="26" t="s">
        <v>107</v>
      </c>
      <c r="E6" s="27"/>
      <c r="F6" s="37"/>
      <c r="G6" s="29"/>
      <c r="H6" s="30">
        <v>2500.0</v>
      </c>
      <c r="I6" s="31"/>
      <c r="J6" s="35"/>
      <c r="K6" s="33"/>
      <c r="L6" s="17">
        <v>2500.0</v>
      </c>
      <c r="M6" s="18">
        <f t="shared" si="1"/>
        <v>0</v>
      </c>
    </row>
    <row r="7">
      <c r="A7" s="41">
        <v>3.0</v>
      </c>
      <c r="B7" s="26" t="s">
        <v>2041</v>
      </c>
      <c r="C7" s="26">
        <v>10250.0</v>
      </c>
      <c r="D7" s="26" t="s">
        <v>107</v>
      </c>
      <c r="E7" s="27"/>
      <c r="F7" s="28"/>
      <c r="G7" s="29"/>
      <c r="H7" s="30">
        <v>1250.0</v>
      </c>
      <c r="I7" s="31"/>
      <c r="J7" s="32"/>
      <c r="K7" s="33"/>
      <c r="L7" s="17">
        <v>1250.0</v>
      </c>
      <c r="M7" s="18">
        <f t="shared" si="1"/>
        <v>0</v>
      </c>
    </row>
    <row r="8">
      <c r="A8" s="41">
        <v>4.0</v>
      </c>
      <c r="B8" s="26" t="s">
        <v>2042</v>
      </c>
      <c r="C8" s="26">
        <v>30894.0</v>
      </c>
      <c r="D8" s="26" t="s">
        <v>542</v>
      </c>
      <c r="E8" s="27"/>
      <c r="F8" s="28"/>
      <c r="G8" s="29"/>
      <c r="H8" s="30">
        <v>8900.0</v>
      </c>
      <c r="I8" s="31"/>
      <c r="J8" s="32"/>
      <c r="K8" s="33"/>
      <c r="L8" s="17">
        <v>8900.0</v>
      </c>
      <c r="M8" s="18">
        <f t="shared" si="1"/>
        <v>0</v>
      </c>
    </row>
    <row r="9">
      <c r="A9" s="41">
        <v>5.0</v>
      </c>
      <c r="B9" s="26" t="s">
        <v>2043</v>
      </c>
      <c r="C9" s="26">
        <v>41079.0</v>
      </c>
      <c r="D9" s="26" t="s">
        <v>634</v>
      </c>
      <c r="E9" s="27"/>
      <c r="F9" s="28"/>
      <c r="G9" s="29"/>
      <c r="H9" s="30">
        <v>10000.0</v>
      </c>
      <c r="I9" s="31"/>
      <c r="J9" s="32"/>
      <c r="K9" s="33"/>
      <c r="L9" s="17">
        <v>10000.0</v>
      </c>
      <c r="M9" s="18">
        <f t="shared" si="1"/>
        <v>0</v>
      </c>
    </row>
    <row r="10">
      <c r="A10" s="41">
        <v>6.0</v>
      </c>
      <c r="B10" s="26" t="s">
        <v>2044</v>
      </c>
      <c r="C10" s="26">
        <v>48657.0</v>
      </c>
      <c r="D10" s="26" t="s">
        <v>1663</v>
      </c>
      <c r="E10" s="27"/>
      <c r="F10" s="28"/>
      <c r="G10" s="29"/>
      <c r="H10" s="30">
        <v>5000.0</v>
      </c>
      <c r="I10" s="31"/>
      <c r="J10" s="32"/>
      <c r="K10" s="33"/>
      <c r="L10" s="17">
        <v>5000.0</v>
      </c>
      <c r="M10" s="18">
        <f t="shared" si="1"/>
        <v>0</v>
      </c>
    </row>
    <row r="11">
      <c r="A11" s="41">
        <v>7.0</v>
      </c>
      <c r="B11" s="26" t="s">
        <v>2045</v>
      </c>
      <c r="C11" s="26">
        <v>43380.0</v>
      </c>
      <c r="D11" s="26" t="s">
        <v>61</v>
      </c>
      <c r="E11" s="27"/>
      <c r="F11" s="28"/>
      <c r="G11" s="29"/>
      <c r="H11" s="30">
        <v>2850.0</v>
      </c>
      <c r="I11" s="31"/>
      <c r="J11" s="35"/>
      <c r="K11" s="33"/>
      <c r="L11" s="17">
        <v>2850.0</v>
      </c>
      <c r="M11" s="18">
        <f t="shared" si="1"/>
        <v>0</v>
      </c>
    </row>
    <row r="12">
      <c r="A12" s="41">
        <v>8.0</v>
      </c>
      <c r="B12" s="26" t="s">
        <v>2046</v>
      </c>
      <c r="C12" s="26">
        <v>39317.0</v>
      </c>
      <c r="D12" s="26" t="s">
        <v>84</v>
      </c>
      <c r="E12" s="27"/>
      <c r="F12" s="28"/>
      <c r="G12" s="29"/>
      <c r="H12" s="30"/>
      <c r="I12" s="31">
        <v>15000.0</v>
      </c>
      <c r="J12" s="32"/>
      <c r="K12" s="33"/>
      <c r="L12" s="17">
        <v>15000.0</v>
      </c>
      <c r="M12" s="18">
        <f t="shared" si="1"/>
        <v>0</v>
      </c>
    </row>
    <row r="13">
      <c r="A13" s="41">
        <v>9.0</v>
      </c>
      <c r="B13" s="26" t="s">
        <v>2047</v>
      </c>
      <c r="C13" s="26">
        <v>19688.0</v>
      </c>
      <c r="D13" s="26" t="s">
        <v>679</v>
      </c>
      <c r="E13" s="27"/>
      <c r="F13" s="28"/>
      <c r="G13" s="29"/>
      <c r="H13" s="30"/>
      <c r="I13" s="31">
        <v>10000.0</v>
      </c>
      <c r="J13" s="32"/>
      <c r="K13" s="33"/>
      <c r="L13" s="17">
        <v>10000.0</v>
      </c>
      <c r="M13" s="18">
        <f t="shared" si="1"/>
        <v>0</v>
      </c>
    </row>
    <row r="14">
      <c r="A14" s="41">
        <v>10.0</v>
      </c>
      <c r="B14" s="26" t="s">
        <v>2048</v>
      </c>
      <c r="C14" s="26">
        <v>54899.0</v>
      </c>
      <c r="D14" s="26" t="s">
        <v>785</v>
      </c>
      <c r="E14" s="27"/>
      <c r="F14" s="28"/>
      <c r="G14" s="29"/>
      <c r="H14" s="30">
        <v>5000.0</v>
      </c>
      <c r="I14" s="31"/>
      <c r="J14" s="32"/>
      <c r="K14" s="33"/>
      <c r="L14" s="17">
        <v>5000.0</v>
      </c>
      <c r="M14" s="18">
        <f t="shared" si="1"/>
        <v>0</v>
      </c>
    </row>
    <row r="15">
      <c r="A15" s="41">
        <v>11.0</v>
      </c>
      <c r="B15" s="26" t="s">
        <v>2049</v>
      </c>
      <c r="C15" s="26">
        <v>52611.0</v>
      </c>
      <c r="D15" s="26" t="s">
        <v>637</v>
      </c>
      <c r="E15" s="27"/>
      <c r="F15" s="28"/>
      <c r="G15" s="29"/>
      <c r="H15" s="30">
        <v>15000.0</v>
      </c>
      <c r="I15" s="31"/>
      <c r="J15" s="32"/>
      <c r="K15" s="33"/>
      <c r="L15" s="17">
        <v>15000.0</v>
      </c>
      <c r="M15" s="18">
        <f t="shared" si="1"/>
        <v>0</v>
      </c>
    </row>
    <row r="16">
      <c r="A16" s="41">
        <v>12.0</v>
      </c>
      <c r="B16" s="26" t="s">
        <v>2050</v>
      </c>
      <c r="C16" s="26">
        <v>50557.0</v>
      </c>
      <c r="D16" s="26" t="s">
        <v>94</v>
      </c>
      <c r="E16" s="27"/>
      <c r="F16" s="28"/>
      <c r="G16" s="29"/>
      <c r="H16" s="30">
        <v>5350.0</v>
      </c>
      <c r="I16" s="31"/>
      <c r="J16" s="35"/>
      <c r="K16" s="33"/>
      <c r="L16" s="17">
        <v>5350.0</v>
      </c>
      <c r="M16" s="18">
        <f t="shared" si="1"/>
        <v>0</v>
      </c>
    </row>
    <row r="17">
      <c r="A17" s="41">
        <v>13.0</v>
      </c>
      <c r="B17" s="26" t="s">
        <v>2051</v>
      </c>
      <c r="C17" s="26">
        <v>33054.0</v>
      </c>
      <c r="D17" s="26" t="s">
        <v>1853</v>
      </c>
      <c r="E17" s="27"/>
      <c r="F17" s="28"/>
      <c r="G17" s="29"/>
      <c r="H17" s="30">
        <v>2650.0</v>
      </c>
      <c r="I17" s="31"/>
      <c r="J17" s="35"/>
      <c r="K17" s="33"/>
      <c r="L17" s="17">
        <v>2650.0</v>
      </c>
      <c r="M17" s="18">
        <f t="shared" si="1"/>
        <v>0</v>
      </c>
    </row>
    <row r="18">
      <c r="A18" s="41">
        <v>14.0</v>
      </c>
      <c r="B18" s="26" t="s">
        <v>2052</v>
      </c>
      <c r="C18" s="26">
        <v>50119.0</v>
      </c>
      <c r="D18" s="26" t="s">
        <v>1036</v>
      </c>
      <c r="E18" s="27"/>
      <c r="F18" s="37"/>
      <c r="G18" s="29"/>
      <c r="H18" s="30"/>
      <c r="I18" s="31">
        <v>1427.0</v>
      </c>
      <c r="J18" s="32"/>
      <c r="K18" s="33"/>
      <c r="L18" s="17">
        <v>1427.0</v>
      </c>
      <c r="M18" s="18">
        <f t="shared" si="1"/>
        <v>0</v>
      </c>
    </row>
    <row r="19">
      <c r="A19" s="41">
        <v>15.0</v>
      </c>
      <c r="B19" s="26" t="s">
        <v>2053</v>
      </c>
      <c r="C19" s="26">
        <v>29621.0</v>
      </c>
      <c r="D19" s="26" t="s">
        <v>174</v>
      </c>
      <c r="E19" s="27"/>
      <c r="F19" s="28"/>
      <c r="G19" s="29"/>
      <c r="H19" s="30"/>
      <c r="I19" s="31">
        <v>15000.0</v>
      </c>
      <c r="J19" s="32"/>
      <c r="K19" s="33"/>
      <c r="L19" s="17">
        <v>15000.0</v>
      </c>
      <c r="M19" s="18">
        <f t="shared" si="1"/>
        <v>0</v>
      </c>
    </row>
    <row r="20">
      <c r="A20" s="41">
        <v>16.0</v>
      </c>
      <c r="B20" s="26" t="s">
        <v>2054</v>
      </c>
      <c r="C20" s="26">
        <v>35362.0</v>
      </c>
      <c r="D20" s="26" t="s">
        <v>2055</v>
      </c>
      <c r="E20" s="27"/>
      <c r="F20" s="28"/>
      <c r="G20" s="29"/>
      <c r="H20" s="30">
        <v>3750.0</v>
      </c>
      <c r="I20" s="31"/>
      <c r="J20" s="32"/>
      <c r="K20" s="33"/>
      <c r="L20" s="17">
        <v>3750.0</v>
      </c>
      <c r="M20" s="18">
        <f t="shared" si="1"/>
        <v>0</v>
      </c>
    </row>
    <row r="21">
      <c r="A21" s="41">
        <v>17.0</v>
      </c>
      <c r="B21" s="26" t="s">
        <v>2056</v>
      </c>
      <c r="C21" s="26">
        <v>48631.0</v>
      </c>
      <c r="D21" s="26" t="s">
        <v>118</v>
      </c>
      <c r="E21" s="27"/>
      <c r="F21" s="28"/>
      <c r="G21" s="29"/>
      <c r="H21" s="30">
        <v>14650.0</v>
      </c>
      <c r="I21" s="31"/>
      <c r="J21" s="32"/>
      <c r="K21" s="33"/>
      <c r="L21" s="17">
        <v>14650.0</v>
      </c>
      <c r="M21" s="18">
        <f t="shared" si="1"/>
        <v>0</v>
      </c>
    </row>
    <row r="22">
      <c r="A22" s="41">
        <v>18.0</v>
      </c>
      <c r="B22" s="26" t="s">
        <v>2057</v>
      </c>
      <c r="C22" s="26">
        <v>51743.0</v>
      </c>
      <c r="D22" s="26" t="s">
        <v>2058</v>
      </c>
      <c r="E22" s="27"/>
      <c r="F22" s="37"/>
      <c r="G22" s="29"/>
      <c r="H22" s="30"/>
      <c r="I22" s="31">
        <v>10000.0</v>
      </c>
      <c r="J22" s="32"/>
      <c r="K22" s="33"/>
      <c r="L22" s="17">
        <v>10000.0</v>
      </c>
      <c r="M22" s="18">
        <f t="shared" si="1"/>
        <v>0</v>
      </c>
    </row>
    <row r="23">
      <c r="A23" s="41">
        <v>19.0</v>
      </c>
      <c r="B23" s="26" t="s">
        <v>2059</v>
      </c>
      <c r="C23" s="26">
        <v>10249.0</v>
      </c>
      <c r="D23" s="26" t="s">
        <v>737</v>
      </c>
      <c r="E23" s="27"/>
      <c r="F23" s="28"/>
      <c r="G23" s="29"/>
      <c r="H23" s="30"/>
      <c r="I23" s="31">
        <v>1250.0</v>
      </c>
      <c r="J23" s="32"/>
      <c r="K23" s="33"/>
      <c r="L23" s="17">
        <v>1250.0</v>
      </c>
      <c r="M23" s="18">
        <f t="shared" si="1"/>
        <v>0</v>
      </c>
    </row>
    <row r="24">
      <c r="A24" s="41">
        <v>20.0</v>
      </c>
      <c r="B24" s="26" t="s">
        <v>2060</v>
      </c>
      <c r="C24" s="26">
        <v>30895.0</v>
      </c>
      <c r="D24" s="26" t="s">
        <v>603</v>
      </c>
      <c r="E24" s="27"/>
      <c r="F24" s="28"/>
      <c r="G24" s="29"/>
      <c r="H24" s="30">
        <v>10000.0</v>
      </c>
      <c r="I24" s="31"/>
      <c r="J24" s="32"/>
      <c r="K24" s="33"/>
      <c r="L24" s="17">
        <v>10000.0</v>
      </c>
      <c r="M24" s="18">
        <f t="shared" si="1"/>
        <v>0</v>
      </c>
    </row>
    <row r="25">
      <c r="A25" s="41">
        <v>21.0</v>
      </c>
      <c r="B25" s="26" t="s">
        <v>2061</v>
      </c>
      <c r="C25" s="26">
        <v>48053.0</v>
      </c>
      <c r="D25" s="26" t="s">
        <v>409</v>
      </c>
      <c r="E25" s="27"/>
      <c r="F25" s="37"/>
      <c r="G25" s="29"/>
      <c r="H25" s="30">
        <v>700.0</v>
      </c>
      <c r="I25" s="31"/>
      <c r="J25" s="32"/>
      <c r="K25" s="33"/>
      <c r="L25" s="17">
        <v>700.0</v>
      </c>
      <c r="M25" s="18">
        <f t="shared" si="1"/>
        <v>0</v>
      </c>
    </row>
    <row r="26">
      <c r="A26" s="41">
        <v>22.0</v>
      </c>
      <c r="B26" s="26" t="s">
        <v>2062</v>
      </c>
      <c r="C26" s="26">
        <v>52032.0</v>
      </c>
      <c r="D26" s="26" t="s">
        <v>233</v>
      </c>
      <c r="E26" s="38"/>
      <c r="F26" s="28"/>
      <c r="G26" s="29"/>
      <c r="H26" s="30">
        <v>20000.0</v>
      </c>
      <c r="I26" s="36"/>
      <c r="J26" s="32"/>
      <c r="K26" s="33"/>
      <c r="L26" s="17">
        <v>20000.0</v>
      </c>
      <c r="M26" s="18">
        <f t="shared" si="1"/>
        <v>0</v>
      </c>
    </row>
    <row r="27">
      <c r="A27" s="41">
        <v>23.0</v>
      </c>
      <c r="B27" s="26" t="s">
        <v>2063</v>
      </c>
      <c r="C27" s="26">
        <v>52240.0</v>
      </c>
      <c r="D27" s="26" t="s">
        <v>2064</v>
      </c>
      <c r="E27" s="27"/>
      <c r="F27" s="37"/>
      <c r="G27" s="29"/>
      <c r="H27" s="30"/>
      <c r="I27" s="31">
        <v>5000.0</v>
      </c>
      <c r="J27" s="35"/>
      <c r="K27" s="33"/>
      <c r="L27" s="17">
        <v>5000.0</v>
      </c>
      <c r="M27" s="18">
        <f t="shared" si="1"/>
        <v>0</v>
      </c>
    </row>
    <row r="28">
      <c r="A28" s="41">
        <v>24.0</v>
      </c>
      <c r="B28" s="26" t="s">
        <v>2065</v>
      </c>
      <c r="C28" s="26">
        <v>50843.0</v>
      </c>
      <c r="D28" s="26" t="s">
        <v>2066</v>
      </c>
      <c r="E28" s="27"/>
      <c r="F28" s="28"/>
      <c r="G28" s="29"/>
      <c r="H28" s="30">
        <v>12500.0</v>
      </c>
      <c r="I28" s="31"/>
      <c r="J28" s="32"/>
      <c r="K28" s="33"/>
      <c r="L28" s="17">
        <v>12500.0</v>
      </c>
      <c r="M28" s="18">
        <f t="shared" si="1"/>
        <v>0</v>
      </c>
    </row>
    <row r="29">
      <c r="A29" s="41">
        <v>25.0</v>
      </c>
      <c r="B29" s="26" t="s">
        <v>2067</v>
      </c>
      <c r="C29" s="26">
        <v>55964.0</v>
      </c>
      <c r="D29" s="26" t="s">
        <v>952</v>
      </c>
      <c r="E29" s="27"/>
      <c r="F29" s="28"/>
      <c r="G29" s="29"/>
      <c r="H29" s="30"/>
      <c r="I29" s="31">
        <v>5000.0</v>
      </c>
      <c r="J29" s="32"/>
      <c r="K29" s="33"/>
      <c r="L29" s="17">
        <v>5000.0</v>
      </c>
      <c r="M29" s="18">
        <f t="shared" si="1"/>
        <v>0</v>
      </c>
    </row>
    <row r="30">
      <c r="A30" s="41">
        <v>26.0</v>
      </c>
      <c r="B30" s="26" t="s">
        <v>2068</v>
      </c>
      <c r="C30" s="26">
        <v>51051.0</v>
      </c>
      <c r="D30" s="26" t="s">
        <v>714</v>
      </c>
      <c r="E30" s="27"/>
      <c r="F30" s="28"/>
      <c r="G30" s="29"/>
      <c r="H30" s="30">
        <v>15000.0</v>
      </c>
      <c r="I30" s="31"/>
      <c r="J30" s="35"/>
      <c r="K30" s="33"/>
      <c r="L30" s="17">
        <v>15000.0</v>
      </c>
      <c r="M30" s="18">
        <f t="shared" si="1"/>
        <v>0</v>
      </c>
    </row>
    <row r="31">
      <c r="A31" s="41">
        <v>27.0</v>
      </c>
      <c r="B31" s="26" t="s">
        <v>2069</v>
      </c>
      <c r="C31" s="26">
        <v>13781.0</v>
      </c>
      <c r="D31" s="26" t="s">
        <v>278</v>
      </c>
      <c r="E31" s="27"/>
      <c r="F31" s="28"/>
      <c r="G31" s="29"/>
      <c r="H31" s="30">
        <v>40000.0</v>
      </c>
      <c r="I31" s="31"/>
      <c r="J31" s="32"/>
      <c r="K31" s="33"/>
      <c r="L31" s="17">
        <v>40000.0</v>
      </c>
      <c r="M31" s="18">
        <f t="shared" si="1"/>
        <v>0</v>
      </c>
    </row>
    <row r="32">
      <c r="A32" s="41">
        <v>28.0</v>
      </c>
      <c r="B32" s="26" t="s">
        <v>2070</v>
      </c>
      <c r="C32" s="26">
        <v>50148.0</v>
      </c>
      <c r="D32" s="26" t="s">
        <v>244</v>
      </c>
      <c r="E32" s="38"/>
      <c r="F32" s="28"/>
      <c r="G32" s="29"/>
      <c r="H32" s="30">
        <v>448.0</v>
      </c>
      <c r="I32" s="31"/>
      <c r="J32" s="32"/>
      <c r="K32" s="33"/>
      <c r="L32" s="17">
        <v>448.0</v>
      </c>
      <c r="M32" s="18">
        <f t="shared" si="1"/>
        <v>0</v>
      </c>
    </row>
    <row r="33">
      <c r="A33" s="41">
        <v>29.0</v>
      </c>
      <c r="B33" s="26" t="s">
        <v>2071</v>
      </c>
      <c r="C33" s="26">
        <v>43381.0</v>
      </c>
      <c r="D33" s="26" t="s">
        <v>1730</v>
      </c>
      <c r="E33" s="27"/>
      <c r="F33" s="37"/>
      <c r="G33" s="39"/>
      <c r="H33" s="30">
        <v>15000.0</v>
      </c>
      <c r="I33" s="31"/>
      <c r="J33" s="32"/>
      <c r="K33" s="33"/>
      <c r="L33" s="17">
        <v>15000.0</v>
      </c>
      <c r="M33" s="18">
        <f t="shared" si="1"/>
        <v>0</v>
      </c>
    </row>
    <row r="34">
      <c r="A34" s="41">
        <v>30.0</v>
      </c>
      <c r="B34" s="26" t="s">
        <v>2072</v>
      </c>
      <c r="C34" s="26">
        <v>12102.0</v>
      </c>
      <c r="D34" s="26" t="s">
        <v>345</v>
      </c>
      <c r="E34" s="27"/>
      <c r="F34" s="37"/>
      <c r="G34" s="39"/>
      <c r="H34" s="30">
        <v>932.0</v>
      </c>
      <c r="I34" s="31"/>
      <c r="J34" s="32"/>
      <c r="K34" s="33"/>
      <c r="L34" s="17">
        <v>932.0</v>
      </c>
      <c r="M34" s="18">
        <f t="shared" si="1"/>
        <v>0</v>
      </c>
    </row>
    <row r="35">
      <c r="A35" s="41">
        <v>31.0</v>
      </c>
      <c r="B35" s="26" t="s">
        <v>2073</v>
      </c>
      <c r="C35" s="26">
        <v>19688.0</v>
      </c>
      <c r="D35" s="26" t="s">
        <v>679</v>
      </c>
      <c r="E35" s="27"/>
      <c r="F35" s="28"/>
      <c r="G35" s="29"/>
      <c r="H35" s="30"/>
      <c r="I35" s="31">
        <v>20000.0</v>
      </c>
      <c r="J35" s="32"/>
      <c r="K35" s="33"/>
      <c r="L35" s="17">
        <v>20000.0</v>
      </c>
      <c r="M35" s="18">
        <f t="shared" si="1"/>
        <v>0</v>
      </c>
    </row>
    <row r="36">
      <c r="A36" s="41">
        <v>32.0</v>
      </c>
      <c r="B36" s="26" t="s">
        <v>2074</v>
      </c>
      <c r="C36" s="26">
        <v>22332.0</v>
      </c>
      <c r="D36" s="26" t="s">
        <v>138</v>
      </c>
      <c r="E36" s="27"/>
      <c r="F36" s="28"/>
      <c r="G36" s="29"/>
      <c r="H36" s="30">
        <v>3750.0</v>
      </c>
      <c r="I36" s="31"/>
      <c r="J36" s="32"/>
      <c r="K36" s="33"/>
      <c r="L36" s="17">
        <v>3750.0</v>
      </c>
      <c r="M36" s="18">
        <f t="shared" si="1"/>
        <v>0</v>
      </c>
    </row>
    <row r="37">
      <c r="A37" s="41">
        <v>33.0</v>
      </c>
      <c r="B37" s="26" t="s">
        <v>2075</v>
      </c>
      <c r="C37" s="26">
        <v>48306.0</v>
      </c>
      <c r="D37" s="26" t="s">
        <v>126</v>
      </c>
      <c r="E37" s="27"/>
      <c r="F37" s="28"/>
      <c r="G37" s="29"/>
      <c r="H37" s="30">
        <v>5050.0</v>
      </c>
      <c r="I37" s="31"/>
      <c r="J37" s="32"/>
      <c r="K37" s="33"/>
      <c r="L37" s="17">
        <v>5050.0</v>
      </c>
      <c r="M37" s="18">
        <f t="shared" si="1"/>
        <v>0</v>
      </c>
    </row>
    <row r="38">
      <c r="A38" s="41">
        <v>34.0</v>
      </c>
      <c r="B38" s="26" t="s">
        <v>2076</v>
      </c>
      <c r="C38" s="26">
        <v>49271.0</v>
      </c>
      <c r="D38" s="26" t="s">
        <v>2077</v>
      </c>
      <c r="E38" s="27"/>
      <c r="F38" s="28"/>
      <c r="G38" s="29"/>
      <c r="H38" s="30">
        <v>2650.0</v>
      </c>
      <c r="I38" s="31"/>
      <c r="J38" s="35"/>
      <c r="K38" s="33"/>
      <c r="L38" s="17">
        <v>2650.0</v>
      </c>
      <c r="M38" s="18">
        <f t="shared" si="1"/>
        <v>0</v>
      </c>
    </row>
    <row r="39">
      <c r="A39" s="41">
        <v>35.0</v>
      </c>
      <c r="B39" s="26" t="s">
        <v>2078</v>
      </c>
      <c r="C39" s="26">
        <v>56149.0</v>
      </c>
      <c r="D39" s="26" t="s">
        <v>2079</v>
      </c>
      <c r="E39" s="27"/>
      <c r="F39" s="28"/>
      <c r="G39" s="29"/>
      <c r="H39" s="30">
        <v>2930.0</v>
      </c>
      <c r="I39" s="31"/>
      <c r="J39" s="32"/>
      <c r="K39" s="33"/>
      <c r="L39" s="17">
        <v>2930.0</v>
      </c>
      <c r="M39" s="18">
        <f t="shared" si="1"/>
        <v>0</v>
      </c>
    </row>
    <row r="40">
      <c r="A40" s="41">
        <v>36.0</v>
      </c>
      <c r="B40" s="26" t="s">
        <v>2080</v>
      </c>
      <c r="C40" s="26">
        <v>10001.0</v>
      </c>
      <c r="D40" s="26" t="s">
        <v>218</v>
      </c>
      <c r="E40" s="27"/>
      <c r="F40" s="28"/>
      <c r="G40" s="29"/>
      <c r="H40" s="30">
        <v>15000.0</v>
      </c>
      <c r="I40" s="31"/>
      <c r="J40" s="35"/>
      <c r="K40" s="33"/>
      <c r="L40" s="17">
        <v>15000.0</v>
      </c>
      <c r="M40" s="18">
        <f t="shared" si="1"/>
        <v>0</v>
      </c>
    </row>
    <row r="41">
      <c r="A41" s="41">
        <v>37.0</v>
      </c>
      <c r="B41" s="26" t="s">
        <v>2081</v>
      </c>
      <c r="C41" s="26">
        <v>54109.0</v>
      </c>
      <c r="D41" s="26" t="s">
        <v>2082</v>
      </c>
      <c r="E41" s="27"/>
      <c r="F41" s="28"/>
      <c r="G41" s="29"/>
      <c r="H41" s="30">
        <v>1400.0</v>
      </c>
      <c r="I41" s="31"/>
      <c r="J41" s="35"/>
      <c r="K41" s="33"/>
      <c r="L41" s="17">
        <v>1400.0</v>
      </c>
      <c r="M41" s="18">
        <f t="shared" si="1"/>
        <v>0</v>
      </c>
    </row>
    <row r="42">
      <c r="A42" s="41">
        <v>38.0</v>
      </c>
      <c r="B42" s="26" t="s">
        <v>2083</v>
      </c>
      <c r="C42" s="26">
        <v>42046.0</v>
      </c>
      <c r="D42" s="26" t="s">
        <v>24</v>
      </c>
      <c r="E42" s="27"/>
      <c r="F42" s="28"/>
      <c r="G42" s="29"/>
      <c r="H42" s="30">
        <v>10000.0</v>
      </c>
      <c r="I42" s="31"/>
      <c r="J42" s="32"/>
      <c r="K42" s="33"/>
      <c r="L42" s="17">
        <v>10000.0</v>
      </c>
      <c r="M42" s="18">
        <f t="shared" si="1"/>
        <v>0</v>
      </c>
    </row>
    <row r="43">
      <c r="A43" s="54">
        <v>0.0</v>
      </c>
      <c r="B43" s="26" t="s">
        <v>2084</v>
      </c>
      <c r="C43" s="26">
        <v>12102.0</v>
      </c>
      <c r="D43" s="26" t="s">
        <v>345</v>
      </c>
      <c r="E43" s="27"/>
      <c r="F43" s="28"/>
      <c r="G43" s="29"/>
      <c r="H43" s="30">
        <v>4391.0</v>
      </c>
      <c r="I43" s="31"/>
      <c r="J43" s="32"/>
      <c r="K43" s="33"/>
      <c r="L43" s="17">
        <v>4391.0</v>
      </c>
      <c r="M43" s="18">
        <f t="shared" si="1"/>
        <v>0</v>
      </c>
    </row>
    <row r="44">
      <c r="A44" s="41">
        <v>40.0</v>
      </c>
      <c r="B44" s="26" t="s">
        <v>2085</v>
      </c>
      <c r="C44" s="26">
        <v>43381.0</v>
      </c>
      <c r="D44" s="26" t="s">
        <v>1730</v>
      </c>
      <c r="E44" s="27"/>
      <c r="F44" s="28"/>
      <c r="G44" s="29"/>
      <c r="H44" s="30">
        <v>5000.0</v>
      </c>
      <c r="I44" s="31"/>
      <c r="J44" s="32"/>
      <c r="K44" s="33"/>
      <c r="L44" s="17">
        <v>5000.0</v>
      </c>
      <c r="M44" s="18">
        <f t="shared" si="1"/>
        <v>0</v>
      </c>
    </row>
    <row r="45">
      <c r="A45" s="41">
        <v>41.0</v>
      </c>
      <c r="B45" s="26" t="s">
        <v>2086</v>
      </c>
      <c r="C45" s="26">
        <v>24751.0</v>
      </c>
      <c r="D45" s="26" t="s">
        <v>610</v>
      </c>
      <c r="E45" s="38"/>
      <c r="F45" s="37"/>
      <c r="G45" s="29"/>
      <c r="H45" s="30">
        <v>2500.0</v>
      </c>
      <c r="I45" s="31"/>
      <c r="J45" s="32"/>
      <c r="K45" s="33"/>
      <c r="L45" s="17">
        <v>2500.0</v>
      </c>
      <c r="M45" s="18">
        <f t="shared" si="1"/>
        <v>0</v>
      </c>
    </row>
    <row r="46">
      <c r="A46" s="41">
        <v>42.0</v>
      </c>
      <c r="B46" s="26" t="s">
        <v>2087</v>
      </c>
      <c r="C46" s="26">
        <v>43381.0</v>
      </c>
      <c r="D46" s="26" t="s">
        <v>1730</v>
      </c>
      <c r="E46" s="38"/>
      <c r="F46" s="37"/>
      <c r="G46" s="29"/>
      <c r="H46" s="30">
        <v>7500.0</v>
      </c>
      <c r="I46" s="31"/>
      <c r="J46" s="32"/>
      <c r="K46" s="33"/>
      <c r="L46" s="17">
        <v>7500.0</v>
      </c>
      <c r="M46" s="18">
        <f t="shared" si="1"/>
        <v>0</v>
      </c>
    </row>
    <row r="47">
      <c r="A47" s="41">
        <v>43.0</v>
      </c>
      <c r="B47" s="26" t="s">
        <v>2088</v>
      </c>
      <c r="C47" s="26">
        <v>36918.0</v>
      </c>
      <c r="D47" s="26" t="s">
        <v>607</v>
      </c>
      <c r="E47" s="27"/>
      <c r="F47" s="28"/>
      <c r="G47" s="39"/>
      <c r="H47" s="30">
        <v>15000.0</v>
      </c>
      <c r="I47" s="31"/>
      <c r="J47" s="32"/>
      <c r="K47" s="33"/>
      <c r="L47" s="17">
        <v>15000.0</v>
      </c>
      <c r="M47" s="18">
        <f t="shared" si="1"/>
        <v>0</v>
      </c>
    </row>
    <row r="48">
      <c r="A48" s="41">
        <v>44.0</v>
      </c>
      <c r="B48" s="26" t="s">
        <v>2089</v>
      </c>
      <c r="C48" s="26">
        <v>36690.0</v>
      </c>
      <c r="D48" s="26" t="s">
        <v>419</v>
      </c>
      <c r="E48" s="27"/>
      <c r="F48" s="28"/>
      <c r="G48" s="39"/>
      <c r="H48" s="30">
        <v>5000.0</v>
      </c>
      <c r="I48" s="31"/>
      <c r="J48" s="32"/>
      <c r="K48" s="33"/>
      <c r="L48" s="17">
        <v>5000.0</v>
      </c>
      <c r="M48" s="18">
        <f t="shared" si="1"/>
        <v>0</v>
      </c>
    </row>
    <row r="49">
      <c r="A49" s="41">
        <v>45.0</v>
      </c>
      <c r="B49" s="26" t="s">
        <v>2090</v>
      </c>
      <c r="C49" s="26">
        <v>36690.0</v>
      </c>
      <c r="D49" s="26" t="s">
        <v>419</v>
      </c>
      <c r="E49" s="27"/>
      <c r="F49" s="28"/>
      <c r="G49" s="39"/>
      <c r="H49" s="30">
        <v>5000.0</v>
      </c>
      <c r="I49" s="31"/>
      <c r="J49" s="32"/>
      <c r="K49" s="33"/>
      <c r="L49" s="17">
        <v>5000.0</v>
      </c>
      <c r="M49" s="18">
        <f t="shared" si="1"/>
        <v>0</v>
      </c>
    </row>
    <row r="50">
      <c r="A50" s="41">
        <v>46.0</v>
      </c>
      <c r="B50" s="26" t="s">
        <v>2091</v>
      </c>
      <c r="C50" s="26">
        <v>34956.0</v>
      </c>
      <c r="D50" s="26" t="s">
        <v>1547</v>
      </c>
      <c r="E50" s="27"/>
      <c r="F50" s="28"/>
      <c r="G50" s="39"/>
      <c r="H50" s="30">
        <v>4350.0</v>
      </c>
      <c r="I50" s="31"/>
      <c r="J50" s="32"/>
      <c r="K50" s="33"/>
      <c r="L50" s="17">
        <v>4350.0</v>
      </c>
      <c r="M50" s="18">
        <f t="shared" si="1"/>
        <v>0</v>
      </c>
    </row>
    <row r="51">
      <c r="A51" s="41">
        <v>47.0</v>
      </c>
      <c r="B51" s="26" t="s">
        <v>2092</v>
      </c>
      <c r="C51" s="26">
        <v>51406.0</v>
      </c>
      <c r="D51" s="26" t="s">
        <v>18</v>
      </c>
      <c r="E51" s="27"/>
      <c r="F51" s="28"/>
      <c r="G51" s="39"/>
      <c r="H51" s="30"/>
      <c r="I51" s="31">
        <v>16100.0</v>
      </c>
      <c r="J51" s="32"/>
      <c r="K51" s="33"/>
      <c r="L51" s="17">
        <v>16100.0</v>
      </c>
      <c r="M51" s="18">
        <f t="shared" si="1"/>
        <v>0</v>
      </c>
    </row>
    <row r="52">
      <c r="A52" s="41">
        <v>48.0</v>
      </c>
      <c r="B52" s="26" t="s">
        <v>2093</v>
      </c>
      <c r="C52" s="26">
        <v>50136.0</v>
      </c>
      <c r="D52" s="26" t="s">
        <v>156</v>
      </c>
      <c r="E52" s="27"/>
      <c r="F52" s="28"/>
      <c r="G52" s="39"/>
      <c r="H52" s="30">
        <v>5150.0</v>
      </c>
      <c r="I52" s="31"/>
      <c r="J52" s="32"/>
      <c r="K52" s="33"/>
      <c r="L52" s="17">
        <v>5150.0</v>
      </c>
      <c r="M52" s="18">
        <f t="shared" si="1"/>
        <v>0</v>
      </c>
    </row>
    <row r="53">
      <c r="A53" s="41">
        <v>49.0</v>
      </c>
      <c r="B53" s="26" t="s">
        <v>2094</v>
      </c>
      <c r="C53" s="26">
        <v>14329.0</v>
      </c>
      <c r="D53" s="26" t="s">
        <v>210</v>
      </c>
      <c r="E53" s="27"/>
      <c r="F53" s="28"/>
      <c r="G53" s="39"/>
      <c r="H53" s="30"/>
      <c r="I53" s="31">
        <v>898.0</v>
      </c>
      <c r="J53" s="35"/>
      <c r="K53" s="33"/>
      <c r="L53" s="17">
        <v>898.0</v>
      </c>
      <c r="M53" s="18">
        <f t="shared" si="1"/>
        <v>0</v>
      </c>
    </row>
    <row r="54">
      <c r="A54" s="41">
        <v>50.0</v>
      </c>
      <c r="B54" s="26" t="s">
        <v>2095</v>
      </c>
      <c r="C54" s="26">
        <v>39588.0</v>
      </c>
      <c r="D54" s="26" t="s">
        <v>274</v>
      </c>
      <c r="E54" s="27"/>
      <c r="F54" s="28"/>
      <c r="G54" s="39"/>
      <c r="H54" s="30">
        <v>6750.0</v>
      </c>
      <c r="I54" s="31"/>
      <c r="J54" s="32"/>
      <c r="K54" s="33"/>
      <c r="L54" s="17">
        <v>6750.0</v>
      </c>
      <c r="M54" s="18">
        <f t="shared" si="1"/>
        <v>0</v>
      </c>
    </row>
    <row r="55">
      <c r="A55" s="41">
        <v>51.0</v>
      </c>
      <c r="B55" s="26" t="s">
        <v>2096</v>
      </c>
      <c r="C55" s="26">
        <v>13762.0</v>
      </c>
      <c r="D55" s="26" t="s">
        <v>356</v>
      </c>
      <c r="E55" s="27"/>
      <c r="F55" s="37">
        <v>25300.0</v>
      </c>
      <c r="G55" s="39"/>
      <c r="H55" s="30"/>
      <c r="I55" s="31"/>
      <c r="J55" s="35"/>
      <c r="K55" s="33"/>
      <c r="L55" s="17">
        <v>25300.0</v>
      </c>
      <c r="M55" s="18">
        <f t="shared" si="1"/>
        <v>0</v>
      </c>
    </row>
    <row r="56">
      <c r="A56" s="41">
        <v>52.0</v>
      </c>
      <c r="B56" s="26" t="s">
        <v>2097</v>
      </c>
      <c r="C56" s="26">
        <v>50595.0</v>
      </c>
      <c r="D56" s="26" t="s">
        <v>158</v>
      </c>
      <c r="E56" s="27"/>
      <c r="F56" s="28"/>
      <c r="G56" s="39"/>
      <c r="H56" s="30">
        <v>31600.0</v>
      </c>
      <c r="I56" s="31"/>
      <c r="J56" s="32"/>
      <c r="K56" s="33"/>
      <c r="L56" s="17">
        <v>31600.0</v>
      </c>
      <c r="M56" s="18">
        <f t="shared" si="1"/>
        <v>0</v>
      </c>
    </row>
    <row r="57">
      <c r="A57" s="41">
        <v>53.0</v>
      </c>
      <c r="B57" s="26" t="s">
        <v>2098</v>
      </c>
      <c r="C57" s="26">
        <v>48657.0</v>
      </c>
      <c r="D57" s="26" t="s">
        <v>1663</v>
      </c>
      <c r="E57" s="27"/>
      <c r="F57" s="28"/>
      <c r="G57" s="39"/>
      <c r="H57" s="30">
        <v>2500.0</v>
      </c>
      <c r="I57" s="31"/>
      <c r="J57" s="32"/>
      <c r="K57" s="33"/>
      <c r="L57" s="17">
        <v>2500.0</v>
      </c>
      <c r="M57" s="18">
        <f t="shared" si="1"/>
        <v>0</v>
      </c>
    </row>
    <row r="58">
      <c r="A58" s="41">
        <v>54.0</v>
      </c>
      <c r="B58" s="26" t="s">
        <v>2099</v>
      </c>
      <c r="C58" s="26">
        <v>50439.0</v>
      </c>
      <c r="D58" s="26" t="s">
        <v>2100</v>
      </c>
      <c r="E58" s="27"/>
      <c r="F58" s="28"/>
      <c r="G58" s="39"/>
      <c r="H58" s="30">
        <v>5000.0</v>
      </c>
      <c r="I58" s="31"/>
      <c r="J58" s="32"/>
      <c r="K58" s="33"/>
      <c r="L58" s="17">
        <v>5000.0</v>
      </c>
      <c r="M58" s="18">
        <f t="shared" si="1"/>
        <v>0</v>
      </c>
    </row>
    <row r="59">
      <c r="A59" s="41">
        <v>55.0</v>
      </c>
      <c r="B59" s="26" t="s">
        <v>2101</v>
      </c>
      <c r="C59" s="26">
        <v>47510.0</v>
      </c>
      <c r="D59" s="26" t="s">
        <v>918</v>
      </c>
      <c r="E59" s="27"/>
      <c r="F59" s="28"/>
      <c r="G59" s="39"/>
      <c r="H59" s="30">
        <v>6250.0</v>
      </c>
      <c r="I59" s="31"/>
      <c r="J59" s="32"/>
      <c r="K59" s="33"/>
      <c r="L59" s="17">
        <v>6250.0</v>
      </c>
      <c r="M59" s="18">
        <f t="shared" si="1"/>
        <v>0</v>
      </c>
    </row>
    <row r="60">
      <c r="A60" s="41">
        <v>56.0</v>
      </c>
      <c r="B60" s="26" t="s">
        <v>2102</v>
      </c>
      <c r="C60" s="26">
        <v>43380.0</v>
      </c>
      <c r="D60" s="26" t="s">
        <v>61</v>
      </c>
      <c r="E60" s="27"/>
      <c r="F60" s="28"/>
      <c r="G60" s="39"/>
      <c r="H60" s="30"/>
      <c r="I60" s="31">
        <v>15000.0</v>
      </c>
      <c r="J60" s="32"/>
      <c r="K60" s="33"/>
      <c r="L60" s="17">
        <v>15000.0</v>
      </c>
      <c r="M60" s="18">
        <f t="shared" si="1"/>
        <v>0</v>
      </c>
    </row>
    <row r="61">
      <c r="A61" s="41">
        <v>57.0</v>
      </c>
      <c r="B61" s="26" t="s">
        <v>2103</v>
      </c>
      <c r="C61" s="26">
        <v>55179.0</v>
      </c>
      <c r="D61" s="26" t="s">
        <v>662</v>
      </c>
      <c r="E61" s="27"/>
      <c r="F61" s="37">
        <v>18750.0</v>
      </c>
      <c r="G61" s="39"/>
      <c r="H61" s="30"/>
      <c r="I61" s="31"/>
      <c r="J61" s="32"/>
      <c r="K61" s="33"/>
      <c r="L61" s="17">
        <v>18750.0</v>
      </c>
      <c r="M61" s="18">
        <f t="shared" si="1"/>
        <v>0</v>
      </c>
    </row>
    <row r="62">
      <c r="A62" s="41">
        <v>58.0</v>
      </c>
      <c r="B62" s="26" t="s">
        <v>2104</v>
      </c>
      <c r="C62" s="26">
        <v>46778.0</v>
      </c>
      <c r="D62" s="26" t="s">
        <v>109</v>
      </c>
      <c r="E62" s="27"/>
      <c r="F62" s="28"/>
      <c r="G62" s="39"/>
      <c r="H62" s="30">
        <v>5150.0</v>
      </c>
      <c r="I62" s="31"/>
      <c r="J62" s="32"/>
      <c r="K62" s="33"/>
      <c r="L62" s="17">
        <v>5150.0</v>
      </c>
      <c r="M62" s="18">
        <f t="shared" si="1"/>
        <v>0</v>
      </c>
    </row>
    <row r="63">
      <c r="A63" s="41">
        <v>59.0</v>
      </c>
      <c r="B63" s="26" t="s">
        <v>2105</v>
      </c>
      <c r="C63" s="26">
        <v>50148.0</v>
      </c>
      <c r="D63" s="26" t="s">
        <v>244</v>
      </c>
      <c r="E63" s="27"/>
      <c r="F63" s="28"/>
      <c r="G63" s="39">
        <v>10000.0</v>
      </c>
      <c r="H63" s="30"/>
      <c r="I63" s="31"/>
      <c r="J63" s="32"/>
      <c r="K63" s="33"/>
      <c r="L63" s="17">
        <v>10000.0</v>
      </c>
      <c r="M63" s="18">
        <f t="shared" si="1"/>
        <v>0</v>
      </c>
    </row>
    <row r="64">
      <c r="A64" s="41">
        <v>60.0</v>
      </c>
      <c r="B64" s="26" t="s">
        <v>2106</v>
      </c>
      <c r="C64" s="26">
        <v>51166.0</v>
      </c>
      <c r="D64" s="26" t="s">
        <v>370</v>
      </c>
      <c r="E64" s="27"/>
      <c r="F64" s="28"/>
      <c r="G64" s="39">
        <v>5000.0</v>
      </c>
      <c r="H64" s="30"/>
      <c r="I64" s="31"/>
      <c r="J64" s="32"/>
      <c r="K64" s="33"/>
      <c r="L64" s="17">
        <v>5000.0</v>
      </c>
      <c r="M64" s="18">
        <f t="shared" si="1"/>
        <v>0</v>
      </c>
    </row>
    <row r="65">
      <c r="A65" s="41">
        <v>61.0</v>
      </c>
      <c r="B65" s="26" t="s">
        <v>2107</v>
      </c>
      <c r="C65" s="26">
        <v>49918.0</v>
      </c>
      <c r="D65" s="26" t="s">
        <v>114</v>
      </c>
      <c r="E65" s="27"/>
      <c r="F65" s="28"/>
      <c r="G65" s="39">
        <v>350.0</v>
      </c>
      <c r="H65" s="30"/>
      <c r="I65" s="31"/>
      <c r="J65" s="32"/>
      <c r="K65" s="33"/>
      <c r="L65" s="17">
        <v>350.0</v>
      </c>
      <c r="M65" s="18">
        <f t="shared" si="1"/>
        <v>0</v>
      </c>
    </row>
    <row r="66">
      <c r="A66" s="41">
        <v>62.0</v>
      </c>
      <c r="B66" s="26" t="s">
        <v>2108</v>
      </c>
      <c r="C66" s="26">
        <v>49953.0</v>
      </c>
      <c r="D66" s="26" t="s">
        <v>1821</v>
      </c>
      <c r="E66" s="27"/>
      <c r="F66" s="28"/>
      <c r="G66" s="39">
        <v>8000.0</v>
      </c>
      <c r="H66" s="30"/>
      <c r="I66" s="31"/>
      <c r="J66" s="32"/>
      <c r="K66" s="33"/>
      <c r="L66" s="17">
        <v>8000.0</v>
      </c>
      <c r="M66" s="18">
        <f t="shared" si="1"/>
        <v>0</v>
      </c>
    </row>
    <row r="67">
      <c r="A67" s="41">
        <v>63.0</v>
      </c>
      <c r="B67" s="26" t="s">
        <v>2109</v>
      </c>
      <c r="C67" s="26">
        <v>50222.0</v>
      </c>
      <c r="D67" s="26" t="s">
        <v>47</v>
      </c>
      <c r="E67" s="27"/>
      <c r="F67" s="28"/>
      <c r="G67" s="39">
        <v>25000.0</v>
      </c>
      <c r="H67" s="30"/>
      <c r="I67" s="31"/>
      <c r="J67" s="32"/>
      <c r="K67" s="33"/>
      <c r="L67" s="17">
        <v>25000.0</v>
      </c>
      <c r="M67" s="18">
        <f t="shared" si="1"/>
        <v>0</v>
      </c>
    </row>
    <row r="68">
      <c r="A68" s="41">
        <v>64.0</v>
      </c>
      <c r="B68" s="46"/>
      <c r="C68" s="46"/>
      <c r="D68" s="46"/>
      <c r="E68" s="27"/>
      <c r="F68" s="28"/>
      <c r="G68" s="39"/>
      <c r="H68" s="30"/>
      <c r="I68" s="31"/>
      <c r="J68" s="32"/>
      <c r="K68" s="33"/>
      <c r="L68" s="47"/>
      <c r="M68" s="18">
        <f t="shared" si="1"/>
        <v>0</v>
      </c>
    </row>
    <row r="69">
      <c r="A69" s="41"/>
      <c r="B69" s="45"/>
      <c r="C69" s="45"/>
      <c r="D69" s="44"/>
      <c r="E69" s="22">
        <f t="shared" ref="E69:J69" si="2">SUM(E5:E68)</f>
        <v>0</v>
      </c>
      <c r="F69" s="22">
        <f t="shared" si="2"/>
        <v>44050</v>
      </c>
      <c r="G69" s="22">
        <f t="shared" si="2"/>
        <v>48350</v>
      </c>
      <c r="H69" s="22">
        <f t="shared" si="2"/>
        <v>385151</v>
      </c>
      <c r="I69" s="22">
        <f t="shared" si="2"/>
        <v>114675</v>
      </c>
      <c r="J69" s="22">
        <f t="shared" si="2"/>
        <v>0</v>
      </c>
      <c r="K69" s="22">
        <f>SUM(K23:K68)</f>
        <v>0</v>
      </c>
      <c r="L69" s="22">
        <f t="shared" ref="L69:M69" si="3">SUM(L5:L68)</f>
        <v>592226</v>
      </c>
      <c r="M69" s="18">
        <f t="shared" si="3"/>
        <v>0</v>
      </c>
    </row>
    <row r="70">
      <c r="A70" s="23"/>
      <c r="B70" s="23"/>
      <c r="C70" s="23"/>
      <c r="D70" s="23"/>
      <c r="E70" s="24">
        <f>SUM(K69:M69)</f>
        <v>592226</v>
      </c>
      <c r="F70" s="6"/>
      <c r="G70" s="6"/>
      <c r="H70" s="6"/>
      <c r="I70" s="6"/>
      <c r="J70" s="6"/>
      <c r="K70" s="7"/>
      <c r="L70" s="25"/>
      <c r="M70" s="23"/>
    </row>
    <row r="71">
      <c r="L71" s="40" t="s">
        <v>254</v>
      </c>
    </row>
  </sheetData>
  <mergeCells count="14">
    <mergeCell ref="F3:G3"/>
    <mergeCell ref="H3:I3"/>
    <mergeCell ref="J3:J4"/>
    <mergeCell ref="K3:K4"/>
    <mergeCell ref="E70:K70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5"/>
    <col customWidth="1" min="2" max="2" width="24.75"/>
    <col customWidth="1" min="4" max="4" width="43.25"/>
    <col customWidth="1" min="5" max="5" width="9.5"/>
  </cols>
  <sheetData>
    <row r="1">
      <c r="A1" s="1" t="s">
        <v>2110</v>
      </c>
    </row>
    <row r="2">
      <c r="A2" s="2" t="s">
        <v>1</v>
      </c>
      <c r="B2" s="3" t="s">
        <v>2</v>
      </c>
      <c r="C2" s="2" t="s">
        <v>3</v>
      </c>
      <c r="D2" s="4" t="s">
        <v>4</v>
      </c>
      <c r="E2" s="5" t="s">
        <v>5</v>
      </c>
      <c r="F2" s="6"/>
      <c r="G2" s="6"/>
      <c r="H2" s="6"/>
      <c r="I2" s="6"/>
      <c r="J2" s="6"/>
      <c r="K2" s="6"/>
      <c r="L2" s="6"/>
      <c r="M2" s="7"/>
    </row>
    <row r="3">
      <c r="A3" s="8"/>
      <c r="B3" s="8"/>
      <c r="C3" s="8"/>
      <c r="D3" s="8"/>
      <c r="E3" s="2" t="s">
        <v>6</v>
      </c>
      <c r="F3" s="5" t="s">
        <v>7</v>
      </c>
      <c r="G3" s="7"/>
      <c r="H3" s="5" t="s">
        <v>8</v>
      </c>
      <c r="I3" s="7"/>
      <c r="J3" s="2" t="s">
        <v>9</v>
      </c>
      <c r="K3" s="4" t="s">
        <v>10</v>
      </c>
      <c r="L3" s="2" t="s">
        <v>11</v>
      </c>
      <c r="M3" s="2" t="s">
        <v>12</v>
      </c>
    </row>
    <row r="4">
      <c r="A4" s="9"/>
      <c r="B4" s="9"/>
      <c r="C4" s="9"/>
      <c r="D4" s="9"/>
      <c r="E4" s="9"/>
      <c r="F4" s="10" t="s">
        <v>13</v>
      </c>
      <c r="G4" s="10" t="s">
        <v>14</v>
      </c>
      <c r="H4" s="10" t="s">
        <v>15</v>
      </c>
      <c r="I4" s="11" t="s">
        <v>16</v>
      </c>
      <c r="J4" s="9"/>
      <c r="K4" s="9"/>
      <c r="L4" s="9"/>
      <c r="M4" s="9"/>
    </row>
    <row r="5">
      <c r="A5" s="41">
        <v>1.0</v>
      </c>
      <c r="B5" s="46" t="s">
        <v>2111</v>
      </c>
      <c r="C5" s="46">
        <v>50871.0</v>
      </c>
      <c r="D5" s="46" t="s">
        <v>105</v>
      </c>
      <c r="E5" s="27"/>
      <c r="F5" s="28"/>
      <c r="G5" s="29"/>
      <c r="H5" s="30">
        <v>40400.0</v>
      </c>
      <c r="I5" s="31"/>
      <c r="J5" s="32"/>
      <c r="K5" s="33"/>
      <c r="L5" s="47">
        <v>40400.0</v>
      </c>
      <c r="M5" s="18">
        <f t="shared" ref="M5:M88" si="1">SUM(E5+F5+G5+H5+I5+J5+K5-L5)</f>
        <v>0</v>
      </c>
    </row>
    <row r="6">
      <c r="A6" s="41">
        <v>2.0</v>
      </c>
      <c r="B6" s="46" t="s">
        <v>2112</v>
      </c>
      <c r="C6" s="46">
        <v>10320.0</v>
      </c>
      <c r="D6" s="46" t="s">
        <v>447</v>
      </c>
      <c r="E6" s="27"/>
      <c r="F6" s="28"/>
      <c r="G6" s="29"/>
      <c r="H6" s="30">
        <v>18900.0</v>
      </c>
      <c r="I6" s="31"/>
      <c r="J6" s="35"/>
      <c r="K6" s="33"/>
      <c r="L6" s="47">
        <v>18900.0</v>
      </c>
      <c r="M6" s="18">
        <f t="shared" si="1"/>
        <v>0</v>
      </c>
    </row>
    <row r="7">
      <c r="A7" s="41">
        <v>3.0</v>
      </c>
      <c r="B7" s="46" t="s">
        <v>2113</v>
      </c>
      <c r="C7" s="46">
        <v>50591.0</v>
      </c>
      <c r="D7" s="46" t="s">
        <v>2114</v>
      </c>
      <c r="E7" s="27"/>
      <c r="F7" s="37">
        <v>2500.0</v>
      </c>
      <c r="G7" s="29"/>
      <c r="H7" s="30"/>
      <c r="I7" s="31"/>
      <c r="J7" s="35"/>
      <c r="K7" s="33"/>
      <c r="L7" s="47">
        <v>2500.0</v>
      </c>
      <c r="M7" s="18">
        <f t="shared" si="1"/>
        <v>0</v>
      </c>
    </row>
    <row r="8">
      <c r="A8" s="41">
        <v>4.0</v>
      </c>
      <c r="B8" s="46" t="s">
        <v>2115</v>
      </c>
      <c r="C8" s="46">
        <v>24751.0</v>
      </c>
      <c r="D8" s="46" t="s">
        <v>610</v>
      </c>
      <c r="E8" s="27"/>
      <c r="F8" s="28"/>
      <c r="G8" s="29"/>
      <c r="H8" s="30">
        <v>500.0</v>
      </c>
      <c r="I8" s="31"/>
      <c r="J8" s="35"/>
      <c r="K8" s="33"/>
      <c r="L8" s="47">
        <v>500.0</v>
      </c>
      <c r="M8" s="18">
        <f t="shared" si="1"/>
        <v>0</v>
      </c>
    </row>
    <row r="9">
      <c r="A9" s="41">
        <v>5.0</v>
      </c>
      <c r="B9" s="46" t="s">
        <v>2116</v>
      </c>
      <c r="C9" s="46">
        <v>50436.0</v>
      </c>
      <c r="D9" s="46" t="s">
        <v>421</v>
      </c>
      <c r="E9" s="38">
        <v>580.0</v>
      </c>
      <c r="F9" s="28"/>
      <c r="G9" s="29"/>
      <c r="H9" s="30"/>
      <c r="I9" s="31"/>
      <c r="J9" s="35"/>
      <c r="K9" s="33"/>
      <c r="L9" s="47">
        <v>580.0</v>
      </c>
      <c r="M9" s="18">
        <f t="shared" si="1"/>
        <v>0</v>
      </c>
    </row>
    <row r="10">
      <c r="A10" s="41">
        <v>6.0</v>
      </c>
      <c r="B10" s="46" t="s">
        <v>2117</v>
      </c>
      <c r="C10" s="46">
        <v>50436.0</v>
      </c>
      <c r="D10" s="46" t="s">
        <v>421</v>
      </c>
      <c r="E10" s="38">
        <v>50.0</v>
      </c>
      <c r="F10" s="28"/>
      <c r="G10" s="29"/>
      <c r="H10" s="30"/>
      <c r="I10" s="31"/>
      <c r="J10" s="35"/>
      <c r="K10" s="33"/>
      <c r="L10" s="47">
        <v>50.0</v>
      </c>
      <c r="M10" s="18">
        <f t="shared" si="1"/>
        <v>0</v>
      </c>
    </row>
    <row r="11">
      <c r="A11" s="41">
        <v>7.0</v>
      </c>
      <c r="B11" s="46" t="s">
        <v>2118</v>
      </c>
      <c r="C11" s="46">
        <v>31738.0</v>
      </c>
      <c r="D11" s="46" t="s">
        <v>154</v>
      </c>
      <c r="E11" s="27"/>
      <c r="F11" s="28"/>
      <c r="G11" s="29"/>
      <c r="H11" s="30">
        <v>10000.0</v>
      </c>
      <c r="I11" s="31"/>
      <c r="J11" s="35"/>
      <c r="K11" s="33"/>
      <c r="L11" s="47">
        <v>10000.0</v>
      </c>
      <c r="M11" s="18">
        <f t="shared" si="1"/>
        <v>0</v>
      </c>
    </row>
    <row r="12">
      <c r="A12" s="41">
        <v>8.0</v>
      </c>
      <c r="B12" s="46" t="s">
        <v>2119</v>
      </c>
      <c r="C12" s="46">
        <v>10249.0</v>
      </c>
      <c r="D12" s="46" t="s">
        <v>737</v>
      </c>
      <c r="E12" s="27"/>
      <c r="F12" s="28"/>
      <c r="G12" s="29"/>
      <c r="H12" s="30"/>
      <c r="I12" s="31">
        <v>700.0</v>
      </c>
      <c r="J12" s="35"/>
      <c r="K12" s="33"/>
      <c r="L12" s="47">
        <v>700.0</v>
      </c>
      <c r="M12" s="18">
        <f t="shared" si="1"/>
        <v>0</v>
      </c>
    </row>
    <row r="13">
      <c r="A13" s="41">
        <v>9.0</v>
      </c>
      <c r="B13" s="46" t="s">
        <v>2120</v>
      </c>
      <c r="C13" s="46">
        <v>22332.0</v>
      </c>
      <c r="D13" s="46" t="s">
        <v>138</v>
      </c>
      <c r="E13" s="27"/>
      <c r="F13" s="28"/>
      <c r="G13" s="29"/>
      <c r="H13" s="30">
        <v>2150.0</v>
      </c>
      <c r="I13" s="31"/>
      <c r="J13" s="35"/>
      <c r="K13" s="33"/>
      <c r="L13" s="47">
        <v>2150.0</v>
      </c>
      <c r="M13" s="18">
        <f t="shared" si="1"/>
        <v>0</v>
      </c>
    </row>
    <row r="14">
      <c r="A14" s="41">
        <v>10.0</v>
      </c>
      <c r="B14" s="46" t="s">
        <v>2121</v>
      </c>
      <c r="C14" s="46">
        <v>31927.0</v>
      </c>
      <c r="D14" s="46" t="s">
        <v>183</v>
      </c>
      <c r="E14" s="27"/>
      <c r="F14" s="28"/>
      <c r="G14" s="29"/>
      <c r="H14" s="30">
        <v>5800.0</v>
      </c>
      <c r="I14" s="31"/>
      <c r="J14" s="35"/>
      <c r="K14" s="33"/>
      <c r="L14" s="47">
        <v>5800.0</v>
      </c>
      <c r="M14" s="18">
        <f t="shared" si="1"/>
        <v>0</v>
      </c>
    </row>
    <row r="15">
      <c r="A15" s="41">
        <v>11.0</v>
      </c>
      <c r="B15" s="46" t="s">
        <v>2122</v>
      </c>
      <c r="C15" s="46">
        <v>26831.0</v>
      </c>
      <c r="D15" s="46" t="s">
        <v>315</v>
      </c>
      <c r="E15" s="27"/>
      <c r="F15" s="28"/>
      <c r="G15" s="29"/>
      <c r="H15" s="30"/>
      <c r="I15" s="31">
        <v>60300.0</v>
      </c>
      <c r="J15" s="35"/>
      <c r="K15" s="33"/>
      <c r="L15" s="47">
        <v>60300.0</v>
      </c>
      <c r="M15" s="18">
        <f t="shared" si="1"/>
        <v>0</v>
      </c>
    </row>
    <row r="16">
      <c r="A16" s="41">
        <v>12.0</v>
      </c>
      <c r="B16" s="46" t="s">
        <v>2123</v>
      </c>
      <c r="C16" s="46">
        <v>40235.0</v>
      </c>
      <c r="D16" s="46" t="s">
        <v>1691</v>
      </c>
      <c r="E16" s="27"/>
      <c r="F16" s="28"/>
      <c r="G16" s="29"/>
      <c r="H16" s="30">
        <v>5150.0</v>
      </c>
      <c r="I16" s="31"/>
      <c r="J16" s="35"/>
      <c r="K16" s="33"/>
      <c r="L16" s="47">
        <v>5150.0</v>
      </c>
      <c r="M16" s="18">
        <f t="shared" si="1"/>
        <v>0</v>
      </c>
    </row>
    <row r="17">
      <c r="A17" s="41">
        <v>13.0</v>
      </c>
      <c r="B17" s="46" t="s">
        <v>2124</v>
      </c>
      <c r="C17" s="46">
        <v>54196.0</v>
      </c>
      <c r="D17" s="46" t="s">
        <v>888</v>
      </c>
      <c r="E17" s="27"/>
      <c r="F17" s="28"/>
      <c r="G17" s="29"/>
      <c r="H17" s="30">
        <v>2500.0</v>
      </c>
      <c r="I17" s="31"/>
      <c r="J17" s="35"/>
      <c r="K17" s="33"/>
      <c r="L17" s="47">
        <v>2500.0</v>
      </c>
      <c r="M17" s="18">
        <f t="shared" si="1"/>
        <v>0</v>
      </c>
    </row>
    <row r="18">
      <c r="A18" s="41">
        <v>14.0</v>
      </c>
      <c r="B18" s="46" t="s">
        <v>2125</v>
      </c>
      <c r="C18" s="46">
        <v>51876.0</v>
      </c>
      <c r="D18" s="46" t="s">
        <v>74</v>
      </c>
      <c r="E18" s="27"/>
      <c r="F18" s="28"/>
      <c r="G18" s="29"/>
      <c r="H18" s="30">
        <v>16250.0</v>
      </c>
      <c r="I18" s="31"/>
      <c r="J18" s="35"/>
      <c r="K18" s="33"/>
      <c r="L18" s="47">
        <v>16250.0</v>
      </c>
      <c r="M18" s="18">
        <f t="shared" si="1"/>
        <v>0</v>
      </c>
    </row>
    <row r="19">
      <c r="A19" s="41">
        <v>15.0</v>
      </c>
      <c r="B19" s="46" t="s">
        <v>2126</v>
      </c>
      <c r="C19" s="46">
        <v>40494.0</v>
      </c>
      <c r="D19" s="46" t="s">
        <v>575</v>
      </c>
      <c r="E19" s="38">
        <v>4500.0</v>
      </c>
      <c r="F19" s="37"/>
      <c r="G19" s="29"/>
      <c r="H19" s="30"/>
      <c r="I19" s="31"/>
      <c r="J19" s="35"/>
      <c r="K19" s="33"/>
      <c r="L19" s="47">
        <v>4500.0</v>
      </c>
      <c r="M19" s="18">
        <f t="shared" si="1"/>
        <v>0</v>
      </c>
    </row>
    <row r="20">
      <c r="A20" s="41">
        <v>16.0</v>
      </c>
      <c r="B20" s="46" t="s">
        <v>2127</v>
      </c>
      <c r="C20" s="46">
        <v>50538.0</v>
      </c>
      <c r="D20" s="46" t="s">
        <v>605</v>
      </c>
      <c r="E20" s="27"/>
      <c r="F20" s="28"/>
      <c r="G20" s="29"/>
      <c r="H20" s="30">
        <v>10400.0</v>
      </c>
      <c r="I20" s="31"/>
      <c r="J20" s="35"/>
      <c r="K20" s="33"/>
      <c r="L20" s="47">
        <v>10400.0</v>
      </c>
      <c r="M20" s="18">
        <f t="shared" si="1"/>
        <v>0</v>
      </c>
    </row>
    <row r="21">
      <c r="A21" s="41">
        <v>17.0</v>
      </c>
      <c r="B21" s="46" t="s">
        <v>2128</v>
      </c>
      <c r="C21" s="46">
        <v>44149.0</v>
      </c>
      <c r="D21" s="46" t="s">
        <v>32</v>
      </c>
      <c r="E21" s="27"/>
      <c r="F21" s="28"/>
      <c r="G21" s="29"/>
      <c r="H21" s="30">
        <v>2800.0</v>
      </c>
      <c r="I21" s="31"/>
      <c r="J21" s="35"/>
      <c r="K21" s="33"/>
      <c r="L21" s="47">
        <v>2800.0</v>
      </c>
      <c r="M21" s="18">
        <f t="shared" si="1"/>
        <v>0</v>
      </c>
    </row>
    <row r="22">
      <c r="A22" s="41">
        <v>18.0</v>
      </c>
      <c r="B22" s="46" t="s">
        <v>2129</v>
      </c>
      <c r="C22" s="46">
        <v>49864.0</v>
      </c>
      <c r="D22" s="46" t="s">
        <v>687</v>
      </c>
      <c r="E22" s="27"/>
      <c r="F22" s="28"/>
      <c r="G22" s="29"/>
      <c r="H22" s="30">
        <v>10000.0</v>
      </c>
      <c r="I22" s="31"/>
      <c r="J22" s="35"/>
      <c r="K22" s="33"/>
      <c r="L22" s="47">
        <v>10000.0</v>
      </c>
      <c r="M22" s="18">
        <f t="shared" si="1"/>
        <v>0</v>
      </c>
    </row>
    <row r="23">
      <c r="A23" s="41">
        <v>19.0</v>
      </c>
      <c r="B23" s="46" t="s">
        <v>2130</v>
      </c>
      <c r="C23" s="46">
        <v>50474.0</v>
      </c>
      <c r="D23" s="46" t="s">
        <v>179</v>
      </c>
      <c r="E23" s="27"/>
      <c r="F23" s="37"/>
      <c r="G23" s="29"/>
      <c r="H23" s="30">
        <v>30000.0</v>
      </c>
      <c r="I23" s="31"/>
      <c r="J23" s="35"/>
      <c r="K23" s="33"/>
      <c r="L23" s="47">
        <v>30000.0</v>
      </c>
      <c r="M23" s="18">
        <f t="shared" si="1"/>
        <v>0</v>
      </c>
    </row>
    <row r="24">
      <c r="A24" s="41">
        <v>20.0</v>
      </c>
      <c r="B24" s="46" t="s">
        <v>2131</v>
      </c>
      <c r="C24" s="46">
        <v>50436.0</v>
      </c>
      <c r="D24" s="46" t="s">
        <v>421</v>
      </c>
      <c r="E24" s="38">
        <v>200.0</v>
      </c>
      <c r="F24" s="28"/>
      <c r="G24" s="29"/>
      <c r="H24" s="30"/>
      <c r="I24" s="31"/>
      <c r="J24" s="35"/>
      <c r="K24" s="33"/>
      <c r="L24" s="47">
        <v>200.0</v>
      </c>
      <c r="M24" s="18">
        <f t="shared" si="1"/>
        <v>0</v>
      </c>
    </row>
    <row r="25">
      <c r="A25" s="41">
        <v>21.0</v>
      </c>
      <c r="B25" s="46" t="s">
        <v>2132</v>
      </c>
      <c r="C25" s="46">
        <v>51743.0</v>
      </c>
      <c r="D25" s="46" t="s">
        <v>2058</v>
      </c>
      <c r="E25" s="27"/>
      <c r="F25" s="28"/>
      <c r="G25" s="29"/>
      <c r="H25" s="30"/>
      <c r="I25" s="31">
        <v>10100.0</v>
      </c>
      <c r="J25" s="35"/>
      <c r="K25" s="33"/>
      <c r="L25" s="47">
        <v>10100.0</v>
      </c>
      <c r="M25" s="18">
        <f t="shared" si="1"/>
        <v>0</v>
      </c>
    </row>
    <row r="26">
      <c r="A26" s="41">
        <v>22.0</v>
      </c>
      <c r="B26" s="46" t="s">
        <v>2133</v>
      </c>
      <c r="C26" s="46">
        <v>50616.0</v>
      </c>
      <c r="D26" s="46" t="s">
        <v>1166</v>
      </c>
      <c r="E26" s="27"/>
      <c r="F26" s="37"/>
      <c r="G26" s="29"/>
      <c r="H26" s="30"/>
      <c r="I26" s="31">
        <v>1427.0</v>
      </c>
      <c r="J26" s="35"/>
      <c r="K26" s="33"/>
      <c r="L26" s="47">
        <v>1427.0</v>
      </c>
      <c r="M26" s="18">
        <f t="shared" si="1"/>
        <v>0</v>
      </c>
    </row>
    <row r="27">
      <c r="A27" s="41">
        <v>23.0</v>
      </c>
      <c r="B27" s="46" t="s">
        <v>2134</v>
      </c>
      <c r="C27" s="46">
        <v>39820.0</v>
      </c>
      <c r="D27" s="46" t="s">
        <v>2135</v>
      </c>
      <c r="E27" s="38"/>
      <c r="F27" s="28"/>
      <c r="G27" s="29"/>
      <c r="H27" s="30"/>
      <c r="I27" s="31">
        <v>10050.0</v>
      </c>
      <c r="J27" s="35"/>
      <c r="K27" s="33"/>
      <c r="L27" s="47">
        <v>10050.0</v>
      </c>
      <c r="M27" s="18">
        <f t="shared" si="1"/>
        <v>0</v>
      </c>
    </row>
    <row r="28">
      <c r="A28" s="41">
        <v>24.0</v>
      </c>
      <c r="B28" s="46" t="s">
        <v>2136</v>
      </c>
      <c r="C28" s="46">
        <v>50596.0</v>
      </c>
      <c r="D28" s="46" t="s">
        <v>493</v>
      </c>
      <c r="E28" s="27"/>
      <c r="F28" s="37"/>
      <c r="G28" s="29"/>
      <c r="H28" s="30">
        <v>59400.0</v>
      </c>
      <c r="I28" s="31"/>
      <c r="J28" s="35"/>
      <c r="K28" s="33"/>
      <c r="L28" s="47">
        <v>59400.0</v>
      </c>
      <c r="M28" s="18">
        <f t="shared" si="1"/>
        <v>0</v>
      </c>
    </row>
    <row r="29">
      <c r="A29" s="41">
        <v>25.0</v>
      </c>
      <c r="B29" s="46" t="s">
        <v>2137</v>
      </c>
      <c r="C29" s="46">
        <v>36903.0</v>
      </c>
      <c r="D29" s="46" t="s">
        <v>488</v>
      </c>
      <c r="E29" s="27"/>
      <c r="F29" s="28"/>
      <c r="G29" s="29"/>
      <c r="H29" s="30">
        <v>3850.0</v>
      </c>
      <c r="I29" s="31"/>
      <c r="J29" s="35"/>
      <c r="K29" s="33"/>
      <c r="L29" s="47">
        <v>3850.0</v>
      </c>
      <c r="M29" s="18">
        <f t="shared" si="1"/>
        <v>0</v>
      </c>
    </row>
    <row r="30">
      <c r="A30" s="41">
        <v>26.0</v>
      </c>
      <c r="B30" s="46" t="s">
        <v>2138</v>
      </c>
      <c r="C30" s="46">
        <v>51017.0</v>
      </c>
      <c r="D30" s="46" t="s">
        <v>659</v>
      </c>
      <c r="E30" s="27"/>
      <c r="F30" s="28"/>
      <c r="G30" s="29"/>
      <c r="H30" s="30">
        <v>2000.0</v>
      </c>
      <c r="I30" s="31"/>
      <c r="J30" s="35"/>
      <c r="K30" s="33"/>
      <c r="L30" s="47">
        <v>2000.0</v>
      </c>
      <c r="M30" s="18">
        <f t="shared" si="1"/>
        <v>0</v>
      </c>
    </row>
    <row r="31">
      <c r="A31" s="41">
        <v>27.0</v>
      </c>
      <c r="B31" s="46" t="s">
        <v>2139</v>
      </c>
      <c r="C31" s="46">
        <v>54276.0</v>
      </c>
      <c r="D31" s="46" t="s">
        <v>160</v>
      </c>
      <c r="E31" s="27"/>
      <c r="F31" s="28"/>
      <c r="G31" s="29"/>
      <c r="H31" s="30">
        <v>5000.0</v>
      </c>
      <c r="I31" s="31"/>
      <c r="J31" s="35"/>
      <c r="K31" s="33"/>
      <c r="L31" s="47">
        <v>5000.0</v>
      </c>
      <c r="M31" s="18">
        <f t="shared" si="1"/>
        <v>0</v>
      </c>
    </row>
    <row r="32">
      <c r="A32" s="41">
        <v>28.0</v>
      </c>
      <c r="B32" s="46" t="s">
        <v>2140</v>
      </c>
      <c r="C32" s="46">
        <v>22727.0</v>
      </c>
      <c r="D32" s="46" t="s">
        <v>162</v>
      </c>
      <c r="E32" s="27"/>
      <c r="F32" s="28"/>
      <c r="G32" s="29"/>
      <c r="H32" s="30">
        <v>5435.0</v>
      </c>
      <c r="I32" s="31"/>
      <c r="J32" s="35"/>
      <c r="K32" s="33"/>
      <c r="L32" s="47">
        <v>5435.0</v>
      </c>
      <c r="M32" s="18">
        <f t="shared" si="1"/>
        <v>0</v>
      </c>
    </row>
    <row r="33">
      <c r="A33" s="41">
        <v>29.0</v>
      </c>
      <c r="B33" s="46" t="s">
        <v>2141</v>
      </c>
      <c r="C33" s="46">
        <v>45992.0</v>
      </c>
      <c r="D33" s="46" t="s">
        <v>2142</v>
      </c>
      <c r="E33" s="38">
        <v>5000.0</v>
      </c>
      <c r="F33" s="28"/>
      <c r="G33" s="29"/>
      <c r="H33" s="30"/>
      <c r="I33" s="31"/>
      <c r="J33" s="35"/>
      <c r="K33" s="33"/>
      <c r="L33" s="47">
        <v>5000.0</v>
      </c>
      <c r="M33" s="18">
        <f t="shared" si="1"/>
        <v>0</v>
      </c>
    </row>
    <row r="34">
      <c r="A34" s="41">
        <v>30.0</v>
      </c>
      <c r="B34" s="46" t="s">
        <v>2143</v>
      </c>
      <c r="C34" s="46">
        <v>43381.0</v>
      </c>
      <c r="D34" s="46" t="s">
        <v>1730</v>
      </c>
      <c r="E34" s="27"/>
      <c r="F34" s="28"/>
      <c r="G34" s="29"/>
      <c r="H34" s="30">
        <v>19000.0</v>
      </c>
      <c r="I34" s="31"/>
      <c r="J34" s="35"/>
      <c r="K34" s="33"/>
      <c r="L34" s="47">
        <v>19000.0</v>
      </c>
      <c r="M34" s="18">
        <f t="shared" si="1"/>
        <v>0</v>
      </c>
    </row>
    <row r="35">
      <c r="A35" s="41">
        <v>31.0</v>
      </c>
      <c r="B35" s="46" t="s">
        <v>2144</v>
      </c>
      <c r="C35" s="46">
        <v>51406.0</v>
      </c>
      <c r="D35" s="46" t="s">
        <v>18</v>
      </c>
      <c r="E35" s="27"/>
      <c r="F35" s="28"/>
      <c r="G35" s="29"/>
      <c r="H35" s="30"/>
      <c r="I35" s="31">
        <v>10000.0</v>
      </c>
      <c r="J35" s="32"/>
      <c r="K35" s="33"/>
      <c r="L35" s="47">
        <v>10000.0</v>
      </c>
      <c r="M35" s="18">
        <f t="shared" si="1"/>
        <v>0</v>
      </c>
    </row>
    <row r="36">
      <c r="A36" s="41">
        <v>32.0</v>
      </c>
      <c r="B36" s="46" t="s">
        <v>2145</v>
      </c>
      <c r="C36" s="46">
        <v>49305.0</v>
      </c>
      <c r="D36" s="46" t="s">
        <v>2146</v>
      </c>
      <c r="E36" s="27"/>
      <c r="F36" s="28"/>
      <c r="G36" s="29"/>
      <c r="H36" s="30">
        <v>3750.0</v>
      </c>
      <c r="I36" s="31"/>
      <c r="J36" s="32"/>
      <c r="K36" s="33"/>
      <c r="L36" s="47">
        <v>3750.0</v>
      </c>
      <c r="M36" s="18">
        <f t="shared" si="1"/>
        <v>0</v>
      </c>
    </row>
    <row r="37">
      <c r="A37" s="41">
        <v>33.0</v>
      </c>
      <c r="B37" s="46" t="s">
        <v>2147</v>
      </c>
      <c r="C37" s="46">
        <v>52032.0</v>
      </c>
      <c r="D37" s="46" t="s">
        <v>233</v>
      </c>
      <c r="E37" s="27"/>
      <c r="F37" s="28"/>
      <c r="G37" s="29"/>
      <c r="H37" s="30">
        <v>350.0</v>
      </c>
      <c r="I37" s="31"/>
      <c r="J37" s="32"/>
      <c r="K37" s="33"/>
      <c r="L37" s="47">
        <v>350.0</v>
      </c>
      <c r="M37" s="18">
        <f t="shared" si="1"/>
        <v>0</v>
      </c>
    </row>
    <row r="38">
      <c r="A38" s="41">
        <v>34.0</v>
      </c>
      <c r="B38" s="46" t="s">
        <v>2148</v>
      </c>
      <c r="C38" s="46">
        <v>54917.0</v>
      </c>
      <c r="D38" s="46" t="s">
        <v>1957</v>
      </c>
      <c r="E38" s="27"/>
      <c r="F38" s="37"/>
      <c r="G38" s="29"/>
      <c r="H38" s="30">
        <v>0.0</v>
      </c>
      <c r="I38" s="31"/>
      <c r="J38" s="32"/>
      <c r="K38" s="33"/>
      <c r="L38" s="47">
        <v>300.0</v>
      </c>
      <c r="M38" s="18">
        <f t="shared" si="1"/>
        <v>-300</v>
      </c>
    </row>
    <row r="39">
      <c r="A39" s="41">
        <v>35.0</v>
      </c>
      <c r="B39" s="46" t="s">
        <v>2149</v>
      </c>
      <c r="C39" s="46">
        <v>52973.0</v>
      </c>
      <c r="D39" s="46" t="s">
        <v>823</v>
      </c>
      <c r="E39" s="38">
        <v>2000.0</v>
      </c>
      <c r="F39" s="28"/>
      <c r="G39" s="29"/>
      <c r="H39" s="30"/>
      <c r="I39" s="31"/>
      <c r="J39" s="35"/>
      <c r="K39" s="33"/>
      <c r="L39" s="47">
        <v>2000.0</v>
      </c>
      <c r="M39" s="18">
        <f t="shared" si="1"/>
        <v>0</v>
      </c>
    </row>
    <row r="40">
      <c r="A40" s="41">
        <v>36.0</v>
      </c>
      <c r="B40" s="46" t="s">
        <v>2150</v>
      </c>
      <c r="C40" s="46">
        <v>43349.0</v>
      </c>
      <c r="D40" s="46" t="s">
        <v>916</v>
      </c>
      <c r="E40" s="27"/>
      <c r="F40" s="37"/>
      <c r="G40" s="29"/>
      <c r="H40" s="30">
        <v>10000.0</v>
      </c>
      <c r="I40" s="36"/>
      <c r="J40" s="32"/>
      <c r="K40" s="33"/>
      <c r="L40" s="47">
        <v>10000.0</v>
      </c>
      <c r="M40" s="18">
        <f t="shared" si="1"/>
        <v>0</v>
      </c>
    </row>
    <row r="41">
      <c r="A41" s="41">
        <v>37.0</v>
      </c>
      <c r="B41" s="46" t="s">
        <v>2151</v>
      </c>
      <c r="C41" s="46">
        <v>49655.0</v>
      </c>
      <c r="D41" s="46" t="s">
        <v>208</v>
      </c>
      <c r="E41" s="27"/>
      <c r="F41" s="28"/>
      <c r="G41" s="29"/>
      <c r="H41" s="30"/>
      <c r="I41" s="31">
        <v>2500.0</v>
      </c>
      <c r="J41" s="35"/>
      <c r="K41" s="33"/>
      <c r="L41" s="47">
        <v>2500.0</v>
      </c>
      <c r="M41" s="18">
        <f t="shared" si="1"/>
        <v>0</v>
      </c>
    </row>
    <row r="42">
      <c r="A42" s="41">
        <v>38.0</v>
      </c>
      <c r="B42" s="46" t="s">
        <v>2152</v>
      </c>
      <c r="C42" s="46">
        <v>48910.0</v>
      </c>
      <c r="D42" s="46" t="s">
        <v>399</v>
      </c>
      <c r="E42" s="27"/>
      <c r="F42" s="28"/>
      <c r="G42" s="29"/>
      <c r="H42" s="30"/>
      <c r="I42" s="31">
        <v>5350.0</v>
      </c>
      <c r="J42" s="35"/>
      <c r="K42" s="33"/>
      <c r="L42" s="47">
        <v>5350.0</v>
      </c>
      <c r="M42" s="18">
        <f t="shared" si="1"/>
        <v>0</v>
      </c>
    </row>
    <row r="43">
      <c r="A43" s="41">
        <v>39.0</v>
      </c>
      <c r="B43" s="46" t="s">
        <v>2153</v>
      </c>
      <c r="C43" s="46">
        <v>55403.0</v>
      </c>
      <c r="D43" s="46" t="s">
        <v>1055</v>
      </c>
      <c r="E43" s="27"/>
      <c r="F43" s="37">
        <v>2500.0</v>
      </c>
      <c r="G43" s="29"/>
      <c r="H43" s="30"/>
      <c r="I43" s="36"/>
      <c r="J43" s="32"/>
      <c r="K43" s="33"/>
      <c r="L43" s="47">
        <v>2500.0</v>
      </c>
      <c r="M43" s="18">
        <f t="shared" si="1"/>
        <v>0</v>
      </c>
    </row>
    <row r="44">
      <c r="A44" s="41">
        <v>40.0</v>
      </c>
      <c r="B44" s="46" t="s">
        <v>2154</v>
      </c>
      <c r="C44" s="46">
        <v>12102.0</v>
      </c>
      <c r="D44" s="46" t="s">
        <v>345</v>
      </c>
      <c r="E44" s="27"/>
      <c r="F44" s="28"/>
      <c r="G44" s="29"/>
      <c r="H44" s="30">
        <v>401.0</v>
      </c>
      <c r="I44" s="31"/>
      <c r="J44" s="32"/>
      <c r="K44" s="33"/>
      <c r="L44" s="47">
        <v>401.0</v>
      </c>
      <c r="M44" s="18">
        <f t="shared" si="1"/>
        <v>0</v>
      </c>
    </row>
    <row r="45">
      <c r="A45" s="41">
        <v>41.0</v>
      </c>
      <c r="B45" s="46" t="s">
        <v>2155</v>
      </c>
      <c r="C45" s="46">
        <v>45937.0</v>
      </c>
      <c r="D45" s="46" t="s">
        <v>337</v>
      </c>
      <c r="E45" s="27"/>
      <c r="F45" s="28"/>
      <c r="G45" s="29"/>
      <c r="H45" s="30">
        <v>1250.0</v>
      </c>
      <c r="I45" s="31"/>
      <c r="J45" s="32"/>
      <c r="K45" s="33"/>
      <c r="L45" s="47">
        <v>1250.0</v>
      </c>
      <c r="M45" s="18">
        <f t="shared" si="1"/>
        <v>0</v>
      </c>
    </row>
    <row r="46">
      <c r="A46" s="41">
        <v>42.0</v>
      </c>
      <c r="B46" s="46" t="s">
        <v>2156</v>
      </c>
      <c r="C46" s="46">
        <v>52032.0</v>
      </c>
      <c r="D46" s="46" t="s">
        <v>233</v>
      </c>
      <c r="E46" s="38"/>
      <c r="F46" s="37"/>
      <c r="G46" s="29"/>
      <c r="H46" s="30">
        <v>200.0</v>
      </c>
      <c r="I46" s="31"/>
      <c r="J46" s="32"/>
      <c r="K46" s="33"/>
      <c r="L46" s="47">
        <v>200.0</v>
      </c>
      <c r="M46" s="18">
        <f t="shared" si="1"/>
        <v>0</v>
      </c>
    </row>
    <row r="47">
      <c r="A47" s="41">
        <v>43.0</v>
      </c>
      <c r="B47" s="46" t="s">
        <v>2157</v>
      </c>
      <c r="C47" s="46">
        <v>52032.0</v>
      </c>
      <c r="D47" s="46" t="s">
        <v>233</v>
      </c>
      <c r="E47" s="38"/>
      <c r="F47" s="37"/>
      <c r="G47" s="29"/>
      <c r="H47" s="30">
        <v>10000.0</v>
      </c>
      <c r="I47" s="31"/>
      <c r="J47" s="32"/>
      <c r="K47" s="33"/>
      <c r="L47" s="47">
        <v>10000.0</v>
      </c>
      <c r="M47" s="18">
        <f t="shared" si="1"/>
        <v>0</v>
      </c>
    </row>
    <row r="48">
      <c r="A48" s="41">
        <v>44.0</v>
      </c>
      <c r="B48" s="46" t="s">
        <v>2158</v>
      </c>
      <c r="C48" s="46">
        <v>24751.0</v>
      </c>
      <c r="D48" s="46" t="s">
        <v>610</v>
      </c>
      <c r="E48" s="27"/>
      <c r="F48" s="28"/>
      <c r="G48" s="29"/>
      <c r="H48" s="30">
        <v>350.0</v>
      </c>
      <c r="I48" s="31"/>
      <c r="J48" s="32"/>
      <c r="K48" s="33"/>
      <c r="L48" s="47">
        <v>350.0</v>
      </c>
      <c r="M48" s="18">
        <f t="shared" si="1"/>
        <v>0</v>
      </c>
    </row>
    <row r="49">
      <c r="A49" s="41">
        <v>45.0</v>
      </c>
      <c r="B49" s="46" t="s">
        <v>2159</v>
      </c>
      <c r="C49" s="46">
        <v>50148.0</v>
      </c>
      <c r="D49" s="46" t="s">
        <v>244</v>
      </c>
      <c r="E49" s="27"/>
      <c r="F49" s="28"/>
      <c r="G49" s="39">
        <v>5000.0</v>
      </c>
      <c r="H49" s="30"/>
      <c r="I49" s="31"/>
      <c r="J49" s="32"/>
      <c r="K49" s="33"/>
      <c r="L49" s="47">
        <v>5000.0</v>
      </c>
      <c r="M49" s="18">
        <f t="shared" si="1"/>
        <v>0</v>
      </c>
    </row>
    <row r="50">
      <c r="A50" s="41">
        <v>46.0</v>
      </c>
      <c r="B50" s="46" t="s">
        <v>2160</v>
      </c>
      <c r="C50" s="46">
        <v>51630.0</v>
      </c>
      <c r="D50" s="46" t="s">
        <v>2161</v>
      </c>
      <c r="E50" s="38">
        <v>300.0</v>
      </c>
      <c r="F50" s="37"/>
      <c r="G50" s="29"/>
      <c r="H50" s="30"/>
      <c r="I50" s="31"/>
      <c r="J50" s="32"/>
      <c r="K50" s="33"/>
      <c r="L50" s="47">
        <v>300.0</v>
      </c>
      <c r="M50" s="18">
        <f t="shared" si="1"/>
        <v>0</v>
      </c>
    </row>
    <row r="51">
      <c r="A51" s="41">
        <v>47.0</v>
      </c>
      <c r="B51" s="46" t="s">
        <v>2162</v>
      </c>
      <c r="C51" s="46">
        <v>21384.0</v>
      </c>
      <c r="D51" s="46" t="s">
        <v>38</v>
      </c>
      <c r="E51" s="27"/>
      <c r="F51" s="37"/>
      <c r="G51" s="29"/>
      <c r="H51" s="30">
        <v>2700.0</v>
      </c>
      <c r="I51" s="31"/>
      <c r="J51" s="32"/>
      <c r="K51" s="33"/>
      <c r="L51" s="47">
        <v>2700.0</v>
      </c>
      <c r="M51" s="18">
        <f t="shared" si="1"/>
        <v>0</v>
      </c>
    </row>
    <row r="52">
      <c r="A52" s="41">
        <v>48.0</v>
      </c>
      <c r="B52" s="46" t="s">
        <v>2163</v>
      </c>
      <c r="C52" s="46">
        <v>50671.0</v>
      </c>
      <c r="D52" s="46" t="s">
        <v>2164</v>
      </c>
      <c r="E52" s="27"/>
      <c r="F52" s="28"/>
      <c r="G52" s="39"/>
      <c r="H52" s="30">
        <v>3600.0</v>
      </c>
      <c r="I52" s="36"/>
      <c r="J52" s="35"/>
      <c r="K52" s="33"/>
      <c r="L52" s="47">
        <v>3600.0</v>
      </c>
      <c r="M52" s="18">
        <f t="shared" si="1"/>
        <v>0</v>
      </c>
    </row>
    <row r="53">
      <c r="A53" s="41">
        <v>49.0</v>
      </c>
      <c r="B53" s="46" t="s">
        <v>2165</v>
      </c>
      <c r="C53" s="46">
        <v>50436.0</v>
      </c>
      <c r="D53" s="46" t="s">
        <v>421</v>
      </c>
      <c r="E53" s="27"/>
      <c r="F53" s="37"/>
      <c r="G53" s="29"/>
      <c r="H53" s="30">
        <v>1250.0</v>
      </c>
      <c r="I53" s="31"/>
      <c r="J53" s="32"/>
      <c r="K53" s="33"/>
      <c r="L53" s="47">
        <v>1250.0</v>
      </c>
      <c r="M53" s="18">
        <f t="shared" si="1"/>
        <v>0</v>
      </c>
    </row>
    <row r="54">
      <c r="A54" s="41">
        <v>50.0</v>
      </c>
      <c r="B54" s="46" t="s">
        <v>2166</v>
      </c>
      <c r="C54" s="46">
        <v>52647.0</v>
      </c>
      <c r="D54" s="46" t="s">
        <v>322</v>
      </c>
      <c r="E54" s="27"/>
      <c r="F54" s="28"/>
      <c r="G54" s="29"/>
      <c r="H54" s="30">
        <v>15000.0</v>
      </c>
      <c r="I54" s="31"/>
      <c r="J54" s="32"/>
      <c r="K54" s="33"/>
      <c r="L54" s="47">
        <v>15000.0</v>
      </c>
      <c r="M54" s="18">
        <f t="shared" si="1"/>
        <v>0</v>
      </c>
    </row>
    <row r="55">
      <c r="A55" s="41">
        <v>51.0</v>
      </c>
      <c r="B55" s="46" t="s">
        <v>2167</v>
      </c>
      <c r="C55" s="46">
        <v>12102.0</v>
      </c>
      <c r="D55" s="46" t="s">
        <v>345</v>
      </c>
      <c r="E55" s="27"/>
      <c r="F55" s="28"/>
      <c r="G55" s="29"/>
      <c r="H55" s="30">
        <v>471.0</v>
      </c>
      <c r="I55" s="31"/>
      <c r="J55" s="32"/>
      <c r="K55" s="33"/>
      <c r="L55" s="47">
        <v>471.0</v>
      </c>
      <c r="M55" s="18">
        <f t="shared" si="1"/>
        <v>0</v>
      </c>
    </row>
    <row r="56">
      <c r="A56" s="41">
        <v>52.0</v>
      </c>
      <c r="B56" s="46" t="s">
        <v>2168</v>
      </c>
      <c r="C56" s="46">
        <v>40494.0</v>
      </c>
      <c r="D56" s="46" t="s">
        <v>575</v>
      </c>
      <c r="E56" s="38">
        <v>7500.0</v>
      </c>
      <c r="F56" s="28"/>
      <c r="G56" s="29"/>
      <c r="H56" s="30"/>
      <c r="I56" s="31"/>
      <c r="J56" s="32"/>
      <c r="K56" s="33"/>
      <c r="L56" s="47">
        <v>7500.0</v>
      </c>
      <c r="M56" s="18">
        <f t="shared" si="1"/>
        <v>0</v>
      </c>
    </row>
    <row r="57">
      <c r="A57" s="41">
        <v>53.0</v>
      </c>
      <c r="B57" s="46" t="s">
        <v>2169</v>
      </c>
      <c r="C57" s="46">
        <v>56433.0</v>
      </c>
      <c r="D57" s="46" t="s">
        <v>2170</v>
      </c>
      <c r="E57" s="27"/>
      <c r="F57" s="37"/>
      <c r="G57" s="29"/>
      <c r="H57" s="30"/>
      <c r="I57" s="31">
        <v>4200.0</v>
      </c>
      <c r="J57" s="32"/>
      <c r="K57" s="33"/>
      <c r="L57" s="47">
        <v>4200.0</v>
      </c>
      <c r="M57" s="18">
        <f t="shared" si="1"/>
        <v>0</v>
      </c>
    </row>
    <row r="58">
      <c r="A58" s="41">
        <v>54.0</v>
      </c>
      <c r="B58" s="46" t="s">
        <v>2171</v>
      </c>
      <c r="C58" s="46">
        <v>56433.0</v>
      </c>
      <c r="D58" s="46" t="s">
        <v>2170</v>
      </c>
      <c r="E58" s="27"/>
      <c r="F58" s="28"/>
      <c r="G58" s="29"/>
      <c r="H58" s="30"/>
      <c r="I58" s="31">
        <v>15000.0</v>
      </c>
      <c r="J58" s="32"/>
      <c r="K58" s="33"/>
      <c r="L58" s="47">
        <v>15000.0</v>
      </c>
      <c r="M58" s="18">
        <f t="shared" si="1"/>
        <v>0</v>
      </c>
    </row>
    <row r="59">
      <c r="A59" s="41">
        <v>55.0</v>
      </c>
      <c r="B59" s="46" t="s">
        <v>2172</v>
      </c>
      <c r="C59" s="46">
        <v>42071.0</v>
      </c>
      <c r="D59" s="46" t="s">
        <v>30</v>
      </c>
      <c r="E59" s="27"/>
      <c r="F59" s="28"/>
      <c r="G59" s="29"/>
      <c r="H59" s="30">
        <v>230.0</v>
      </c>
      <c r="I59" s="31"/>
      <c r="J59" s="32"/>
      <c r="K59" s="33"/>
      <c r="L59" s="47">
        <v>230.0</v>
      </c>
      <c r="M59" s="18">
        <f t="shared" si="1"/>
        <v>0</v>
      </c>
    </row>
    <row r="60">
      <c r="A60" s="41">
        <v>56.0</v>
      </c>
      <c r="B60" s="46" t="s">
        <v>2173</v>
      </c>
      <c r="C60" s="46">
        <v>10001.0</v>
      </c>
      <c r="D60" s="46" t="s">
        <v>218</v>
      </c>
      <c r="E60" s="27"/>
      <c r="F60" s="28"/>
      <c r="G60" s="29"/>
      <c r="H60" s="30">
        <v>5000.0</v>
      </c>
      <c r="I60" s="31"/>
      <c r="J60" s="32"/>
      <c r="K60" s="33"/>
      <c r="L60" s="47">
        <v>5000.0</v>
      </c>
      <c r="M60" s="18">
        <f t="shared" si="1"/>
        <v>0</v>
      </c>
    </row>
    <row r="61">
      <c r="A61" s="41">
        <v>57.0</v>
      </c>
      <c r="B61" s="46" t="s">
        <v>2174</v>
      </c>
      <c r="C61" s="46">
        <v>50439.0</v>
      </c>
      <c r="D61" s="46" t="s">
        <v>2100</v>
      </c>
      <c r="E61" s="38"/>
      <c r="F61" s="37"/>
      <c r="G61" s="29"/>
      <c r="H61" s="30">
        <v>2500.0</v>
      </c>
      <c r="I61" s="31"/>
      <c r="J61" s="32"/>
      <c r="K61" s="33"/>
      <c r="L61" s="47">
        <v>2500.0</v>
      </c>
      <c r="M61" s="18">
        <f t="shared" si="1"/>
        <v>0</v>
      </c>
    </row>
    <row r="62">
      <c r="A62" s="41">
        <v>58.0</v>
      </c>
      <c r="B62" s="46" t="s">
        <v>2175</v>
      </c>
      <c r="C62" s="46">
        <v>10001.0</v>
      </c>
      <c r="D62" s="46" t="s">
        <v>218</v>
      </c>
      <c r="E62" s="38"/>
      <c r="F62" s="28"/>
      <c r="G62" s="39"/>
      <c r="H62" s="30">
        <v>2650.0</v>
      </c>
      <c r="I62" s="31"/>
      <c r="J62" s="35"/>
      <c r="K62" s="33"/>
      <c r="L62" s="47">
        <v>2650.0</v>
      </c>
      <c r="M62" s="18">
        <f t="shared" si="1"/>
        <v>0</v>
      </c>
    </row>
    <row r="63">
      <c r="A63" s="41">
        <v>59.0</v>
      </c>
      <c r="B63" s="46" t="s">
        <v>2176</v>
      </c>
      <c r="C63" s="46">
        <v>36769.0</v>
      </c>
      <c r="D63" s="46" t="s">
        <v>276</v>
      </c>
      <c r="E63" s="27"/>
      <c r="F63" s="28"/>
      <c r="G63" s="29"/>
      <c r="H63" s="30">
        <v>1500.0</v>
      </c>
      <c r="I63" s="31"/>
      <c r="J63" s="32"/>
      <c r="K63" s="33"/>
      <c r="L63" s="47">
        <v>1500.0</v>
      </c>
      <c r="M63" s="18">
        <f t="shared" si="1"/>
        <v>0</v>
      </c>
    </row>
    <row r="64">
      <c r="A64" s="41">
        <v>60.0</v>
      </c>
      <c r="B64" s="46" t="s">
        <v>2177</v>
      </c>
      <c r="C64" s="46">
        <v>36769.0</v>
      </c>
      <c r="D64" s="46" t="s">
        <v>276</v>
      </c>
      <c r="E64" s="38"/>
      <c r="F64" s="37"/>
      <c r="G64" s="29"/>
      <c r="H64" s="30">
        <v>0.0</v>
      </c>
      <c r="I64" s="31"/>
      <c r="J64" s="32"/>
      <c r="K64" s="33"/>
      <c r="L64" s="47">
        <v>600.0</v>
      </c>
      <c r="M64" s="18">
        <f t="shared" si="1"/>
        <v>-600</v>
      </c>
    </row>
    <row r="65">
      <c r="A65" s="41">
        <v>61.0</v>
      </c>
      <c r="B65" s="46" t="s">
        <v>2178</v>
      </c>
      <c r="C65" s="46">
        <v>48136.0</v>
      </c>
      <c r="D65" s="46" t="s">
        <v>508</v>
      </c>
      <c r="E65" s="27"/>
      <c r="F65" s="37"/>
      <c r="G65" s="29"/>
      <c r="H65" s="30">
        <v>10300.0</v>
      </c>
      <c r="I65" s="31"/>
      <c r="J65" s="32"/>
      <c r="K65" s="33"/>
      <c r="L65" s="47">
        <v>10300.0</v>
      </c>
      <c r="M65" s="18">
        <f t="shared" si="1"/>
        <v>0</v>
      </c>
    </row>
    <row r="66">
      <c r="A66" s="41">
        <v>62.0</v>
      </c>
      <c r="B66" s="46" t="s">
        <v>2179</v>
      </c>
      <c r="C66" s="46">
        <v>55403.0</v>
      </c>
      <c r="D66" s="46" t="s">
        <v>1055</v>
      </c>
      <c r="E66" s="27"/>
      <c r="F66" s="37">
        <v>5000.0</v>
      </c>
      <c r="G66" s="29"/>
      <c r="H66" s="30"/>
      <c r="I66" s="36"/>
      <c r="J66" s="32"/>
      <c r="K66" s="33"/>
      <c r="L66" s="47">
        <v>5000.0</v>
      </c>
      <c r="M66" s="18">
        <f t="shared" si="1"/>
        <v>0</v>
      </c>
    </row>
    <row r="67">
      <c r="A67" s="41">
        <v>63.0</v>
      </c>
      <c r="B67" s="46" t="s">
        <v>2180</v>
      </c>
      <c r="C67" s="46">
        <v>30248.0</v>
      </c>
      <c r="D67" s="46" t="s">
        <v>1848</v>
      </c>
      <c r="E67" s="27"/>
      <c r="F67" s="28"/>
      <c r="G67" s="29"/>
      <c r="H67" s="30">
        <v>5000.0</v>
      </c>
      <c r="I67" s="36"/>
      <c r="J67" s="32"/>
      <c r="K67" s="33"/>
      <c r="L67" s="47">
        <v>5000.0</v>
      </c>
      <c r="M67" s="18">
        <f t="shared" si="1"/>
        <v>0</v>
      </c>
    </row>
    <row r="68">
      <c r="A68" s="41">
        <v>64.0</v>
      </c>
      <c r="B68" s="46" t="s">
        <v>2181</v>
      </c>
      <c r="C68" s="46">
        <v>56980.0</v>
      </c>
      <c r="D68" s="46" t="s">
        <v>500</v>
      </c>
      <c r="E68" s="38"/>
      <c r="F68" s="37">
        <v>2500.0</v>
      </c>
      <c r="G68" s="29"/>
      <c r="H68" s="30"/>
      <c r="I68" s="31"/>
      <c r="J68" s="32"/>
      <c r="K68" s="33"/>
      <c r="L68" s="47">
        <v>2500.0</v>
      </c>
      <c r="M68" s="18">
        <f t="shared" si="1"/>
        <v>0</v>
      </c>
    </row>
    <row r="69">
      <c r="A69" s="41">
        <v>65.0</v>
      </c>
      <c r="B69" s="46" t="s">
        <v>2182</v>
      </c>
      <c r="C69" s="46">
        <v>55403.0</v>
      </c>
      <c r="D69" s="46" t="s">
        <v>1055</v>
      </c>
      <c r="E69" s="27"/>
      <c r="F69" s="37">
        <v>5000.0</v>
      </c>
      <c r="G69" s="29"/>
      <c r="H69" s="30"/>
      <c r="I69" s="31"/>
      <c r="J69" s="35"/>
      <c r="K69" s="33"/>
      <c r="L69" s="47">
        <v>5000.0</v>
      </c>
      <c r="M69" s="18">
        <f t="shared" si="1"/>
        <v>0</v>
      </c>
    </row>
    <row r="70">
      <c r="A70" s="41">
        <v>66.0</v>
      </c>
      <c r="B70" s="46" t="s">
        <v>2183</v>
      </c>
      <c r="C70" s="46">
        <v>57320.0</v>
      </c>
      <c r="D70" s="46" t="s">
        <v>2184</v>
      </c>
      <c r="E70" s="38">
        <v>3600.0</v>
      </c>
      <c r="F70" s="28"/>
      <c r="G70" s="29"/>
      <c r="H70" s="30"/>
      <c r="I70" s="31"/>
      <c r="J70" s="32"/>
      <c r="K70" s="33"/>
      <c r="L70" s="47">
        <v>3600.0</v>
      </c>
      <c r="M70" s="18">
        <f t="shared" si="1"/>
        <v>0</v>
      </c>
    </row>
    <row r="71">
      <c r="A71" s="41">
        <v>67.0</v>
      </c>
      <c r="B71" s="46" t="s">
        <v>2185</v>
      </c>
      <c r="C71" s="46">
        <v>55409.0</v>
      </c>
      <c r="D71" s="46" t="s">
        <v>945</v>
      </c>
      <c r="E71" s="38">
        <v>17500.0</v>
      </c>
      <c r="F71" s="37"/>
      <c r="G71" s="29"/>
      <c r="H71" s="30"/>
      <c r="I71" s="31"/>
      <c r="J71" s="32"/>
      <c r="K71" s="33"/>
      <c r="L71" s="47">
        <v>17500.0</v>
      </c>
      <c r="M71" s="18">
        <f t="shared" si="1"/>
        <v>0</v>
      </c>
    </row>
    <row r="72">
      <c r="A72" s="41">
        <v>68.0</v>
      </c>
      <c r="B72" s="46" t="s">
        <v>2186</v>
      </c>
      <c r="C72" s="46">
        <v>21818.0</v>
      </c>
      <c r="D72" s="46" t="s">
        <v>69</v>
      </c>
      <c r="E72" s="38"/>
      <c r="F72" s="37"/>
      <c r="G72" s="29"/>
      <c r="H72" s="30"/>
      <c r="I72" s="31"/>
      <c r="J72" s="35">
        <v>1450.0</v>
      </c>
      <c r="K72" s="33"/>
      <c r="L72" s="47">
        <v>1450.0</v>
      </c>
      <c r="M72" s="18">
        <f t="shared" si="1"/>
        <v>0</v>
      </c>
    </row>
    <row r="73">
      <c r="A73" s="41">
        <v>69.0</v>
      </c>
      <c r="B73" s="46" t="s">
        <v>2187</v>
      </c>
      <c r="C73" s="46">
        <v>57499.0</v>
      </c>
      <c r="D73" s="46" t="s">
        <v>2188</v>
      </c>
      <c r="E73" s="27"/>
      <c r="F73" s="37">
        <v>2500.0</v>
      </c>
      <c r="G73" s="29"/>
      <c r="H73" s="30"/>
      <c r="I73" s="31"/>
      <c r="J73" s="32"/>
      <c r="K73" s="33"/>
      <c r="L73" s="47">
        <v>2500.0</v>
      </c>
      <c r="M73" s="18">
        <f t="shared" si="1"/>
        <v>0</v>
      </c>
    </row>
    <row r="74">
      <c r="A74" s="41">
        <v>70.0</v>
      </c>
      <c r="B74" s="46" t="s">
        <v>2189</v>
      </c>
      <c r="C74" s="46">
        <v>21971.0</v>
      </c>
      <c r="D74" s="46" t="s">
        <v>220</v>
      </c>
      <c r="E74" s="27"/>
      <c r="F74" s="37">
        <v>7000.0</v>
      </c>
      <c r="G74" s="29"/>
      <c r="H74" s="30"/>
      <c r="I74" s="31"/>
      <c r="J74" s="32"/>
      <c r="K74" s="33"/>
      <c r="L74" s="47">
        <v>7000.0</v>
      </c>
      <c r="M74" s="18">
        <f t="shared" si="1"/>
        <v>0</v>
      </c>
    </row>
    <row r="75">
      <c r="A75" s="41">
        <v>71.0</v>
      </c>
      <c r="B75" s="46" t="s">
        <v>2190</v>
      </c>
      <c r="C75" s="46">
        <v>50436.0</v>
      </c>
      <c r="D75" s="46" t="s">
        <v>421</v>
      </c>
      <c r="E75" s="27"/>
      <c r="F75" s="37">
        <v>18000.0</v>
      </c>
      <c r="G75" s="29"/>
      <c r="H75" s="30"/>
      <c r="I75" s="31"/>
      <c r="J75" s="32"/>
      <c r="K75" s="33"/>
      <c r="L75" s="47">
        <v>18000.0</v>
      </c>
      <c r="M75" s="18">
        <f t="shared" si="1"/>
        <v>0</v>
      </c>
    </row>
    <row r="76">
      <c r="A76" s="41">
        <v>72.0</v>
      </c>
      <c r="B76" s="46" t="s">
        <v>2191</v>
      </c>
      <c r="C76" s="46">
        <v>21971.0</v>
      </c>
      <c r="D76" s="46" t="s">
        <v>220</v>
      </c>
      <c r="E76" s="38">
        <v>200.0</v>
      </c>
      <c r="F76" s="37"/>
      <c r="G76" s="29"/>
      <c r="H76" s="30"/>
      <c r="I76" s="31"/>
      <c r="J76" s="32"/>
      <c r="K76" s="33"/>
      <c r="L76" s="47">
        <v>200.0</v>
      </c>
      <c r="M76" s="18">
        <f t="shared" si="1"/>
        <v>0</v>
      </c>
    </row>
    <row r="77">
      <c r="A77" s="41">
        <v>73.0</v>
      </c>
      <c r="B77" s="46" t="s">
        <v>2192</v>
      </c>
      <c r="C77" s="46">
        <v>57777.0</v>
      </c>
      <c r="D77" s="46" t="s">
        <v>2193</v>
      </c>
      <c r="E77" s="27"/>
      <c r="F77" s="37">
        <v>4330.0</v>
      </c>
      <c r="G77" s="29"/>
      <c r="H77" s="30"/>
      <c r="I77" s="31"/>
      <c r="J77" s="32"/>
      <c r="K77" s="33"/>
      <c r="L77" s="47">
        <v>4330.0</v>
      </c>
      <c r="M77" s="18">
        <f t="shared" si="1"/>
        <v>0</v>
      </c>
    </row>
    <row r="78">
      <c r="A78" s="41">
        <v>74.0</v>
      </c>
      <c r="B78" s="46" t="s">
        <v>2194</v>
      </c>
      <c r="C78" s="46">
        <v>56980.0</v>
      </c>
      <c r="D78" s="46" t="s">
        <v>500</v>
      </c>
      <c r="E78" s="27"/>
      <c r="F78" s="37">
        <v>18000.0</v>
      </c>
      <c r="G78" s="29"/>
      <c r="H78" s="30"/>
      <c r="I78" s="31"/>
      <c r="J78" s="32"/>
      <c r="K78" s="33"/>
      <c r="L78" s="47">
        <v>18000.0</v>
      </c>
      <c r="M78" s="18">
        <f t="shared" si="1"/>
        <v>0</v>
      </c>
    </row>
    <row r="79">
      <c r="A79" s="41">
        <v>75.0</v>
      </c>
      <c r="B79" s="46" t="s">
        <v>2195</v>
      </c>
      <c r="C79" s="46">
        <v>53455.0</v>
      </c>
      <c r="D79" s="46" t="s">
        <v>65</v>
      </c>
      <c r="E79" s="27"/>
      <c r="F79" s="37">
        <v>1450.0</v>
      </c>
      <c r="G79" s="39"/>
      <c r="H79" s="30"/>
      <c r="I79" s="31"/>
      <c r="J79" s="32"/>
      <c r="K79" s="33"/>
      <c r="L79" s="47">
        <v>1450.0</v>
      </c>
      <c r="M79" s="18">
        <f t="shared" si="1"/>
        <v>0</v>
      </c>
    </row>
    <row r="80">
      <c r="A80" s="41">
        <v>76.0</v>
      </c>
      <c r="B80" s="46" t="s">
        <v>2196</v>
      </c>
      <c r="C80" s="46">
        <v>56387.0</v>
      </c>
      <c r="D80" s="46" t="s">
        <v>811</v>
      </c>
      <c r="E80" s="27"/>
      <c r="F80" s="28"/>
      <c r="G80" s="29"/>
      <c r="H80" s="30"/>
      <c r="I80" s="31">
        <v>58400.0</v>
      </c>
      <c r="J80" s="32"/>
      <c r="K80" s="33"/>
      <c r="L80" s="47">
        <v>58400.0</v>
      </c>
      <c r="M80" s="18">
        <f t="shared" si="1"/>
        <v>0</v>
      </c>
    </row>
    <row r="81">
      <c r="A81" s="41">
        <v>77.0</v>
      </c>
      <c r="B81" s="46" t="s">
        <v>2197</v>
      </c>
      <c r="C81" s="46">
        <v>54709.0</v>
      </c>
      <c r="D81" s="46" t="s">
        <v>2198</v>
      </c>
      <c r="E81" s="38">
        <v>500.0</v>
      </c>
      <c r="F81" s="28"/>
      <c r="G81" s="29"/>
      <c r="H81" s="30"/>
      <c r="I81" s="31"/>
      <c r="J81" s="32"/>
      <c r="K81" s="33"/>
      <c r="L81" s="47">
        <v>500.0</v>
      </c>
      <c r="M81" s="18">
        <f t="shared" si="1"/>
        <v>0</v>
      </c>
    </row>
    <row r="82">
      <c r="A82" s="41">
        <v>78.0</v>
      </c>
      <c r="B82" s="46" t="s">
        <v>2199</v>
      </c>
      <c r="C82" s="46">
        <v>56980.0</v>
      </c>
      <c r="D82" s="46" t="s">
        <v>500</v>
      </c>
      <c r="E82" s="27"/>
      <c r="F82" s="28"/>
      <c r="G82" s="39"/>
      <c r="H82" s="30"/>
      <c r="I82" s="31"/>
      <c r="J82" s="35">
        <v>300.0</v>
      </c>
      <c r="K82" s="33"/>
      <c r="L82" s="47">
        <v>300.0</v>
      </c>
      <c r="M82" s="18">
        <f t="shared" si="1"/>
        <v>0</v>
      </c>
    </row>
    <row r="83">
      <c r="A83" s="41">
        <v>79.0</v>
      </c>
      <c r="B83" s="46" t="s">
        <v>2200</v>
      </c>
      <c r="C83" s="46">
        <v>51017.0</v>
      </c>
      <c r="D83" s="46" t="s">
        <v>659</v>
      </c>
      <c r="E83" s="27"/>
      <c r="F83" s="28"/>
      <c r="G83" s="39">
        <v>60000.0</v>
      </c>
      <c r="H83" s="30"/>
      <c r="I83" s="31"/>
      <c r="J83" s="32"/>
      <c r="K83" s="33"/>
      <c r="L83" s="47">
        <v>60000.0</v>
      </c>
      <c r="M83" s="18">
        <f t="shared" si="1"/>
        <v>0</v>
      </c>
    </row>
    <row r="84">
      <c r="A84" s="41">
        <v>80.0</v>
      </c>
      <c r="B84" s="46" t="s">
        <v>2201</v>
      </c>
      <c r="C84" s="46">
        <v>49918.0</v>
      </c>
      <c r="D84" s="46" t="s">
        <v>114</v>
      </c>
      <c r="E84" s="27"/>
      <c r="F84" s="28"/>
      <c r="G84" s="39">
        <v>1050.0</v>
      </c>
      <c r="H84" s="30"/>
      <c r="I84" s="31"/>
      <c r="J84" s="32"/>
      <c r="K84" s="33"/>
      <c r="L84" s="47">
        <v>1050.0</v>
      </c>
      <c r="M84" s="18">
        <f t="shared" si="1"/>
        <v>0</v>
      </c>
    </row>
    <row r="85">
      <c r="A85" s="41">
        <v>81.0</v>
      </c>
      <c r="B85" s="46" t="s">
        <v>2202</v>
      </c>
      <c r="C85" s="46">
        <v>12102.0</v>
      </c>
      <c r="D85" s="46" t="s">
        <v>345</v>
      </c>
      <c r="E85" s="27"/>
      <c r="F85" s="28"/>
      <c r="G85" s="39">
        <v>6950.0</v>
      </c>
      <c r="H85" s="30"/>
      <c r="I85" s="31"/>
      <c r="J85" s="32"/>
      <c r="K85" s="33"/>
      <c r="L85" s="47">
        <v>6950.0</v>
      </c>
      <c r="M85" s="18">
        <f t="shared" si="1"/>
        <v>0</v>
      </c>
    </row>
    <row r="86">
      <c r="A86" s="41">
        <v>82.0</v>
      </c>
      <c r="B86" s="46" t="s">
        <v>2203</v>
      </c>
      <c r="C86" s="46">
        <v>51166.0</v>
      </c>
      <c r="D86" s="46" t="s">
        <v>370</v>
      </c>
      <c r="E86" s="27"/>
      <c r="F86" s="28"/>
      <c r="G86" s="39">
        <v>10000.0</v>
      </c>
      <c r="H86" s="30"/>
      <c r="I86" s="31"/>
      <c r="J86" s="35"/>
      <c r="K86" s="33"/>
      <c r="L86" s="47">
        <v>10000.0</v>
      </c>
      <c r="M86" s="18">
        <f t="shared" si="1"/>
        <v>0</v>
      </c>
    </row>
    <row r="87">
      <c r="A87" s="41">
        <v>83.0</v>
      </c>
      <c r="B87" s="46" t="s">
        <v>2204</v>
      </c>
      <c r="C87" s="46">
        <v>21818.0</v>
      </c>
      <c r="D87" s="46" t="s">
        <v>69</v>
      </c>
      <c r="E87" s="27"/>
      <c r="F87" s="28"/>
      <c r="G87" s="29"/>
      <c r="H87" s="30"/>
      <c r="I87" s="31"/>
      <c r="J87" s="35">
        <v>3600.0</v>
      </c>
      <c r="K87" s="33"/>
      <c r="L87" s="47">
        <v>3600.0</v>
      </c>
      <c r="M87" s="18">
        <f t="shared" si="1"/>
        <v>0</v>
      </c>
    </row>
    <row r="88">
      <c r="A88" s="41">
        <v>84.0</v>
      </c>
      <c r="B88" s="46" t="s">
        <v>2205</v>
      </c>
      <c r="C88" s="46">
        <v>38299.0</v>
      </c>
      <c r="D88" s="46" t="s">
        <v>2206</v>
      </c>
      <c r="E88" s="27"/>
      <c r="F88" s="28"/>
      <c r="G88" s="29"/>
      <c r="H88" s="30"/>
      <c r="I88" s="31"/>
      <c r="J88" s="35">
        <v>3600.0</v>
      </c>
      <c r="K88" s="33"/>
      <c r="L88" s="47">
        <v>3600.0</v>
      </c>
      <c r="M88" s="18">
        <f t="shared" si="1"/>
        <v>0</v>
      </c>
    </row>
    <row r="89">
      <c r="A89" s="41"/>
      <c r="B89" s="45"/>
      <c r="C89" s="45"/>
      <c r="D89" s="44"/>
      <c r="E89" s="22">
        <f t="shared" ref="E89:J89" si="2">SUM(E5:E88)</f>
        <v>41930</v>
      </c>
      <c r="F89" s="22">
        <f t="shared" si="2"/>
        <v>68780</v>
      </c>
      <c r="G89" s="22">
        <f t="shared" si="2"/>
        <v>83000</v>
      </c>
      <c r="H89" s="22">
        <f t="shared" si="2"/>
        <v>326037</v>
      </c>
      <c r="I89" s="22">
        <f t="shared" si="2"/>
        <v>178027</v>
      </c>
      <c r="J89" s="22">
        <f t="shared" si="2"/>
        <v>8950</v>
      </c>
      <c r="K89" s="22">
        <f>SUM(K24:K88)</f>
        <v>0</v>
      </c>
      <c r="L89" s="22">
        <f t="shared" ref="L89:M89" si="3">SUM(L5:L88)</f>
        <v>707624</v>
      </c>
      <c r="M89" s="18">
        <f t="shared" si="3"/>
        <v>-900</v>
      </c>
    </row>
    <row r="90">
      <c r="A90" s="23"/>
      <c r="B90" s="23"/>
      <c r="C90" s="23"/>
      <c r="D90" s="23"/>
      <c r="E90" s="24">
        <f>SUM(K89:M89)</f>
        <v>706724</v>
      </c>
      <c r="F90" s="6"/>
      <c r="G90" s="6"/>
      <c r="H90" s="6"/>
      <c r="I90" s="6"/>
      <c r="J90" s="6"/>
      <c r="K90" s="7"/>
      <c r="L90" s="25"/>
      <c r="M90" s="23"/>
    </row>
    <row r="91">
      <c r="L91" s="40" t="s">
        <v>254</v>
      </c>
    </row>
  </sheetData>
  <mergeCells count="14">
    <mergeCell ref="F3:G3"/>
    <mergeCell ref="H3:I3"/>
    <mergeCell ref="J3:J4"/>
    <mergeCell ref="K3:K4"/>
    <mergeCell ref="E90:K90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5"/>
    <col customWidth="1" min="2" max="2" width="24.75"/>
    <col customWidth="1" min="4" max="4" width="43.25"/>
    <col customWidth="1" min="5" max="5" width="9.5"/>
  </cols>
  <sheetData>
    <row r="1">
      <c r="A1" s="1" t="s">
        <v>2207</v>
      </c>
    </row>
    <row r="2">
      <c r="A2" s="2" t="s">
        <v>1</v>
      </c>
      <c r="B2" s="3" t="s">
        <v>2</v>
      </c>
      <c r="C2" s="2" t="s">
        <v>3</v>
      </c>
      <c r="D2" s="4" t="s">
        <v>4</v>
      </c>
      <c r="E2" s="5" t="s">
        <v>5</v>
      </c>
      <c r="F2" s="6"/>
      <c r="G2" s="6"/>
      <c r="H2" s="6"/>
      <c r="I2" s="6"/>
      <c r="J2" s="6"/>
      <c r="K2" s="6"/>
      <c r="L2" s="6"/>
      <c r="M2" s="7"/>
    </row>
    <row r="3">
      <c r="A3" s="8"/>
      <c r="B3" s="8"/>
      <c r="C3" s="8"/>
      <c r="D3" s="8"/>
      <c r="E3" s="2" t="s">
        <v>6</v>
      </c>
      <c r="F3" s="5" t="s">
        <v>7</v>
      </c>
      <c r="G3" s="7"/>
      <c r="H3" s="5" t="s">
        <v>8</v>
      </c>
      <c r="I3" s="7"/>
      <c r="J3" s="2" t="s">
        <v>9</v>
      </c>
      <c r="K3" s="4" t="s">
        <v>10</v>
      </c>
      <c r="L3" s="2" t="s">
        <v>11</v>
      </c>
      <c r="M3" s="2" t="s">
        <v>12</v>
      </c>
    </row>
    <row r="4">
      <c r="A4" s="9"/>
      <c r="B4" s="9"/>
      <c r="C4" s="9"/>
      <c r="D4" s="9"/>
      <c r="E4" s="9"/>
      <c r="F4" s="10" t="s">
        <v>13</v>
      </c>
      <c r="G4" s="10" t="s">
        <v>14</v>
      </c>
      <c r="H4" s="10" t="s">
        <v>15</v>
      </c>
      <c r="I4" s="11" t="s">
        <v>16</v>
      </c>
      <c r="J4" s="9"/>
      <c r="K4" s="9"/>
      <c r="L4" s="9"/>
      <c r="M4" s="9"/>
    </row>
    <row r="5">
      <c r="A5" s="41">
        <v>1.0</v>
      </c>
      <c r="B5" s="53" t="s">
        <v>2208</v>
      </c>
      <c r="C5" s="53">
        <v>50436.0</v>
      </c>
      <c r="D5" s="53" t="s">
        <v>421</v>
      </c>
      <c r="E5" s="27"/>
      <c r="F5" s="28"/>
      <c r="G5" s="29"/>
      <c r="H5" s="30">
        <v>1200.0</v>
      </c>
      <c r="I5" s="31"/>
      <c r="J5" s="32"/>
      <c r="K5" s="33"/>
      <c r="L5" s="17">
        <v>1200.0</v>
      </c>
      <c r="M5" s="18">
        <f t="shared" ref="M5:M88" si="1">SUM(E5+F5+G5+H5+I5+J5+K5-L5)</f>
        <v>0</v>
      </c>
    </row>
    <row r="6">
      <c r="A6" s="41">
        <v>2.0</v>
      </c>
      <c r="B6" s="53" t="s">
        <v>2209</v>
      </c>
      <c r="C6" s="53">
        <v>50436.0</v>
      </c>
      <c r="D6" s="53" t="s">
        <v>421</v>
      </c>
      <c r="E6" s="27"/>
      <c r="F6" s="37">
        <v>18000.0</v>
      </c>
      <c r="G6" s="29"/>
      <c r="H6" s="30"/>
      <c r="I6" s="31"/>
      <c r="J6" s="35"/>
      <c r="K6" s="33"/>
      <c r="L6" s="17">
        <v>18000.0</v>
      </c>
      <c r="M6" s="18">
        <f t="shared" si="1"/>
        <v>0</v>
      </c>
    </row>
    <row r="7">
      <c r="A7" s="41">
        <v>3.0</v>
      </c>
      <c r="B7" s="53" t="s">
        <v>2210</v>
      </c>
      <c r="C7" s="53">
        <v>10001.0</v>
      </c>
      <c r="D7" s="53" t="s">
        <v>218</v>
      </c>
      <c r="E7" s="27"/>
      <c r="F7" s="37"/>
      <c r="G7" s="29"/>
      <c r="H7" s="30"/>
      <c r="I7" s="31">
        <v>300.0</v>
      </c>
      <c r="J7" s="35"/>
      <c r="K7" s="33"/>
      <c r="L7" s="17">
        <v>300.0</v>
      </c>
      <c r="M7" s="18">
        <f t="shared" si="1"/>
        <v>0</v>
      </c>
    </row>
    <row r="8">
      <c r="A8" s="41">
        <v>4.0</v>
      </c>
      <c r="B8" s="53" t="s">
        <v>2211</v>
      </c>
      <c r="C8" s="53">
        <v>50871.0</v>
      </c>
      <c r="D8" s="53" t="s">
        <v>105</v>
      </c>
      <c r="E8" s="27"/>
      <c r="F8" s="28"/>
      <c r="G8" s="29"/>
      <c r="H8" s="30">
        <v>40700.0</v>
      </c>
      <c r="I8" s="31"/>
      <c r="J8" s="35"/>
      <c r="K8" s="33"/>
      <c r="L8" s="17">
        <v>40700.0</v>
      </c>
      <c r="M8" s="18">
        <f t="shared" si="1"/>
        <v>0</v>
      </c>
    </row>
    <row r="9">
      <c r="A9" s="41">
        <v>5.0</v>
      </c>
      <c r="B9" s="53" t="s">
        <v>2212</v>
      </c>
      <c r="C9" s="53">
        <v>48657.0</v>
      </c>
      <c r="D9" s="53" t="s">
        <v>1663</v>
      </c>
      <c r="E9" s="38"/>
      <c r="F9" s="28"/>
      <c r="G9" s="29"/>
      <c r="H9" s="30">
        <v>1750.0</v>
      </c>
      <c r="I9" s="31"/>
      <c r="J9" s="35"/>
      <c r="K9" s="33"/>
      <c r="L9" s="17">
        <v>1750.0</v>
      </c>
      <c r="M9" s="18">
        <f t="shared" si="1"/>
        <v>0</v>
      </c>
    </row>
    <row r="10">
      <c r="A10" s="41">
        <v>6.0</v>
      </c>
      <c r="B10" s="53" t="s">
        <v>2213</v>
      </c>
      <c r="C10" s="53">
        <v>48967.0</v>
      </c>
      <c r="D10" s="53" t="s">
        <v>88</v>
      </c>
      <c r="E10" s="38"/>
      <c r="F10" s="28"/>
      <c r="G10" s="29"/>
      <c r="H10" s="30"/>
      <c r="I10" s="31">
        <v>5350.0</v>
      </c>
      <c r="J10" s="35"/>
      <c r="K10" s="33"/>
      <c r="L10" s="17">
        <v>5350.0</v>
      </c>
      <c r="M10" s="18">
        <f t="shared" si="1"/>
        <v>0</v>
      </c>
    </row>
    <row r="11">
      <c r="A11" s="41">
        <v>7.0</v>
      </c>
      <c r="B11" s="53" t="s">
        <v>2214</v>
      </c>
      <c r="C11" s="53">
        <v>48131.0</v>
      </c>
      <c r="D11" s="53" t="s">
        <v>2215</v>
      </c>
      <c r="E11" s="27"/>
      <c r="F11" s="28"/>
      <c r="G11" s="29"/>
      <c r="H11" s="30">
        <v>2500.0</v>
      </c>
      <c r="I11" s="31"/>
      <c r="J11" s="35"/>
      <c r="K11" s="33"/>
      <c r="L11" s="17">
        <v>2500.0</v>
      </c>
      <c r="M11" s="18">
        <f t="shared" si="1"/>
        <v>0</v>
      </c>
    </row>
    <row r="12">
      <c r="A12" s="41">
        <v>8.0</v>
      </c>
      <c r="B12" s="53" t="s">
        <v>2216</v>
      </c>
      <c r="C12" s="53">
        <v>10001.0</v>
      </c>
      <c r="D12" s="53" t="s">
        <v>218</v>
      </c>
      <c r="E12" s="27"/>
      <c r="F12" s="28"/>
      <c r="G12" s="29"/>
      <c r="H12" s="30"/>
      <c r="I12" s="31">
        <v>17000.0</v>
      </c>
      <c r="J12" s="35"/>
      <c r="K12" s="33"/>
      <c r="L12" s="17">
        <v>17000.0</v>
      </c>
      <c r="M12" s="18">
        <f t="shared" si="1"/>
        <v>0</v>
      </c>
    </row>
    <row r="13">
      <c r="A13" s="41">
        <v>9.0</v>
      </c>
      <c r="B13" s="53" t="s">
        <v>2217</v>
      </c>
      <c r="C13" s="53">
        <v>45096.0</v>
      </c>
      <c r="D13" s="53" t="s">
        <v>290</v>
      </c>
      <c r="E13" s="27"/>
      <c r="F13" s="28"/>
      <c r="G13" s="29"/>
      <c r="H13" s="30">
        <v>7640.0</v>
      </c>
      <c r="I13" s="31"/>
      <c r="J13" s="35"/>
      <c r="K13" s="33"/>
      <c r="L13" s="17">
        <v>7640.0</v>
      </c>
      <c r="M13" s="18">
        <f t="shared" si="1"/>
        <v>0</v>
      </c>
    </row>
    <row r="14">
      <c r="A14" s="41">
        <v>10.0</v>
      </c>
      <c r="B14" s="53" t="s">
        <v>2218</v>
      </c>
      <c r="C14" s="53">
        <v>45096.0</v>
      </c>
      <c r="D14" s="53" t="s">
        <v>290</v>
      </c>
      <c r="E14" s="27"/>
      <c r="F14" s="28"/>
      <c r="G14" s="29"/>
      <c r="H14" s="30">
        <v>4850.0</v>
      </c>
      <c r="I14" s="31"/>
      <c r="J14" s="35"/>
      <c r="K14" s="33"/>
      <c r="L14" s="17">
        <v>4850.0</v>
      </c>
      <c r="M14" s="18">
        <f t="shared" si="1"/>
        <v>0</v>
      </c>
    </row>
    <row r="15">
      <c r="A15" s="41">
        <v>11.0</v>
      </c>
      <c r="B15" s="53" t="s">
        <v>2219</v>
      </c>
      <c r="C15" s="53">
        <v>50342.0</v>
      </c>
      <c r="D15" s="53" t="s">
        <v>146</v>
      </c>
      <c r="E15" s="27"/>
      <c r="F15" s="28"/>
      <c r="G15" s="29"/>
      <c r="H15" s="30">
        <v>116.0</v>
      </c>
      <c r="I15" s="31"/>
      <c r="J15" s="35"/>
      <c r="K15" s="33"/>
      <c r="L15" s="17">
        <v>116.0</v>
      </c>
      <c r="M15" s="18">
        <f t="shared" si="1"/>
        <v>0</v>
      </c>
    </row>
    <row r="16">
      <c r="A16" s="41">
        <v>12.0</v>
      </c>
      <c r="B16" s="53" t="s">
        <v>2220</v>
      </c>
      <c r="C16" s="53">
        <v>45096.0</v>
      </c>
      <c r="D16" s="53" t="s">
        <v>290</v>
      </c>
      <c r="E16" s="27"/>
      <c r="F16" s="28"/>
      <c r="G16" s="29"/>
      <c r="H16" s="30">
        <v>14880.0</v>
      </c>
      <c r="I16" s="31"/>
      <c r="J16" s="35"/>
      <c r="K16" s="33"/>
      <c r="L16" s="17">
        <v>14880.0</v>
      </c>
      <c r="M16" s="18">
        <f t="shared" si="1"/>
        <v>0</v>
      </c>
    </row>
    <row r="17">
      <c r="A17" s="41">
        <v>13.0</v>
      </c>
      <c r="B17" s="53" t="s">
        <v>2221</v>
      </c>
      <c r="C17" s="53">
        <v>35245.0</v>
      </c>
      <c r="D17" s="53" t="s">
        <v>34</v>
      </c>
      <c r="E17" s="27"/>
      <c r="F17" s="28"/>
      <c r="G17" s="29"/>
      <c r="H17" s="30"/>
      <c r="I17" s="31"/>
      <c r="J17" s="35">
        <v>10000.0</v>
      </c>
      <c r="K17" s="33"/>
      <c r="L17" s="17">
        <v>10000.0</v>
      </c>
      <c r="M17" s="18">
        <f t="shared" si="1"/>
        <v>0</v>
      </c>
    </row>
    <row r="18">
      <c r="A18" s="41">
        <v>14.0</v>
      </c>
      <c r="B18" s="53" t="s">
        <v>2222</v>
      </c>
      <c r="C18" s="53">
        <v>49953.0</v>
      </c>
      <c r="D18" s="53" t="s">
        <v>1821</v>
      </c>
      <c r="E18" s="27"/>
      <c r="F18" s="28"/>
      <c r="G18" s="29"/>
      <c r="H18" s="30">
        <v>177.0</v>
      </c>
      <c r="I18" s="31"/>
      <c r="J18" s="35"/>
      <c r="K18" s="33"/>
      <c r="L18" s="17">
        <v>177.0</v>
      </c>
      <c r="M18" s="18">
        <f t="shared" si="1"/>
        <v>0</v>
      </c>
    </row>
    <row r="19">
      <c r="A19" s="41">
        <v>15.0</v>
      </c>
      <c r="B19" s="53" t="s">
        <v>2223</v>
      </c>
      <c r="C19" s="53">
        <v>55992.0</v>
      </c>
      <c r="D19" s="53" t="s">
        <v>2224</v>
      </c>
      <c r="E19" s="38"/>
      <c r="F19" s="37">
        <v>6540.0</v>
      </c>
      <c r="G19" s="29"/>
      <c r="H19" s="30"/>
      <c r="I19" s="31"/>
      <c r="J19" s="35"/>
      <c r="K19" s="33"/>
      <c r="L19" s="17">
        <v>6540.0</v>
      </c>
      <c r="M19" s="18">
        <f t="shared" si="1"/>
        <v>0</v>
      </c>
    </row>
    <row r="20">
      <c r="A20" s="41">
        <v>16.0</v>
      </c>
      <c r="B20" s="53" t="s">
        <v>2225</v>
      </c>
      <c r="C20" s="53">
        <v>52206.0</v>
      </c>
      <c r="D20" s="53" t="s">
        <v>1419</v>
      </c>
      <c r="E20" s="27"/>
      <c r="F20" s="28"/>
      <c r="G20" s="29"/>
      <c r="H20" s="30">
        <v>700.0</v>
      </c>
      <c r="I20" s="31"/>
      <c r="J20" s="35"/>
      <c r="K20" s="33"/>
      <c r="L20" s="17">
        <v>700.0</v>
      </c>
      <c r="M20" s="18">
        <f t="shared" si="1"/>
        <v>0</v>
      </c>
    </row>
    <row r="21">
      <c r="A21" s="41">
        <v>17.0</v>
      </c>
      <c r="B21" s="53" t="s">
        <v>2226</v>
      </c>
      <c r="C21" s="53">
        <v>51040.0</v>
      </c>
      <c r="D21" s="53" t="s">
        <v>196</v>
      </c>
      <c r="E21" s="27"/>
      <c r="F21" s="37">
        <v>550.0</v>
      </c>
      <c r="G21" s="29"/>
      <c r="H21" s="30"/>
      <c r="I21" s="31"/>
      <c r="J21" s="35"/>
      <c r="K21" s="33"/>
      <c r="L21" s="17">
        <v>550.0</v>
      </c>
      <c r="M21" s="18">
        <f t="shared" si="1"/>
        <v>0</v>
      </c>
    </row>
    <row r="22">
      <c r="A22" s="41">
        <v>18.0</v>
      </c>
      <c r="B22" s="53" t="s">
        <v>2227</v>
      </c>
      <c r="C22" s="53">
        <v>10001.0</v>
      </c>
      <c r="D22" s="53" t="s">
        <v>218</v>
      </c>
      <c r="E22" s="27"/>
      <c r="F22" s="28"/>
      <c r="G22" s="29"/>
      <c r="H22" s="30">
        <v>2650.0</v>
      </c>
      <c r="I22" s="31"/>
      <c r="J22" s="35"/>
      <c r="K22" s="33"/>
      <c r="L22" s="17">
        <v>2650.0</v>
      </c>
      <c r="M22" s="18">
        <f t="shared" si="1"/>
        <v>0</v>
      </c>
    </row>
    <row r="23">
      <c r="A23" s="41">
        <v>19.0</v>
      </c>
      <c r="B23" s="53" t="s">
        <v>2228</v>
      </c>
      <c r="C23" s="53">
        <v>21818.0</v>
      </c>
      <c r="D23" s="53" t="s">
        <v>69</v>
      </c>
      <c r="E23" s="27"/>
      <c r="F23" s="37"/>
      <c r="G23" s="29"/>
      <c r="H23" s="30"/>
      <c r="I23" s="31"/>
      <c r="J23" s="35">
        <v>5000.0</v>
      </c>
      <c r="K23" s="33"/>
      <c r="L23" s="17">
        <v>5000.0</v>
      </c>
      <c r="M23" s="18">
        <f t="shared" si="1"/>
        <v>0</v>
      </c>
    </row>
    <row r="24">
      <c r="A24" s="41">
        <v>20.0</v>
      </c>
      <c r="B24" s="53" t="s">
        <v>2229</v>
      </c>
      <c r="C24" s="53">
        <v>21818.0</v>
      </c>
      <c r="D24" s="53" t="s">
        <v>69</v>
      </c>
      <c r="E24" s="38"/>
      <c r="F24" s="28"/>
      <c r="G24" s="29"/>
      <c r="H24" s="30"/>
      <c r="I24" s="31"/>
      <c r="J24" s="35">
        <v>5000.0</v>
      </c>
      <c r="K24" s="33"/>
      <c r="L24" s="17">
        <v>5000.0</v>
      </c>
      <c r="M24" s="18">
        <f t="shared" si="1"/>
        <v>0</v>
      </c>
    </row>
    <row r="25">
      <c r="A25" s="41">
        <v>21.0</v>
      </c>
      <c r="B25" s="53" t="s">
        <v>2230</v>
      </c>
      <c r="C25" s="53">
        <v>54212.0</v>
      </c>
      <c r="D25" s="53" t="s">
        <v>1705</v>
      </c>
      <c r="E25" s="38">
        <v>900.0</v>
      </c>
      <c r="F25" s="28"/>
      <c r="G25" s="29"/>
      <c r="H25" s="30"/>
      <c r="I25" s="31"/>
      <c r="J25" s="35"/>
      <c r="K25" s="33"/>
      <c r="L25" s="17">
        <v>900.0</v>
      </c>
      <c r="M25" s="18">
        <f t="shared" si="1"/>
        <v>0</v>
      </c>
    </row>
    <row r="26">
      <c r="A26" s="41">
        <v>22.0</v>
      </c>
      <c r="B26" s="53" t="s">
        <v>2231</v>
      </c>
      <c r="C26" s="53">
        <v>50474.0</v>
      </c>
      <c r="D26" s="53" t="s">
        <v>179</v>
      </c>
      <c r="E26" s="27"/>
      <c r="F26" s="37"/>
      <c r="G26" s="29"/>
      <c r="H26" s="30">
        <v>15000.0</v>
      </c>
      <c r="I26" s="31"/>
      <c r="J26" s="35"/>
      <c r="K26" s="33"/>
      <c r="L26" s="17">
        <v>15000.0</v>
      </c>
      <c r="M26" s="18">
        <f t="shared" si="1"/>
        <v>0</v>
      </c>
    </row>
    <row r="27">
      <c r="A27" s="41">
        <v>23.0</v>
      </c>
      <c r="B27" s="53" t="s">
        <v>2232</v>
      </c>
      <c r="C27" s="53">
        <v>46877.0</v>
      </c>
      <c r="D27" s="53" t="s">
        <v>2233</v>
      </c>
      <c r="E27" s="38"/>
      <c r="F27" s="28"/>
      <c r="G27" s="29"/>
      <c r="H27" s="30">
        <v>7900.0</v>
      </c>
      <c r="I27" s="31"/>
      <c r="J27" s="35"/>
      <c r="K27" s="33"/>
      <c r="L27" s="17">
        <v>7900.0</v>
      </c>
      <c r="M27" s="18">
        <f t="shared" si="1"/>
        <v>0</v>
      </c>
    </row>
    <row r="28">
      <c r="A28" s="41">
        <v>24.0</v>
      </c>
      <c r="B28" s="53" t="s">
        <v>2234</v>
      </c>
      <c r="C28" s="53">
        <v>48553.0</v>
      </c>
      <c r="D28" s="53" t="s">
        <v>2235</v>
      </c>
      <c r="E28" s="27"/>
      <c r="F28" s="37"/>
      <c r="G28" s="29"/>
      <c r="H28" s="30">
        <v>3600.0</v>
      </c>
      <c r="I28" s="31"/>
      <c r="J28" s="35"/>
      <c r="K28" s="33"/>
      <c r="L28" s="17">
        <v>3600.0</v>
      </c>
      <c r="M28" s="18">
        <f t="shared" si="1"/>
        <v>0</v>
      </c>
    </row>
    <row r="29">
      <c r="A29" s="41">
        <v>25.0</v>
      </c>
      <c r="B29" s="53" t="s">
        <v>2236</v>
      </c>
      <c r="C29" s="53">
        <v>51406.0</v>
      </c>
      <c r="D29" s="53" t="s">
        <v>18</v>
      </c>
      <c r="E29" s="27"/>
      <c r="F29" s="28"/>
      <c r="G29" s="29"/>
      <c r="H29" s="30"/>
      <c r="I29" s="31">
        <v>12100.0</v>
      </c>
      <c r="J29" s="35"/>
      <c r="K29" s="33"/>
      <c r="L29" s="17">
        <v>12100.0</v>
      </c>
      <c r="M29" s="18">
        <f t="shared" si="1"/>
        <v>0</v>
      </c>
    </row>
    <row r="30">
      <c r="A30" s="41">
        <v>26.0</v>
      </c>
      <c r="B30" s="53" t="s">
        <v>2237</v>
      </c>
      <c r="C30" s="53">
        <v>48343.0</v>
      </c>
      <c r="D30" s="53" t="s">
        <v>792</v>
      </c>
      <c r="E30" s="27"/>
      <c r="F30" s="28"/>
      <c r="G30" s="29"/>
      <c r="H30" s="30">
        <v>5250.0</v>
      </c>
      <c r="I30" s="31"/>
      <c r="J30" s="35"/>
      <c r="K30" s="33"/>
      <c r="L30" s="17">
        <v>5250.0</v>
      </c>
      <c r="M30" s="18">
        <f t="shared" si="1"/>
        <v>0</v>
      </c>
    </row>
    <row r="31">
      <c r="A31" s="41">
        <v>27.0</v>
      </c>
      <c r="B31" s="53" t="s">
        <v>2238</v>
      </c>
      <c r="C31" s="53">
        <v>50595.0</v>
      </c>
      <c r="D31" s="53" t="s">
        <v>158</v>
      </c>
      <c r="E31" s="27"/>
      <c r="F31" s="28"/>
      <c r="G31" s="29"/>
      <c r="H31" s="30">
        <v>25000.0</v>
      </c>
      <c r="I31" s="31"/>
      <c r="J31" s="35"/>
      <c r="K31" s="33"/>
      <c r="L31" s="17">
        <v>25000.0</v>
      </c>
      <c r="M31" s="18">
        <f t="shared" si="1"/>
        <v>0</v>
      </c>
    </row>
    <row r="32">
      <c r="A32" s="41">
        <v>28.0</v>
      </c>
      <c r="B32" s="53" t="s">
        <v>2239</v>
      </c>
      <c r="C32" s="53">
        <v>32766.0</v>
      </c>
      <c r="D32" s="53" t="s">
        <v>2240</v>
      </c>
      <c r="E32" s="27"/>
      <c r="F32" s="37">
        <v>5200.0</v>
      </c>
      <c r="G32" s="29"/>
      <c r="H32" s="30"/>
      <c r="I32" s="31"/>
      <c r="J32" s="35"/>
      <c r="K32" s="33"/>
      <c r="L32" s="17">
        <v>5200.0</v>
      </c>
      <c r="M32" s="18">
        <f t="shared" si="1"/>
        <v>0</v>
      </c>
    </row>
    <row r="33">
      <c r="A33" s="41">
        <v>29.0</v>
      </c>
      <c r="B33" s="53" t="s">
        <v>2241</v>
      </c>
      <c r="C33" s="53">
        <v>50222.0</v>
      </c>
      <c r="D33" s="53" t="s">
        <v>47</v>
      </c>
      <c r="E33" s="38"/>
      <c r="F33" s="28"/>
      <c r="G33" s="29"/>
      <c r="H33" s="30">
        <v>1472.0</v>
      </c>
      <c r="I33" s="31"/>
      <c r="J33" s="35"/>
      <c r="K33" s="33"/>
      <c r="L33" s="17">
        <v>1472.0</v>
      </c>
      <c r="M33" s="18">
        <f t="shared" si="1"/>
        <v>0</v>
      </c>
    </row>
    <row r="34">
      <c r="A34" s="41">
        <v>30.0</v>
      </c>
      <c r="B34" s="53" t="s">
        <v>2242</v>
      </c>
      <c r="C34" s="53">
        <v>21818.0</v>
      </c>
      <c r="D34" s="53" t="s">
        <v>69</v>
      </c>
      <c r="E34" s="27"/>
      <c r="F34" s="28"/>
      <c r="G34" s="29"/>
      <c r="H34" s="30"/>
      <c r="I34" s="31"/>
      <c r="J34" s="35">
        <v>300.0</v>
      </c>
      <c r="K34" s="33"/>
      <c r="L34" s="17">
        <v>300.0</v>
      </c>
      <c r="M34" s="18">
        <f t="shared" si="1"/>
        <v>0</v>
      </c>
    </row>
    <row r="35">
      <c r="A35" s="41">
        <v>31.0</v>
      </c>
      <c r="B35" s="53" t="s">
        <v>2243</v>
      </c>
      <c r="C35" s="53">
        <v>39317.0</v>
      </c>
      <c r="D35" s="53" t="s">
        <v>84</v>
      </c>
      <c r="E35" s="27"/>
      <c r="F35" s="28"/>
      <c r="G35" s="29"/>
      <c r="H35" s="30"/>
      <c r="I35" s="31">
        <v>12000.0</v>
      </c>
      <c r="J35" s="32"/>
      <c r="K35" s="33"/>
      <c r="L35" s="17">
        <v>12000.0</v>
      </c>
      <c r="M35" s="18">
        <f t="shared" si="1"/>
        <v>0</v>
      </c>
    </row>
    <row r="36">
      <c r="A36" s="41">
        <v>32.0</v>
      </c>
      <c r="B36" s="53" t="s">
        <v>2244</v>
      </c>
      <c r="C36" s="53">
        <v>54709.0</v>
      </c>
      <c r="D36" s="53" t="s">
        <v>2198</v>
      </c>
      <c r="E36" s="27"/>
      <c r="F36" s="28"/>
      <c r="G36" s="29"/>
      <c r="H36" s="30">
        <v>1250.0</v>
      </c>
      <c r="I36" s="31"/>
      <c r="J36" s="32"/>
      <c r="K36" s="33"/>
      <c r="L36" s="17">
        <v>1250.0</v>
      </c>
      <c r="M36" s="18">
        <f t="shared" si="1"/>
        <v>0</v>
      </c>
    </row>
    <row r="37">
      <c r="A37" s="41">
        <v>33.0</v>
      </c>
      <c r="B37" s="53" t="s">
        <v>2245</v>
      </c>
      <c r="C37" s="53">
        <v>23221.0</v>
      </c>
      <c r="D37" s="53" t="s">
        <v>2246</v>
      </c>
      <c r="E37" s="27"/>
      <c r="F37" s="28"/>
      <c r="G37" s="29"/>
      <c r="H37" s="30">
        <v>2500.0</v>
      </c>
      <c r="I37" s="31"/>
      <c r="J37" s="32"/>
      <c r="K37" s="33"/>
      <c r="L37" s="17">
        <v>2500.0</v>
      </c>
      <c r="M37" s="18">
        <f t="shared" si="1"/>
        <v>0</v>
      </c>
    </row>
    <row r="38">
      <c r="A38" s="41">
        <v>34.0</v>
      </c>
      <c r="B38" s="53" t="s">
        <v>2247</v>
      </c>
      <c r="C38" s="53">
        <v>57782.0</v>
      </c>
      <c r="D38" s="53" t="s">
        <v>2248</v>
      </c>
      <c r="E38" s="27"/>
      <c r="F38" s="37"/>
      <c r="G38" s="29"/>
      <c r="H38" s="30"/>
      <c r="I38" s="31">
        <v>27000.0</v>
      </c>
      <c r="J38" s="32"/>
      <c r="K38" s="33"/>
      <c r="L38" s="17">
        <v>27000.0</v>
      </c>
      <c r="M38" s="18">
        <f t="shared" si="1"/>
        <v>0</v>
      </c>
    </row>
    <row r="39">
      <c r="A39" s="41">
        <v>35.0</v>
      </c>
      <c r="B39" s="53" t="s">
        <v>2249</v>
      </c>
      <c r="C39" s="53">
        <v>57783.0</v>
      </c>
      <c r="D39" s="53" t="s">
        <v>2250</v>
      </c>
      <c r="E39" s="38"/>
      <c r="F39" s="28"/>
      <c r="G39" s="29"/>
      <c r="H39" s="30"/>
      <c r="I39" s="31">
        <v>27000.0</v>
      </c>
      <c r="J39" s="35"/>
      <c r="K39" s="33"/>
      <c r="L39" s="17">
        <v>27000.0</v>
      </c>
      <c r="M39" s="18">
        <f t="shared" si="1"/>
        <v>0</v>
      </c>
    </row>
    <row r="40">
      <c r="A40" s="41">
        <v>36.0</v>
      </c>
      <c r="B40" s="53" t="s">
        <v>2251</v>
      </c>
      <c r="C40" s="53">
        <v>10037.0</v>
      </c>
      <c r="D40" s="53" t="s">
        <v>224</v>
      </c>
      <c r="E40" s="27"/>
      <c r="F40" s="37">
        <v>9400.0</v>
      </c>
      <c r="G40" s="29"/>
      <c r="H40" s="30"/>
      <c r="I40" s="36"/>
      <c r="J40" s="32"/>
      <c r="K40" s="33"/>
      <c r="L40" s="17">
        <v>9400.0</v>
      </c>
      <c r="M40" s="18">
        <f t="shared" si="1"/>
        <v>0</v>
      </c>
    </row>
    <row r="41">
      <c r="A41" s="41">
        <v>37.0</v>
      </c>
      <c r="B41" s="53" t="s">
        <v>2252</v>
      </c>
      <c r="C41" s="53">
        <v>36928.0</v>
      </c>
      <c r="D41" s="53" t="s">
        <v>258</v>
      </c>
      <c r="E41" s="27"/>
      <c r="F41" s="28"/>
      <c r="G41" s="29"/>
      <c r="H41" s="30"/>
      <c r="I41" s="31"/>
      <c r="J41" s="35">
        <v>9700.0</v>
      </c>
      <c r="K41" s="33"/>
      <c r="L41" s="17">
        <v>9700.0</v>
      </c>
      <c r="M41" s="18">
        <f t="shared" si="1"/>
        <v>0</v>
      </c>
    </row>
    <row r="42">
      <c r="A42" s="41">
        <v>38.0</v>
      </c>
      <c r="B42" s="53" t="s">
        <v>2253</v>
      </c>
      <c r="C42" s="53">
        <v>10001.0</v>
      </c>
      <c r="D42" s="53" t="s">
        <v>218</v>
      </c>
      <c r="E42" s="27"/>
      <c r="F42" s="28"/>
      <c r="G42" s="29"/>
      <c r="H42" s="30"/>
      <c r="I42" s="31">
        <v>25000.0</v>
      </c>
      <c r="J42" s="35"/>
      <c r="K42" s="33"/>
      <c r="L42" s="17">
        <v>25000.0</v>
      </c>
      <c r="M42" s="18">
        <f t="shared" si="1"/>
        <v>0</v>
      </c>
    </row>
    <row r="43">
      <c r="A43" s="41">
        <v>39.0</v>
      </c>
      <c r="B43" s="53" t="s">
        <v>2254</v>
      </c>
      <c r="C43" s="53">
        <v>44986.0</v>
      </c>
      <c r="D43" s="53" t="s">
        <v>98</v>
      </c>
      <c r="E43" s="27"/>
      <c r="F43" s="37"/>
      <c r="G43" s="29"/>
      <c r="H43" s="30">
        <v>2650.0</v>
      </c>
      <c r="I43" s="36"/>
      <c r="J43" s="32"/>
      <c r="K43" s="33"/>
      <c r="L43" s="17">
        <v>2650.0</v>
      </c>
      <c r="M43" s="18">
        <f t="shared" si="1"/>
        <v>0</v>
      </c>
    </row>
    <row r="44">
      <c r="A44" s="41">
        <v>40.0</v>
      </c>
      <c r="B44" s="53" t="s">
        <v>2255</v>
      </c>
      <c r="C44" s="53">
        <v>51860.0</v>
      </c>
      <c r="D44" s="53" t="s">
        <v>2256</v>
      </c>
      <c r="E44" s="27"/>
      <c r="F44" s="37">
        <v>3700.0</v>
      </c>
      <c r="G44" s="29"/>
      <c r="H44" s="30"/>
      <c r="I44" s="31"/>
      <c r="J44" s="32"/>
      <c r="K44" s="33"/>
      <c r="L44" s="17">
        <v>3700.0</v>
      </c>
      <c r="M44" s="18">
        <f t="shared" si="1"/>
        <v>0</v>
      </c>
    </row>
    <row r="45">
      <c r="A45" s="41">
        <v>41.0</v>
      </c>
      <c r="B45" s="53" t="s">
        <v>2257</v>
      </c>
      <c r="C45" s="53">
        <v>39834.0</v>
      </c>
      <c r="D45" s="53" t="s">
        <v>2258</v>
      </c>
      <c r="E45" s="38">
        <v>3600.0</v>
      </c>
      <c r="F45" s="28"/>
      <c r="G45" s="29"/>
      <c r="H45" s="30"/>
      <c r="I45" s="31"/>
      <c r="J45" s="32"/>
      <c r="K45" s="33"/>
      <c r="L45" s="17">
        <v>3600.0</v>
      </c>
      <c r="M45" s="18">
        <f t="shared" si="1"/>
        <v>0</v>
      </c>
    </row>
    <row r="46">
      <c r="A46" s="41">
        <v>42.0</v>
      </c>
      <c r="B46" s="53" t="s">
        <v>2259</v>
      </c>
      <c r="C46" s="53">
        <v>21384.0</v>
      </c>
      <c r="D46" s="53" t="s">
        <v>38</v>
      </c>
      <c r="E46" s="38"/>
      <c r="F46" s="37"/>
      <c r="G46" s="29"/>
      <c r="H46" s="30">
        <v>5350.0</v>
      </c>
      <c r="I46" s="31"/>
      <c r="J46" s="32"/>
      <c r="K46" s="33"/>
      <c r="L46" s="17">
        <v>5350.0</v>
      </c>
      <c r="M46" s="18">
        <f t="shared" si="1"/>
        <v>0</v>
      </c>
    </row>
    <row r="47">
      <c r="A47" s="41">
        <v>43.0</v>
      </c>
      <c r="B47" s="53" t="s">
        <v>2260</v>
      </c>
      <c r="C47" s="53">
        <v>56676.0</v>
      </c>
      <c r="D47" s="53" t="s">
        <v>2261</v>
      </c>
      <c r="E47" s="38"/>
      <c r="F47" s="37"/>
      <c r="G47" s="29"/>
      <c r="H47" s="30">
        <v>5000.0</v>
      </c>
      <c r="I47" s="31"/>
      <c r="J47" s="32"/>
      <c r="K47" s="33"/>
      <c r="L47" s="17">
        <v>5000.0</v>
      </c>
      <c r="M47" s="18">
        <f t="shared" si="1"/>
        <v>0</v>
      </c>
    </row>
    <row r="48">
      <c r="A48" s="41">
        <v>44.0</v>
      </c>
      <c r="B48" s="53" t="s">
        <v>2262</v>
      </c>
      <c r="C48" s="53">
        <v>57591.0</v>
      </c>
      <c r="D48" s="53" t="s">
        <v>2263</v>
      </c>
      <c r="E48" s="38">
        <v>13000.0</v>
      </c>
      <c r="F48" s="28"/>
      <c r="G48" s="29"/>
      <c r="H48" s="30"/>
      <c r="I48" s="31"/>
      <c r="J48" s="32"/>
      <c r="K48" s="33"/>
      <c r="L48" s="17">
        <v>13000.0</v>
      </c>
      <c r="M48" s="18">
        <f t="shared" si="1"/>
        <v>0</v>
      </c>
    </row>
    <row r="49">
      <c r="A49" s="41">
        <v>45.0</v>
      </c>
      <c r="B49" s="53" t="s">
        <v>2264</v>
      </c>
      <c r="C49" s="53">
        <v>57566.0</v>
      </c>
      <c r="D49" s="53" t="s">
        <v>2265</v>
      </c>
      <c r="E49" s="38">
        <v>1700.0</v>
      </c>
      <c r="F49" s="28"/>
      <c r="G49" s="39"/>
      <c r="H49" s="30"/>
      <c r="I49" s="31">
        <v>3000.0</v>
      </c>
      <c r="J49" s="32"/>
      <c r="K49" s="33"/>
      <c r="L49" s="17">
        <v>4700.0</v>
      </c>
      <c r="M49" s="18">
        <f t="shared" si="1"/>
        <v>0</v>
      </c>
    </row>
    <row r="50">
      <c r="A50" s="41">
        <v>46.0</v>
      </c>
      <c r="B50" s="53" t="s">
        <v>2266</v>
      </c>
      <c r="C50" s="53">
        <v>50221.0</v>
      </c>
      <c r="D50" s="53" t="s">
        <v>252</v>
      </c>
      <c r="E50" s="38"/>
      <c r="F50" s="37"/>
      <c r="G50" s="29"/>
      <c r="H50" s="30">
        <v>125.0</v>
      </c>
      <c r="I50" s="31"/>
      <c r="J50" s="32"/>
      <c r="K50" s="33"/>
      <c r="L50" s="17">
        <v>125.0</v>
      </c>
      <c r="M50" s="18">
        <f t="shared" si="1"/>
        <v>0</v>
      </c>
    </row>
    <row r="51">
      <c r="A51" s="41">
        <v>47.0</v>
      </c>
      <c r="B51" s="53" t="s">
        <v>2267</v>
      </c>
      <c r="C51" s="53">
        <v>51976.0</v>
      </c>
      <c r="D51" s="53" t="s">
        <v>412</v>
      </c>
      <c r="E51" s="27"/>
      <c r="F51" s="37"/>
      <c r="G51" s="29"/>
      <c r="H51" s="30"/>
      <c r="I51" s="31">
        <v>12500.0</v>
      </c>
      <c r="J51" s="32"/>
      <c r="K51" s="33"/>
      <c r="L51" s="17">
        <v>12500.0</v>
      </c>
      <c r="M51" s="18">
        <f t="shared" si="1"/>
        <v>0</v>
      </c>
    </row>
    <row r="52">
      <c r="A52" s="41">
        <v>48.0</v>
      </c>
      <c r="B52" s="53" t="s">
        <v>2268</v>
      </c>
      <c r="C52" s="53">
        <v>50342.0</v>
      </c>
      <c r="D52" s="53" t="s">
        <v>146</v>
      </c>
      <c r="E52" s="27"/>
      <c r="F52" s="28"/>
      <c r="G52" s="39">
        <v>350.0</v>
      </c>
      <c r="H52" s="30"/>
      <c r="I52" s="36"/>
      <c r="J52" s="35"/>
      <c r="K52" s="33"/>
      <c r="L52" s="17">
        <v>350.0</v>
      </c>
      <c r="M52" s="18">
        <f t="shared" si="1"/>
        <v>0</v>
      </c>
    </row>
    <row r="53">
      <c r="A53" s="41">
        <v>49.0</v>
      </c>
      <c r="B53" s="53" t="s">
        <v>2269</v>
      </c>
      <c r="C53" s="53">
        <v>49953.0</v>
      </c>
      <c r="D53" s="53" t="s">
        <v>1821</v>
      </c>
      <c r="E53" s="27"/>
      <c r="F53" s="37"/>
      <c r="G53" s="39">
        <v>9750.0</v>
      </c>
      <c r="H53" s="30"/>
      <c r="I53" s="31"/>
      <c r="J53" s="32"/>
      <c r="K53" s="33"/>
      <c r="L53" s="17">
        <v>9750.0</v>
      </c>
      <c r="M53" s="18">
        <f t="shared" si="1"/>
        <v>0</v>
      </c>
    </row>
    <row r="54">
      <c r="A54" s="41">
        <v>50.0</v>
      </c>
      <c r="B54" s="46"/>
      <c r="C54" s="46"/>
      <c r="D54" s="46"/>
      <c r="E54" s="27"/>
      <c r="F54" s="28"/>
      <c r="G54" s="29"/>
      <c r="H54" s="30"/>
      <c r="I54" s="31"/>
      <c r="J54" s="32"/>
      <c r="K54" s="33"/>
      <c r="L54" s="47"/>
      <c r="M54" s="18">
        <f t="shared" si="1"/>
        <v>0</v>
      </c>
    </row>
    <row r="55" hidden="1">
      <c r="A55" s="41">
        <v>51.0</v>
      </c>
      <c r="B55" s="46"/>
      <c r="C55" s="46"/>
      <c r="D55" s="46"/>
      <c r="E55" s="27"/>
      <c r="F55" s="28"/>
      <c r="G55" s="29"/>
      <c r="H55" s="30"/>
      <c r="I55" s="31"/>
      <c r="J55" s="32"/>
      <c r="K55" s="33"/>
      <c r="L55" s="47"/>
      <c r="M55" s="18">
        <f t="shared" si="1"/>
        <v>0</v>
      </c>
    </row>
    <row r="56" hidden="1">
      <c r="A56" s="41">
        <v>52.0</v>
      </c>
      <c r="B56" s="46"/>
      <c r="C56" s="46"/>
      <c r="D56" s="46"/>
      <c r="E56" s="38"/>
      <c r="F56" s="28"/>
      <c r="G56" s="29"/>
      <c r="H56" s="30"/>
      <c r="I56" s="31"/>
      <c r="J56" s="32"/>
      <c r="K56" s="33"/>
      <c r="L56" s="47"/>
      <c r="M56" s="18">
        <f t="shared" si="1"/>
        <v>0</v>
      </c>
    </row>
    <row r="57" hidden="1">
      <c r="A57" s="41">
        <v>53.0</v>
      </c>
      <c r="B57" s="46"/>
      <c r="C57" s="46"/>
      <c r="D57" s="46"/>
      <c r="E57" s="27"/>
      <c r="F57" s="37"/>
      <c r="G57" s="29"/>
      <c r="H57" s="30"/>
      <c r="I57" s="31"/>
      <c r="J57" s="32"/>
      <c r="K57" s="33"/>
      <c r="L57" s="47"/>
      <c r="M57" s="18">
        <f t="shared" si="1"/>
        <v>0</v>
      </c>
    </row>
    <row r="58" hidden="1">
      <c r="A58" s="41">
        <v>54.0</v>
      </c>
      <c r="B58" s="46"/>
      <c r="C58" s="46"/>
      <c r="D58" s="46"/>
      <c r="E58" s="27"/>
      <c r="F58" s="28"/>
      <c r="G58" s="29"/>
      <c r="H58" s="30"/>
      <c r="I58" s="31"/>
      <c r="J58" s="32"/>
      <c r="K58" s="33"/>
      <c r="L58" s="47"/>
      <c r="M58" s="18">
        <f t="shared" si="1"/>
        <v>0</v>
      </c>
    </row>
    <row r="59" hidden="1">
      <c r="A59" s="41">
        <v>55.0</v>
      </c>
      <c r="B59" s="46"/>
      <c r="C59" s="46"/>
      <c r="D59" s="46"/>
      <c r="E59" s="27"/>
      <c r="F59" s="28"/>
      <c r="G59" s="29"/>
      <c r="H59" s="30"/>
      <c r="I59" s="31"/>
      <c r="J59" s="32"/>
      <c r="K59" s="33"/>
      <c r="L59" s="47"/>
      <c r="M59" s="18">
        <f t="shared" si="1"/>
        <v>0</v>
      </c>
    </row>
    <row r="60" hidden="1">
      <c r="A60" s="41">
        <v>56.0</v>
      </c>
      <c r="B60" s="46"/>
      <c r="C60" s="46"/>
      <c r="D60" s="46"/>
      <c r="E60" s="27"/>
      <c r="F60" s="28"/>
      <c r="G60" s="29"/>
      <c r="H60" s="30"/>
      <c r="I60" s="31"/>
      <c r="J60" s="32"/>
      <c r="K60" s="33"/>
      <c r="L60" s="47"/>
      <c r="M60" s="18">
        <f t="shared" si="1"/>
        <v>0</v>
      </c>
    </row>
    <row r="61" hidden="1">
      <c r="A61" s="41">
        <v>57.0</v>
      </c>
      <c r="B61" s="46"/>
      <c r="C61" s="46"/>
      <c r="D61" s="46"/>
      <c r="E61" s="38"/>
      <c r="F61" s="37"/>
      <c r="G61" s="29"/>
      <c r="H61" s="30"/>
      <c r="I61" s="31"/>
      <c r="J61" s="32"/>
      <c r="K61" s="33"/>
      <c r="L61" s="47"/>
      <c r="M61" s="18">
        <f t="shared" si="1"/>
        <v>0</v>
      </c>
    </row>
    <row r="62" hidden="1">
      <c r="A62" s="41">
        <v>58.0</v>
      </c>
      <c r="B62" s="46"/>
      <c r="C62" s="46"/>
      <c r="D62" s="46"/>
      <c r="E62" s="38"/>
      <c r="F62" s="28"/>
      <c r="G62" s="39"/>
      <c r="H62" s="30"/>
      <c r="I62" s="31"/>
      <c r="J62" s="35"/>
      <c r="K62" s="33"/>
      <c r="L62" s="47"/>
      <c r="M62" s="18">
        <f t="shared" si="1"/>
        <v>0</v>
      </c>
    </row>
    <row r="63" hidden="1">
      <c r="A63" s="41">
        <v>59.0</v>
      </c>
      <c r="B63" s="46"/>
      <c r="C63" s="46"/>
      <c r="D63" s="46"/>
      <c r="E63" s="27"/>
      <c r="F63" s="28"/>
      <c r="G63" s="29"/>
      <c r="H63" s="30"/>
      <c r="I63" s="31"/>
      <c r="J63" s="32"/>
      <c r="K63" s="33"/>
      <c r="L63" s="47"/>
      <c r="M63" s="18">
        <f t="shared" si="1"/>
        <v>0</v>
      </c>
    </row>
    <row r="64" hidden="1">
      <c r="A64" s="41">
        <v>60.0</v>
      </c>
      <c r="B64" s="46"/>
      <c r="C64" s="46"/>
      <c r="D64" s="46"/>
      <c r="E64" s="38"/>
      <c r="F64" s="37"/>
      <c r="G64" s="29"/>
      <c r="H64" s="30"/>
      <c r="I64" s="31"/>
      <c r="J64" s="32"/>
      <c r="K64" s="33"/>
      <c r="L64" s="47"/>
      <c r="M64" s="18">
        <f t="shared" si="1"/>
        <v>0</v>
      </c>
    </row>
    <row r="65" hidden="1">
      <c r="A65" s="41">
        <v>61.0</v>
      </c>
      <c r="B65" s="46"/>
      <c r="C65" s="46"/>
      <c r="D65" s="46"/>
      <c r="E65" s="27"/>
      <c r="F65" s="37"/>
      <c r="G65" s="29"/>
      <c r="H65" s="30"/>
      <c r="I65" s="31"/>
      <c r="J65" s="32"/>
      <c r="K65" s="33"/>
      <c r="L65" s="47"/>
      <c r="M65" s="18">
        <f t="shared" si="1"/>
        <v>0</v>
      </c>
    </row>
    <row r="66" hidden="1">
      <c r="A66" s="41">
        <v>62.0</v>
      </c>
      <c r="B66" s="46"/>
      <c r="C66" s="46"/>
      <c r="D66" s="46"/>
      <c r="E66" s="27"/>
      <c r="F66" s="37"/>
      <c r="G66" s="29"/>
      <c r="H66" s="30"/>
      <c r="I66" s="36"/>
      <c r="J66" s="32"/>
      <c r="K66" s="33"/>
      <c r="L66" s="47"/>
      <c r="M66" s="18">
        <f t="shared" si="1"/>
        <v>0</v>
      </c>
    </row>
    <row r="67" hidden="1">
      <c r="A67" s="41">
        <v>63.0</v>
      </c>
      <c r="B67" s="46"/>
      <c r="C67" s="46"/>
      <c r="D67" s="46"/>
      <c r="E67" s="27"/>
      <c r="F67" s="28"/>
      <c r="G67" s="29"/>
      <c r="H67" s="30"/>
      <c r="I67" s="36"/>
      <c r="J67" s="32"/>
      <c r="K67" s="33"/>
      <c r="L67" s="47"/>
      <c r="M67" s="18">
        <f t="shared" si="1"/>
        <v>0</v>
      </c>
    </row>
    <row r="68" hidden="1">
      <c r="A68" s="41">
        <v>64.0</v>
      </c>
      <c r="B68" s="46"/>
      <c r="C68" s="46"/>
      <c r="D68" s="46"/>
      <c r="E68" s="38"/>
      <c r="F68" s="37"/>
      <c r="G68" s="29"/>
      <c r="H68" s="30"/>
      <c r="I68" s="31"/>
      <c r="J68" s="32"/>
      <c r="K68" s="33"/>
      <c r="L68" s="47"/>
      <c r="M68" s="18">
        <f t="shared" si="1"/>
        <v>0</v>
      </c>
    </row>
    <row r="69" hidden="1">
      <c r="A69" s="41">
        <v>65.0</v>
      </c>
      <c r="B69" s="46"/>
      <c r="C69" s="46"/>
      <c r="D69" s="46"/>
      <c r="E69" s="27"/>
      <c r="F69" s="37"/>
      <c r="G69" s="29"/>
      <c r="H69" s="30"/>
      <c r="I69" s="31"/>
      <c r="J69" s="35"/>
      <c r="K69" s="33"/>
      <c r="L69" s="47"/>
      <c r="M69" s="18">
        <f t="shared" si="1"/>
        <v>0</v>
      </c>
    </row>
    <row r="70" hidden="1">
      <c r="A70" s="41">
        <v>66.0</v>
      </c>
      <c r="B70" s="46"/>
      <c r="C70" s="46"/>
      <c r="D70" s="46"/>
      <c r="E70" s="38"/>
      <c r="F70" s="28"/>
      <c r="G70" s="29"/>
      <c r="H70" s="30"/>
      <c r="I70" s="31"/>
      <c r="J70" s="32"/>
      <c r="K70" s="33"/>
      <c r="L70" s="47"/>
      <c r="M70" s="18">
        <f t="shared" si="1"/>
        <v>0</v>
      </c>
    </row>
    <row r="71" hidden="1">
      <c r="A71" s="41">
        <v>67.0</v>
      </c>
      <c r="B71" s="46"/>
      <c r="C71" s="46"/>
      <c r="D71" s="46"/>
      <c r="E71" s="38"/>
      <c r="F71" s="37"/>
      <c r="G71" s="29"/>
      <c r="H71" s="30"/>
      <c r="I71" s="31"/>
      <c r="J71" s="32"/>
      <c r="K71" s="33"/>
      <c r="L71" s="47"/>
      <c r="M71" s="18">
        <f t="shared" si="1"/>
        <v>0</v>
      </c>
    </row>
    <row r="72" hidden="1">
      <c r="A72" s="41">
        <v>68.0</v>
      </c>
      <c r="B72" s="46"/>
      <c r="C72" s="46"/>
      <c r="D72" s="46"/>
      <c r="E72" s="38"/>
      <c r="F72" s="37"/>
      <c r="G72" s="29"/>
      <c r="H72" s="30"/>
      <c r="I72" s="31"/>
      <c r="J72" s="35"/>
      <c r="K72" s="33"/>
      <c r="L72" s="47"/>
      <c r="M72" s="18">
        <f t="shared" si="1"/>
        <v>0</v>
      </c>
    </row>
    <row r="73" hidden="1">
      <c r="A73" s="41">
        <v>69.0</v>
      </c>
      <c r="B73" s="46"/>
      <c r="C73" s="46"/>
      <c r="D73" s="46"/>
      <c r="E73" s="27"/>
      <c r="F73" s="37"/>
      <c r="G73" s="29"/>
      <c r="H73" s="30"/>
      <c r="I73" s="31"/>
      <c r="J73" s="32"/>
      <c r="K73" s="33"/>
      <c r="L73" s="47"/>
      <c r="M73" s="18">
        <f t="shared" si="1"/>
        <v>0</v>
      </c>
    </row>
    <row r="74" hidden="1">
      <c r="A74" s="41">
        <v>70.0</v>
      </c>
      <c r="B74" s="46"/>
      <c r="C74" s="46"/>
      <c r="D74" s="46"/>
      <c r="E74" s="27"/>
      <c r="F74" s="37"/>
      <c r="G74" s="29"/>
      <c r="H74" s="30"/>
      <c r="I74" s="31"/>
      <c r="J74" s="32"/>
      <c r="K74" s="33"/>
      <c r="L74" s="47"/>
      <c r="M74" s="18">
        <f t="shared" si="1"/>
        <v>0</v>
      </c>
    </row>
    <row r="75" hidden="1">
      <c r="A75" s="41">
        <v>71.0</v>
      </c>
      <c r="B75" s="46"/>
      <c r="C75" s="46"/>
      <c r="D75" s="46"/>
      <c r="E75" s="27"/>
      <c r="F75" s="37"/>
      <c r="G75" s="29"/>
      <c r="H75" s="30"/>
      <c r="I75" s="31"/>
      <c r="J75" s="32"/>
      <c r="K75" s="33"/>
      <c r="L75" s="47"/>
      <c r="M75" s="18">
        <f t="shared" si="1"/>
        <v>0</v>
      </c>
    </row>
    <row r="76" hidden="1">
      <c r="A76" s="41">
        <v>72.0</v>
      </c>
      <c r="B76" s="46"/>
      <c r="C76" s="46"/>
      <c r="D76" s="46"/>
      <c r="E76" s="38"/>
      <c r="F76" s="37"/>
      <c r="G76" s="29"/>
      <c r="H76" s="30"/>
      <c r="I76" s="31"/>
      <c r="J76" s="32"/>
      <c r="K76" s="33"/>
      <c r="L76" s="47"/>
      <c r="M76" s="18">
        <f t="shared" si="1"/>
        <v>0</v>
      </c>
    </row>
    <row r="77" hidden="1">
      <c r="A77" s="41">
        <v>73.0</v>
      </c>
      <c r="B77" s="46"/>
      <c r="C77" s="46"/>
      <c r="D77" s="46"/>
      <c r="E77" s="27"/>
      <c r="F77" s="37"/>
      <c r="G77" s="29"/>
      <c r="H77" s="30"/>
      <c r="I77" s="31"/>
      <c r="J77" s="32"/>
      <c r="K77" s="33"/>
      <c r="L77" s="47"/>
      <c r="M77" s="18">
        <f t="shared" si="1"/>
        <v>0</v>
      </c>
    </row>
    <row r="78" hidden="1">
      <c r="A78" s="41">
        <v>74.0</v>
      </c>
      <c r="B78" s="46"/>
      <c r="C78" s="46"/>
      <c r="D78" s="46"/>
      <c r="E78" s="27"/>
      <c r="F78" s="37"/>
      <c r="G78" s="29"/>
      <c r="H78" s="30"/>
      <c r="I78" s="31"/>
      <c r="J78" s="32"/>
      <c r="K78" s="33"/>
      <c r="L78" s="47"/>
      <c r="M78" s="18">
        <f t="shared" si="1"/>
        <v>0</v>
      </c>
    </row>
    <row r="79" hidden="1">
      <c r="A79" s="41">
        <v>75.0</v>
      </c>
      <c r="B79" s="46"/>
      <c r="C79" s="46"/>
      <c r="D79" s="46"/>
      <c r="E79" s="27"/>
      <c r="F79" s="37"/>
      <c r="G79" s="39"/>
      <c r="H79" s="30"/>
      <c r="I79" s="31"/>
      <c r="J79" s="32"/>
      <c r="K79" s="33"/>
      <c r="L79" s="47"/>
      <c r="M79" s="18">
        <f t="shared" si="1"/>
        <v>0</v>
      </c>
    </row>
    <row r="80" hidden="1">
      <c r="A80" s="41">
        <v>76.0</v>
      </c>
      <c r="B80" s="46"/>
      <c r="C80" s="46"/>
      <c r="D80" s="46"/>
      <c r="E80" s="27"/>
      <c r="F80" s="28"/>
      <c r="G80" s="29"/>
      <c r="H80" s="30"/>
      <c r="I80" s="31"/>
      <c r="J80" s="32"/>
      <c r="K80" s="33"/>
      <c r="L80" s="47"/>
      <c r="M80" s="18">
        <f t="shared" si="1"/>
        <v>0</v>
      </c>
    </row>
    <row r="81" hidden="1">
      <c r="A81" s="41">
        <v>77.0</v>
      </c>
      <c r="B81" s="46"/>
      <c r="C81" s="46"/>
      <c r="D81" s="46"/>
      <c r="E81" s="38"/>
      <c r="F81" s="28"/>
      <c r="G81" s="29"/>
      <c r="H81" s="30"/>
      <c r="I81" s="31"/>
      <c r="J81" s="32"/>
      <c r="K81" s="33"/>
      <c r="L81" s="47"/>
      <c r="M81" s="18">
        <f t="shared" si="1"/>
        <v>0</v>
      </c>
    </row>
    <row r="82" hidden="1">
      <c r="A82" s="41">
        <v>78.0</v>
      </c>
      <c r="B82" s="46"/>
      <c r="C82" s="46"/>
      <c r="D82" s="46"/>
      <c r="E82" s="27"/>
      <c r="F82" s="28"/>
      <c r="G82" s="39"/>
      <c r="H82" s="30"/>
      <c r="I82" s="31"/>
      <c r="J82" s="35"/>
      <c r="K82" s="33"/>
      <c r="L82" s="47"/>
      <c r="M82" s="18">
        <f t="shared" si="1"/>
        <v>0</v>
      </c>
    </row>
    <row r="83" hidden="1">
      <c r="A83" s="41">
        <v>79.0</v>
      </c>
      <c r="B83" s="46"/>
      <c r="C83" s="46"/>
      <c r="D83" s="46"/>
      <c r="E83" s="27"/>
      <c r="F83" s="28"/>
      <c r="G83" s="39"/>
      <c r="H83" s="30"/>
      <c r="I83" s="31"/>
      <c r="J83" s="32"/>
      <c r="K83" s="33"/>
      <c r="L83" s="47"/>
      <c r="M83" s="18">
        <f t="shared" si="1"/>
        <v>0</v>
      </c>
    </row>
    <row r="84" hidden="1">
      <c r="A84" s="41">
        <v>80.0</v>
      </c>
      <c r="B84" s="46"/>
      <c r="C84" s="46"/>
      <c r="D84" s="46"/>
      <c r="E84" s="27"/>
      <c r="F84" s="28"/>
      <c r="G84" s="39"/>
      <c r="H84" s="30"/>
      <c r="I84" s="31"/>
      <c r="J84" s="32"/>
      <c r="K84" s="33"/>
      <c r="L84" s="47"/>
      <c r="M84" s="18">
        <f t="shared" si="1"/>
        <v>0</v>
      </c>
    </row>
    <row r="85" hidden="1">
      <c r="A85" s="41">
        <v>81.0</v>
      </c>
      <c r="B85" s="46"/>
      <c r="C85" s="46"/>
      <c r="D85" s="46"/>
      <c r="E85" s="27"/>
      <c r="F85" s="28"/>
      <c r="G85" s="39"/>
      <c r="H85" s="30"/>
      <c r="I85" s="31"/>
      <c r="J85" s="32"/>
      <c r="K85" s="33"/>
      <c r="L85" s="47"/>
      <c r="M85" s="18">
        <f t="shared" si="1"/>
        <v>0</v>
      </c>
    </row>
    <row r="86" hidden="1">
      <c r="A86" s="41">
        <v>82.0</v>
      </c>
      <c r="B86" s="46"/>
      <c r="C86" s="46"/>
      <c r="D86" s="46"/>
      <c r="E86" s="27"/>
      <c r="F86" s="28"/>
      <c r="G86" s="39"/>
      <c r="H86" s="30"/>
      <c r="I86" s="31"/>
      <c r="J86" s="35"/>
      <c r="K86" s="33"/>
      <c r="L86" s="47"/>
      <c r="M86" s="18">
        <f t="shared" si="1"/>
        <v>0</v>
      </c>
    </row>
    <row r="87" hidden="1">
      <c r="A87" s="41">
        <v>83.0</v>
      </c>
      <c r="B87" s="46"/>
      <c r="C87" s="46"/>
      <c r="D87" s="46"/>
      <c r="E87" s="27"/>
      <c r="F87" s="28"/>
      <c r="G87" s="29"/>
      <c r="H87" s="30"/>
      <c r="I87" s="31"/>
      <c r="J87" s="35"/>
      <c r="K87" s="33"/>
      <c r="L87" s="47"/>
      <c r="M87" s="18">
        <f t="shared" si="1"/>
        <v>0</v>
      </c>
    </row>
    <row r="88" hidden="1">
      <c r="A88" s="41">
        <v>84.0</v>
      </c>
      <c r="B88" s="46"/>
      <c r="C88" s="46"/>
      <c r="D88" s="46"/>
      <c r="E88" s="27"/>
      <c r="F88" s="28"/>
      <c r="G88" s="29"/>
      <c r="H88" s="30"/>
      <c r="I88" s="31"/>
      <c r="J88" s="35"/>
      <c r="K88" s="33"/>
      <c r="L88" s="47"/>
      <c r="M88" s="18">
        <f t="shared" si="1"/>
        <v>0</v>
      </c>
    </row>
    <row r="89">
      <c r="A89" s="41"/>
      <c r="B89" s="45"/>
      <c r="C89" s="45"/>
      <c r="D89" s="44"/>
      <c r="E89" s="22">
        <f t="shared" ref="E89:J89" si="2">SUM(E5:E88)</f>
        <v>19200</v>
      </c>
      <c r="F89" s="22">
        <f t="shared" si="2"/>
        <v>43390</v>
      </c>
      <c r="G89" s="22">
        <f t="shared" si="2"/>
        <v>10100</v>
      </c>
      <c r="H89" s="22">
        <f t="shared" si="2"/>
        <v>152260</v>
      </c>
      <c r="I89" s="22">
        <f t="shared" si="2"/>
        <v>141250</v>
      </c>
      <c r="J89" s="22">
        <f t="shared" si="2"/>
        <v>30000</v>
      </c>
      <c r="K89" s="22">
        <f>SUM(K24:K88)</f>
        <v>0</v>
      </c>
      <c r="L89" s="22">
        <f t="shared" ref="L89:M89" si="3">SUM(L5:L88)</f>
        <v>396200</v>
      </c>
      <c r="M89" s="18">
        <f t="shared" si="3"/>
        <v>0</v>
      </c>
    </row>
    <row r="90">
      <c r="A90" s="23"/>
      <c r="B90" s="23"/>
      <c r="C90" s="23"/>
      <c r="D90" s="23"/>
      <c r="E90" s="24">
        <f>SUM(K89:M89)</f>
        <v>396200</v>
      </c>
      <c r="F90" s="6"/>
      <c r="G90" s="6"/>
      <c r="H90" s="6"/>
      <c r="I90" s="6"/>
      <c r="J90" s="6"/>
      <c r="K90" s="7"/>
      <c r="L90" s="25"/>
      <c r="M90" s="23"/>
    </row>
    <row r="91">
      <c r="L91" s="40" t="s">
        <v>254</v>
      </c>
    </row>
  </sheetData>
  <mergeCells count="14">
    <mergeCell ref="F3:G3"/>
    <mergeCell ref="H3:I3"/>
    <mergeCell ref="J3:J4"/>
    <mergeCell ref="K3:K4"/>
    <mergeCell ref="E90:K90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5"/>
    <col customWidth="1" min="2" max="2" width="24.75"/>
    <col customWidth="1" min="4" max="4" width="43.25"/>
    <col customWidth="1" min="5" max="5" width="9.5"/>
  </cols>
  <sheetData>
    <row r="1">
      <c r="A1" s="1" t="s">
        <v>2270</v>
      </c>
    </row>
    <row r="2">
      <c r="A2" s="2" t="s">
        <v>1</v>
      </c>
      <c r="B2" s="3" t="s">
        <v>2</v>
      </c>
      <c r="C2" s="2" t="s">
        <v>3</v>
      </c>
      <c r="D2" s="4" t="s">
        <v>4</v>
      </c>
      <c r="E2" s="5" t="s">
        <v>5</v>
      </c>
      <c r="F2" s="6"/>
      <c r="G2" s="6"/>
      <c r="H2" s="6"/>
      <c r="I2" s="6"/>
      <c r="J2" s="6"/>
      <c r="K2" s="6"/>
      <c r="L2" s="6"/>
      <c r="M2" s="7"/>
    </row>
    <row r="3">
      <c r="A3" s="8"/>
      <c r="B3" s="8"/>
      <c r="C3" s="8"/>
      <c r="D3" s="8"/>
      <c r="E3" s="2" t="s">
        <v>6</v>
      </c>
      <c r="F3" s="5" t="s">
        <v>7</v>
      </c>
      <c r="G3" s="7"/>
      <c r="H3" s="5" t="s">
        <v>8</v>
      </c>
      <c r="I3" s="7"/>
      <c r="J3" s="2" t="s">
        <v>9</v>
      </c>
      <c r="K3" s="4" t="s">
        <v>10</v>
      </c>
      <c r="L3" s="2" t="s">
        <v>11</v>
      </c>
      <c r="M3" s="2" t="s">
        <v>12</v>
      </c>
    </row>
    <row r="4">
      <c r="A4" s="9"/>
      <c r="B4" s="9"/>
      <c r="C4" s="9"/>
      <c r="D4" s="9"/>
      <c r="E4" s="9"/>
      <c r="F4" s="10" t="s">
        <v>13</v>
      </c>
      <c r="G4" s="10" t="s">
        <v>14</v>
      </c>
      <c r="H4" s="10" t="s">
        <v>15</v>
      </c>
      <c r="I4" s="11" t="s">
        <v>16</v>
      </c>
      <c r="J4" s="9"/>
      <c r="K4" s="9"/>
      <c r="L4" s="9"/>
      <c r="M4" s="9"/>
    </row>
    <row r="5">
      <c r="A5" s="41">
        <v>1.0</v>
      </c>
      <c r="B5" s="46" t="s">
        <v>2271</v>
      </c>
      <c r="C5" s="46">
        <v>21384.0</v>
      </c>
      <c r="D5" s="46" t="s">
        <v>38</v>
      </c>
      <c r="E5" s="27"/>
      <c r="F5" s="28"/>
      <c r="G5" s="29"/>
      <c r="H5" s="30">
        <v>1450.0</v>
      </c>
      <c r="I5" s="31"/>
      <c r="J5" s="32"/>
      <c r="K5" s="33"/>
      <c r="L5" s="47">
        <v>1450.0</v>
      </c>
      <c r="M5" s="18">
        <f t="shared" ref="M5:M110" si="1">SUM(E5+F5+G5+H5+I5+J5+K5-L5)</f>
        <v>0</v>
      </c>
    </row>
    <row r="6">
      <c r="A6" s="41">
        <v>2.0</v>
      </c>
      <c r="B6" s="46" t="s">
        <v>2272</v>
      </c>
      <c r="C6" s="46">
        <v>10250.0</v>
      </c>
      <c r="D6" s="46" t="s">
        <v>107</v>
      </c>
      <c r="E6" s="27"/>
      <c r="F6" s="37"/>
      <c r="G6" s="29"/>
      <c r="H6" s="30">
        <v>50000.0</v>
      </c>
      <c r="I6" s="31"/>
      <c r="J6" s="35"/>
      <c r="K6" s="33"/>
      <c r="L6" s="47">
        <v>50000.0</v>
      </c>
      <c r="M6" s="18">
        <f t="shared" si="1"/>
        <v>0</v>
      </c>
    </row>
    <row r="7">
      <c r="A7" s="41">
        <v>3.0</v>
      </c>
      <c r="B7" s="46" t="s">
        <v>2273</v>
      </c>
      <c r="C7" s="46">
        <v>56555.0</v>
      </c>
      <c r="D7" s="46" t="s">
        <v>2274</v>
      </c>
      <c r="E7" s="27"/>
      <c r="F7" s="37"/>
      <c r="G7" s="29"/>
      <c r="H7" s="30">
        <v>3750.0</v>
      </c>
      <c r="I7" s="31"/>
      <c r="J7" s="35"/>
      <c r="K7" s="33"/>
      <c r="L7" s="47">
        <v>3750.0</v>
      </c>
      <c r="M7" s="18">
        <f t="shared" si="1"/>
        <v>0</v>
      </c>
    </row>
    <row r="8">
      <c r="A8" s="41">
        <v>4.0</v>
      </c>
      <c r="B8" s="46" t="s">
        <v>2275</v>
      </c>
      <c r="C8" s="46">
        <v>48052.0</v>
      </c>
      <c r="D8" s="46" t="s">
        <v>796</v>
      </c>
      <c r="E8" s="27"/>
      <c r="F8" s="28"/>
      <c r="G8" s="29"/>
      <c r="H8" s="30">
        <v>15000.0</v>
      </c>
      <c r="I8" s="31"/>
      <c r="J8" s="35"/>
      <c r="K8" s="33"/>
      <c r="L8" s="47">
        <v>15000.0</v>
      </c>
      <c r="M8" s="18">
        <f t="shared" si="1"/>
        <v>0</v>
      </c>
    </row>
    <row r="9">
      <c r="A9" s="41">
        <v>5.0</v>
      </c>
      <c r="B9" s="46" t="s">
        <v>2276</v>
      </c>
      <c r="C9" s="46">
        <v>46778.0</v>
      </c>
      <c r="D9" s="46" t="s">
        <v>109</v>
      </c>
      <c r="E9" s="38"/>
      <c r="F9" s="28"/>
      <c r="G9" s="29"/>
      <c r="H9" s="30"/>
      <c r="I9" s="31">
        <v>5150.0</v>
      </c>
      <c r="J9" s="35"/>
      <c r="K9" s="33"/>
      <c r="L9" s="47">
        <v>5150.0</v>
      </c>
      <c r="M9" s="18">
        <f t="shared" si="1"/>
        <v>0</v>
      </c>
    </row>
    <row r="10">
      <c r="A10" s="41">
        <v>6.0</v>
      </c>
      <c r="B10" s="46" t="s">
        <v>2277</v>
      </c>
      <c r="C10" s="46">
        <v>44149.0</v>
      </c>
      <c r="D10" s="46" t="s">
        <v>32</v>
      </c>
      <c r="E10" s="38"/>
      <c r="F10" s="28"/>
      <c r="G10" s="29"/>
      <c r="H10" s="30">
        <v>4750.0</v>
      </c>
      <c r="I10" s="31"/>
      <c r="J10" s="35"/>
      <c r="K10" s="33"/>
      <c r="L10" s="47">
        <v>4750.0</v>
      </c>
      <c r="M10" s="18">
        <f t="shared" si="1"/>
        <v>0</v>
      </c>
    </row>
    <row r="11">
      <c r="A11" s="41">
        <v>7.0</v>
      </c>
      <c r="B11" s="46" t="s">
        <v>2278</v>
      </c>
      <c r="C11" s="46">
        <v>10008.0</v>
      </c>
      <c r="D11" s="46" t="s">
        <v>78</v>
      </c>
      <c r="E11" s="27"/>
      <c r="F11" s="28"/>
      <c r="G11" s="29"/>
      <c r="H11" s="30">
        <v>26800.0</v>
      </c>
      <c r="I11" s="31"/>
      <c r="J11" s="35"/>
      <c r="K11" s="33"/>
      <c r="L11" s="47">
        <v>26800.0</v>
      </c>
      <c r="M11" s="18">
        <f t="shared" si="1"/>
        <v>0</v>
      </c>
    </row>
    <row r="12">
      <c r="A12" s="41">
        <v>8.0</v>
      </c>
      <c r="B12" s="46" t="s">
        <v>2279</v>
      </c>
      <c r="C12" s="46">
        <v>50119.0</v>
      </c>
      <c r="D12" s="46" t="s">
        <v>1036</v>
      </c>
      <c r="E12" s="27"/>
      <c r="F12" s="28"/>
      <c r="G12" s="29"/>
      <c r="H12" s="30"/>
      <c r="I12" s="31">
        <v>3557.0</v>
      </c>
      <c r="J12" s="35"/>
      <c r="K12" s="33"/>
      <c r="L12" s="47">
        <v>3557.0</v>
      </c>
      <c r="M12" s="18">
        <f t="shared" si="1"/>
        <v>0</v>
      </c>
    </row>
    <row r="13">
      <c r="A13" s="41">
        <v>9.0</v>
      </c>
      <c r="B13" s="46" t="s">
        <v>2280</v>
      </c>
      <c r="C13" s="46">
        <v>10255.0</v>
      </c>
      <c r="D13" s="46" t="s">
        <v>453</v>
      </c>
      <c r="E13" s="27"/>
      <c r="F13" s="28"/>
      <c r="G13" s="29"/>
      <c r="H13" s="30"/>
      <c r="I13" s="31">
        <v>6750.0</v>
      </c>
      <c r="J13" s="35"/>
      <c r="K13" s="33"/>
      <c r="L13" s="47">
        <v>6750.0</v>
      </c>
      <c r="M13" s="18">
        <f t="shared" si="1"/>
        <v>0</v>
      </c>
    </row>
    <row r="14">
      <c r="A14" s="41">
        <v>10.0</v>
      </c>
      <c r="B14" s="46" t="s">
        <v>2281</v>
      </c>
      <c r="C14" s="46">
        <v>55780.0</v>
      </c>
      <c r="D14" s="46" t="s">
        <v>2282</v>
      </c>
      <c r="E14" s="27"/>
      <c r="F14" s="28"/>
      <c r="G14" s="29"/>
      <c r="H14" s="30"/>
      <c r="I14" s="31">
        <v>25000.0</v>
      </c>
      <c r="J14" s="35"/>
      <c r="K14" s="33"/>
      <c r="L14" s="47">
        <v>25000.0</v>
      </c>
      <c r="M14" s="18">
        <f t="shared" si="1"/>
        <v>0</v>
      </c>
    </row>
    <row r="15">
      <c r="A15" s="41">
        <v>11.0</v>
      </c>
      <c r="B15" s="46" t="s">
        <v>2283</v>
      </c>
      <c r="C15" s="46">
        <v>22332.0</v>
      </c>
      <c r="D15" s="46" t="s">
        <v>138</v>
      </c>
      <c r="E15" s="27"/>
      <c r="F15" s="28"/>
      <c r="G15" s="29"/>
      <c r="H15" s="30">
        <v>3900.0</v>
      </c>
      <c r="I15" s="31"/>
      <c r="J15" s="35"/>
      <c r="K15" s="33"/>
      <c r="L15" s="47">
        <v>3900.0</v>
      </c>
      <c r="M15" s="18">
        <f t="shared" si="1"/>
        <v>0</v>
      </c>
    </row>
    <row r="16">
      <c r="A16" s="41">
        <v>12.0</v>
      </c>
      <c r="B16" s="46" t="s">
        <v>2284</v>
      </c>
      <c r="C16" s="46">
        <v>50871.0</v>
      </c>
      <c r="D16" s="46" t="s">
        <v>105</v>
      </c>
      <c r="E16" s="27"/>
      <c r="F16" s="28"/>
      <c r="G16" s="29"/>
      <c r="H16" s="30">
        <v>48200.0</v>
      </c>
      <c r="I16" s="31"/>
      <c r="J16" s="35"/>
      <c r="K16" s="33"/>
      <c r="L16" s="47">
        <v>48200.0</v>
      </c>
      <c r="M16" s="18">
        <f t="shared" si="1"/>
        <v>0</v>
      </c>
    </row>
    <row r="17">
      <c r="A17" s="41">
        <v>13.0</v>
      </c>
      <c r="B17" s="46" t="s">
        <v>2285</v>
      </c>
      <c r="C17" s="46">
        <v>21818.0</v>
      </c>
      <c r="D17" s="46" t="s">
        <v>69</v>
      </c>
      <c r="E17" s="27"/>
      <c r="F17" s="28"/>
      <c r="G17" s="29"/>
      <c r="H17" s="30"/>
      <c r="I17" s="31"/>
      <c r="J17" s="35">
        <v>28000.0</v>
      </c>
      <c r="K17" s="33"/>
      <c r="L17" s="47">
        <v>28000.0</v>
      </c>
      <c r="M17" s="18">
        <f t="shared" si="1"/>
        <v>0</v>
      </c>
    </row>
    <row r="18">
      <c r="A18" s="41">
        <v>14.0</v>
      </c>
      <c r="B18" s="46" t="s">
        <v>2286</v>
      </c>
      <c r="C18" s="46">
        <v>28414.0</v>
      </c>
      <c r="D18" s="46" t="s">
        <v>833</v>
      </c>
      <c r="E18" s="27"/>
      <c r="F18" s="28"/>
      <c r="G18" s="29"/>
      <c r="H18" s="30">
        <v>5000.0</v>
      </c>
      <c r="I18" s="31"/>
      <c r="J18" s="35"/>
      <c r="K18" s="33"/>
      <c r="L18" s="47">
        <v>5000.0</v>
      </c>
      <c r="M18" s="18">
        <f t="shared" si="1"/>
        <v>0</v>
      </c>
    </row>
    <row r="19">
      <c r="A19" s="41">
        <v>15.0</v>
      </c>
      <c r="B19" s="46" t="s">
        <v>2287</v>
      </c>
      <c r="C19" s="46">
        <v>55162.0</v>
      </c>
      <c r="D19" s="46" t="s">
        <v>170</v>
      </c>
      <c r="E19" s="38"/>
      <c r="F19" s="37"/>
      <c r="G19" s="29"/>
      <c r="H19" s="30"/>
      <c r="I19" s="31">
        <v>25000.0</v>
      </c>
      <c r="J19" s="35"/>
      <c r="K19" s="33"/>
      <c r="L19" s="47">
        <v>25000.0</v>
      </c>
      <c r="M19" s="18">
        <f t="shared" si="1"/>
        <v>0</v>
      </c>
    </row>
    <row r="20">
      <c r="A20" s="41">
        <v>16.0</v>
      </c>
      <c r="B20" s="46" t="s">
        <v>2288</v>
      </c>
      <c r="C20" s="46">
        <v>48052.0</v>
      </c>
      <c r="D20" s="46" t="s">
        <v>796</v>
      </c>
      <c r="E20" s="27"/>
      <c r="F20" s="28"/>
      <c r="G20" s="29"/>
      <c r="H20" s="30">
        <v>700.0</v>
      </c>
      <c r="I20" s="31"/>
      <c r="J20" s="35"/>
      <c r="K20" s="33"/>
      <c r="L20" s="47">
        <v>700.0</v>
      </c>
      <c r="M20" s="18">
        <f t="shared" si="1"/>
        <v>0</v>
      </c>
    </row>
    <row r="21">
      <c r="A21" s="41">
        <v>17.0</v>
      </c>
      <c r="B21" s="46" t="s">
        <v>2289</v>
      </c>
      <c r="C21" s="46">
        <v>37642.0</v>
      </c>
      <c r="D21" s="46" t="s">
        <v>482</v>
      </c>
      <c r="E21" s="27"/>
      <c r="F21" s="37"/>
      <c r="G21" s="29"/>
      <c r="H21" s="30">
        <v>1600.0</v>
      </c>
      <c r="I21" s="31"/>
      <c r="J21" s="35"/>
      <c r="K21" s="33"/>
      <c r="L21" s="47">
        <v>1600.0</v>
      </c>
      <c r="M21" s="18">
        <f t="shared" si="1"/>
        <v>0</v>
      </c>
    </row>
    <row r="22">
      <c r="A22" s="41">
        <v>18.0</v>
      </c>
      <c r="B22" s="46" t="s">
        <v>2290</v>
      </c>
      <c r="C22" s="46">
        <v>25650.0</v>
      </c>
      <c r="D22" s="46" t="s">
        <v>378</v>
      </c>
      <c r="E22" s="27"/>
      <c r="F22" s="28"/>
      <c r="G22" s="29"/>
      <c r="H22" s="30">
        <v>200.0</v>
      </c>
      <c r="I22" s="31"/>
      <c r="J22" s="35"/>
      <c r="K22" s="33"/>
      <c r="L22" s="47">
        <v>200.0</v>
      </c>
      <c r="M22" s="18">
        <f t="shared" si="1"/>
        <v>0</v>
      </c>
    </row>
    <row r="23">
      <c r="A23" s="41">
        <v>19.0</v>
      </c>
      <c r="B23" s="46" t="s">
        <v>2291</v>
      </c>
      <c r="C23" s="46">
        <v>51970.0</v>
      </c>
      <c r="D23" s="46" t="s">
        <v>858</v>
      </c>
      <c r="E23" s="27"/>
      <c r="F23" s="37"/>
      <c r="G23" s="29"/>
      <c r="H23" s="30">
        <v>10000.0</v>
      </c>
      <c r="I23" s="31"/>
      <c r="J23" s="35"/>
      <c r="K23" s="33"/>
      <c r="L23" s="47">
        <v>10000.0</v>
      </c>
      <c r="M23" s="18">
        <f t="shared" si="1"/>
        <v>0</v>
      </c>
    </row>
    <row r="24">
      <c r="A24" s="41">
        <v>20.0</v>
      </c>
      <c r="B24" s="46" t="s">
        <v>2292</v>
      </c>
      <c r="C24" s="46">
        <v>24751.0</v>
      </c>
      <c r="D24" s="46" t="s">
        <v>610</v>
      </c>
      <c r="E24" s="38"/>
      <c r="F24" s="28"/>
      <c r="G24" s="29"/>
      <c r="H24" s="30">
        <v>800.0</v>
      </c>
      <c r="I24" s="31"/>
      <c r="J24" s="35"/>
      <c r="K24" s="33"/>
      <c r="L24" s="47">
        <v>800.0</v>
      </c>
      <c r="M24" s="18">
        <f t="shared" si="1"/>
        <v>0</v>
      </c>
    </row>
    <row r="25">
      <c r="A25" s="41">
        <v>21.0</v>
      </c>
      <c r="B25" s="46" t="s">
        <v>2293</v>
      </c>
      <c r="C25" s="46">
        <v>57796.0</v>
      </c>
      <c r="D25" s="46" t="s">
        <v>2294</v>
      </c>
      <c r="E25" s="38"/>
      <c r="F25" s="28"/>
      <c r="G25" s="29"/>
      <c r="H25" s="30">
        <v>27000.0</v>
      </c>
      <c r="I25" s="31"/>
      <c r="J25" s="35"/>
      <c r="K25" s="33"/>
      <c r="L25" s="47">
        <v>27000.0</v>
      </c>
      <c r="M25" s="18">
        <f t="shared" si="1"/>
        <v>0</v>
      </c>
    </row>
    <row r="26">
      <c r="A26" s="41">
        <v>22.0</v>
      </c>
      <c r="B26" s="46" t="s">
        <v>2295</v>
      </c>
      <c r="C26" s="46">
        <v>57625.0</v>
      </c>
      <c r="D26" s="46" t="s">
        <v>2296</v>
      </c>
      <c r="E26" s="27"/>
      <c r="F26" s="37"/>
      <c r="G26" s="29"/>
      <c r="H26" s="30"/>
      <c r="I26" s="31">
        <v>27000.0</v>
      </c>
      <c r="J26" s="35"/>
      <c r="K26" s="33"/>
      <c r="L26" s="47">
        <v>27000.0</v>
      </c>
      <c r="M26" s="18">
        <f t="shared" si="1"/>
        <v>0</v>
      </c>
    </row>
    <row r="27">
      <c r="A27" s="41">
        <v>23.0</v>
      </c>
      <c r="B27" s="46" t="s">
        <v>2297</v>
      </c>
      <c r="C27" s="46">
        <v>35245.0</v>
      </c>
      <c r="D27" s="46" t="s">
        <v>34</v>
      </c>
      <c r="E27" s="38"/>
      <c r="F27" s="28"/>
      <c r="G27" s="29"/>
      <c r="H27" s="30"/>
      <c r="I27" s="31"/>
      <c r="J27" s="35">
        <v>1178.0</v>
      </c>
      <c r="K27" s="33"/>
      <c r="L27" s="47">
        <v>1478.0</v>
      </c>
      <c r="M27" s="18">
        <f t="shared" si="1"/>
        <v>-300</v>
      </c>
    </row>
    <row r="28">
      <c r="A28" s="41">
        <v>24.0</v>
      </c>
      <c r="B28" s="46" t="s">
        <v>2298</v>
      </c>
      <c r="C28" s="46">
        <v>49953.0</v>
      </c>
      <c r="D28" s="46" t="s">
        <v>1821</v>
      </c>
      <c r="E28" s="27"/>
      <c r="F28" s="37"/>
      <c r="G28" s="29"/>
      <c r="H28" s="30">
        <v>102.0</v>
      </c>
      <c r="I28" s="31"/>
      <c r="J28" s="35"/>
      <c r="K28" s="33"/>
      <c r="L28" s="47">
        <v>102.0</v>
      </c>
      <c r="M28" s="18">
        <f t="shared" si="1"/>
        <v>0</v>
      </c>
    </row>
    <row r="29">
      <c r="A29" s="41">
        <v>25.0</v>
      </c>
      <c r="B29" s="46" t="s">
        <v>2299</v>
      </c>
      <c r="C29" s="46">
        <v>45937.0</v>
      </c>
      <c r="D29" s="46" t="s">
        <v>337</v>
      </c>
      <c r="E29" s="27"/>
      <c r="F29" s="28"/>
      <c r="G29" s="29"/>
      <c r="H29" s="30">
        <v>1250.0</v>
      </c>
      <c r="I29" s="31"/>
      <c r="J29" s="35"/>
      <c r="K29" s="33"/>
      <c r="L29" s="47">
        <v>1250.0</v>
      </c>
      <c r="M29" s="18">
        <f t="shared" si="1"/>
        <v>0</v>
      </c>
    </row>
    <row r="30">
      <c r="A30" s="41">
        <v>26.0</v>
      </c>
      <c r="B30" s="46" t="s">
        <v>2300</v>
      </c>
      <c r="C30" s="46">
        <v>44149.0</v>
      </c>
      <c r="D30" s="46" t="s">
        <v>32</v>
      </c>
      <c r="E30" s="27"/>
      <c r="F30" s="28"/>
      <c r="G30" s="29"/>
      <c r="H30" s="30">
        <v>125350.0</v>
      </c>
      <c r="I30" s="31"/>
      <c r="J30" s="35"/>
      <c r="K30" s="33"/>
      <c r="L30" s="47">
        <v>125350.0</v>
      </c>
      <c r="M30" s="18">
        <f t="shared" si="1"/>
        <v>0</v>
      </c>
    </row>
    <row r="31">
      <c r="A31" s="41">
        <v>27.0</v>
      </c>
      <c r="B31" s="46" t="s">
        <v>2301</v>
      </c>
      <c r="C31" s="46">
        <v>50595.0</v>
      </c>
      <c r="D31" s="46" t="s">
        <v>158</v>
      </c>
      <c r="E31" s="27"/>
      <c r="F31" s="28"/>
      <c r="G31" s="29"/>
      <c r="H31" s="30">
        <v>448.0</v>
      </c>
      <c r="I31" s="31"/>
      <c r="J31" s="35"/>
      <c r="K31" s="33"/>
      <c r="L31" s="47">
        <v>448.0</v>
      </c>
      <c r="M31" s="18">
        <f t="shared" si="1"/>
        <v>0</v>
      </c>
    </row>
    <row r="32">
      <c r="A32" s="41">
        <v>28.0</v>
      </c>
      <c r="B32" s="46" t="s">
        <v>2302</v>
      </c>
      <c r="C32" s="46">
        <v>43955.0</v>
      </c>
      <c r="D32" s="46" t="s">
        <v>1648</v>
      </c>
      <c r="E32" s="27"/>
      <c r="F32" s="37"/>
      <c r="G32" s="29"/>
      <c r="H32" s="30">
        <v>1250.0</v>
      </c>
      <c r="I32" s="31"/>
      <c r="J32" s="35"/>
      <c r="K32" s="33"/>
      <c r="L32" s="47">
        <v>1250.0</v>
      </c>
      <c r="M32" s="18">
        <f t="shared" si="1"/>
        <v>0</v>
      </c>
    </row>
    <row r="33">
      <c r="A33" s="41">
        <v>29.0</v>
      </c>
      <c r="B33" s="46" t="s">
        <v>2303</v>
      </c>
      <c r="C33" s="46">
        <v>12102.0</v>
      </c>
      <c r="D33" s="46" t="s">
        <v>345</v>
      </c>
      <c r="E33" s="38"/>
      <c r="F33" s="28"/>
      <c r="G33" s="29"/>
      <c r="H33" s="30">
        <v>2790.0</v>
      </c>
      <c r="I33" s="31"/>
      <c r="J33" s="35"/>
      <c r="K33" s="33"/>
      <c r="L33" s="47">
        <v>2790.0</v>
      </c>
      <c r="M33" s="18">
        <f t="shared" si="1"/>
        <v>0</v>
      </c>
    </row>
    <row r="34">
      <c r="A34" s="41">
        <v>30.0</v>
      </c>
      <c r="B34" s="46" t="s">
        <v>2304</v>
      </c>
      <c r="C34" s="46">
        <v>50499.0</v>
      </c>
      <c r="D34" s="46" t="s">
        <v>1367</v>
      </c>
      <c r="E34" s="27"/>
      <c r="F34" s="28"/>
      <c r="G34" s="29"/>
      <c r="H34" s="30">
        <v>853.0</v>
      </c>
      <c r="I34" s="31"/>
      <c r="J34" s="35"/>
      <c r="K34" s="33"/>
      <c r="L34" s="47">
        <v>853.0</v>
      </c>
      <c r="M34" s="18">
        <f t="shared" si="1"/>
        <v>0</v>
      </c>
    </row>
    <row r="35">
      <c r="A35" s="41">
        <v>31.0</v>
      </c>
      <c r="B35" s="46" t="s">
        <v>2305</v>
      </c>
      <c r="C35" s="46">
        <v>48631.0</v>
      </c>
      <c r="D35" s="46" t="s">
        <v>118</v>
      </c>
      <c r="E35" s="27"/>
      <c r="F35" s="28"/>
      <c r="G35" s="29"/>
      <c r="H35" s="30">
        <v>10300.0</v>
      </c>
      <c r="I35" s="31"/>
      <c r="J35" s="32"/>
      <c r="K35" s="33"/>
      <c r="L35" s="47">
        <v>10300.0</v>
      </c>
      <c r="M35" s="18">
        <f t="shared" si="1"/>
        <v>0</v>
      </c>
    </row>
    <row r="36">
      <c r="A36" s="41">
        <v>32.0</v>
      </c>
      <c r="B36" s="46" t="s">
        <v>2306</v>
      </c>
      <c r="C36" s="46">
        <v>51406.0</v>
      </c>
      <c r="D36" s="46" t="s">
        <v>18</v>
      </c>
      <c r="E36" s="27"/>
      <c r="F36" s="28"/>
      <c r="G36" s="29"/>
      <c r="H36" s="30"/>
      <c r="I36" s="31">
        <v>14750.0</v>
      </c>
      <c r="J36" s="32"/>
      <c r="K36" s="33"/>
      <c r="L36" s="47">
        <v>14750.0</v>
      </c>
      <c r="M36" s="18">
        <f t="shared" si="1"/>
        <v>0</v>
      </c>
    </row>
    <row r="37">
      <c r="A37" s="41">
        <v>33.0</v>
      </c>
      <c r="B37" s="46" t="s">
        <v>2307</v>
      </c>
      <c r="C37" s="46">
        <v>14304.0</v>
      </c>
      <c r="D37" s="46" t="s">
        <v>2308</v>
      </c>
      <c r="E37" s="27"/>
      <c r="F37" s="28"/>
      <c r="G37" s="29"/>
      <c r="H37" s="30">
        <v>6400.0</v>
      </c>
      <c r="I37" s="31"/>
      <c r="J37" s="32"/>
      <c r="K37" s="33"/>
      <c r="L37" s="47">
        <v>6400.0</v>
      </c>
      <c r="M37" s="18">
        <f t="shared" si="1"/>
        <v>0</v>
      </c>
    </row>
    <row r="38">
      <c r="A38" s="41">
        <v>34.0</v>
      </c>
      <c r="B38" s="46" t="s">
        <v>2309</v>
      </c>
      <c r="C38" s="46">
        <v>53364.0</v>
      </c>
      <c r="D38" s="46" t="s">
        <v>1320</v>
      </c>
      <c r="E38" s="27"/>
      <c r="F38" s="37"/>
      <c r="G38" s="29"/>
      <c r="H38" s="30">
        <v>1400.0</v>
      </c>
      <c r="I38" s="31"/>
      <c r="J38" s="32"/>
      <c r="K38" s="33"/>
      <c r="L38" s="47">
        <v>1400.0</v>
      </c>
      <c r="M38" s="18">
        <f t="shared" si="1"/>
        <v>0</v>
      </c>
    </row>
    <row r="39">
      <c r="A39" s="41">
        <v>35.0</v>
      </c>
      <c r="B39" s="46" t="s">
        <v>2310</v>
      </c>
      <c r="C39" s="46">
        <v>22332.0</v>
      </c>
      <c r="D39" s="46" t="s">
        <v>138</v>
      </c>
      <c r="E39" s="38"/>
      <c r="F39" s="28"/>
      <c r="G39" s="29"/>
      <c r="H39" s="30">
        <v>12000.0</v>
      </c>
      <c r="I39" s="31"/>
      <c r="J39" s="35"/>
      <c r="K39" s="33"/>
      <c r="L39" s="47">
        <v>12000.0</v>
      </c>
      <c r="M39" s="18">
        <f t="shared" si="1"/>
        <v>0</v>
      </c>
    </row>
    <row r="40">
      <c r="A40" s="41">
        <v>36.0</v>
      </c>
      <c r="B40" s="46" t="s">
        <v>2311</v>
      </c>
      <c r="C40" s="46">
        <v>48862.0</v>
      </c>
      <c r="D40" s="46" t="s">
        <v>2312</v>
      </c>
      <c r="E40" s="27"/>
      <c r="F40" s="37"/>
      <c r="G40" s="29"/>
      <c r="H40" s="30">
        <v>2300.0</v>
      </c>
      <c r="I40" s="36"/>
      <c r="J40" s="32"/>
      <c r="K40" s="33"/>
      <c r="L40" s="47">
        <v>2300.0</v>
      </c>
      <c r="M40" s="18">
        <f t="shared" si="1"/>
        <v>0</v>
      </c>
    </row>
    <row r="41">
      <c r="A41" s="41">
        <v>37.0</v>
      </c>
      <c r="B41" s="46" t="s">
        <v>2313</v>
      </c>
      <c r="C41" s="46">
        <v>51051.0</v>
      </c>
      <c r="D41" s="46" t="s">
        <v>714</v>
      </c>
      <c r="E41" s="27"/>
      <c r="F41" s="28"/>
      <c r="G41" s="29"/>
      <c r="H41" s="30">
        <v>15000.0</v>
      </c>
      <c r="I41" s="31"/>
      <c r="J41" s="35"/>
      <c r="K41" s="33"/>
      <c r="L41" s="47">
        <v>15000.0</v>
      </c>
      <c r="M41" s="18">
        <f t="shared" si="1"/>
        <v>0</v>
      </c>
    </row>
    <row r="42">
      <c r="A42" s="41">
        <v>38.0</v>
      </c>
      <c r="B42" s="46" t="s">
        <v>2314</v>
      </c>
      <c r="C42" s="46">
        <v>54076.0</v>
      </c>
      <c r="D42" s="46" t="s">
        <v>935</v>
      </c>
      <c r="E42" s="27"/>
      <c r="F42" s="28"/>
      <c r="G42" s="29"/>
      <c r="H42" s="30"/>
      <c r="I42" s="31">
        <v>5150.0</v>
      </c>
      <c r="J42" s="35"/>
      <c r="K42" s="33"/>
      <c r="L42" s="47">
        <v>5150.0</v>
      </c>
      <c r="M42" s="18">
        <f t="shared" si="1"/>
        <v>0</v>
      </c>
    </row>
    <row r="43">
      <c r="A43" s="41">
        <v>39.0</v>
      </c>
      <c r="B43" s="46" t="s">
        <v>2315</v>
      </c>
      <c r="C43" s="46">
        <v>52727.0</v>
      </c>
      <c r="D43" s="46" t="s">
        <v>798</v>
      </c>
      <c r="E43" s="27"/>
      <c r="F43" s="37"/>
      <c r="G43" s="29"/>
      <c r="H43" s="30">
        <v>8050.0</v>
      </c>
      <c r="I43" s="36"/>
      <c r="J43" s="32"/>
      <c r="K43" s="33"/>
      <c r="L43" s="47">
        <v>8050.0</v>
      </c>
      <c r="M43" s="18">
        <f t="shared" si="1"/>
        <v>0</v>
      </c>
    </row>
    <row r="44">
      <c r="A44" s="41">
        <v>40.0</v>
      </c>
      <c r="B44" s="46" t="s">
        <v>2316</v>
      </c>
      <c r="C44" s="46">
        <v>50184.0</v>
      </c>
      <c r="D44" s="46" t="s">
        <v>2317</v>
      </c>
      <c r="E44" s="27"/>
      <c r="F44" s="37"/>
      <c r="G44" s="29"/>
      <c r="H44" s="30">
        <v>10100.0</v>
      </c>
      <c r="I44" s="31"/>
      <c r="J44" s="32"/>
      <c r="K44" s="33"/>
      <c r="L44" s="47">
        <v>10100.0</v>
      </c>
      <c r="M44" s="18">
        <f t="shared" si="1"/>
        <v>0</v>
      </c>
    </row>
    <row r="45">
      <c r="A45" s="41">
        <v>41.0</v>
      </c>
      <c r="B45" s="46" t="s">
        <v>2318</v>
      </c>
      <c r="C45" s="46">
        <v>46654.0</v>
      </c>
      <c r="D45" s="46" t="s">
        <v>2319</v>
      </c>
      <c r="E45" s="27"/>
      <c r="F45" s="37"/>
      <c r="G45" s="29"/>
      <c r="H45" s="30"/>
      <c r="I45" s="31">
        <v>3700.0</v>
      </c>
      <c r="J45" s="32"/>
      <c r="K45" s="33"/>
      <c r="L45" s="47">
        <v>3700.0</v>
      </c>
      <c r="M45" s="18">
        <f t="shared" si="1"/>
        <v>0</v>
      </c>
    </row>
    <row r="46">
      <c r="A46" s="41">
        <v>42.0</v>
      </c>
      <c r="B46" s="46" t="s">
        <v>2320</v>
      </c>
      <c r="C46" s="46">
        <v>10320.0</v>
      </c>
      <c r="D46" s="46" t="s">
        <v>447</v>
      </c>
      <c r="E46" s="27"/>
      <c r="F46" s="37"/>
      <c r="G46" s="29"/>
      <c r="H46" s="30">
        <v>5000.0</v>
      </c>
      <c r="I46" s="31"/>
      <c r="J46" s="32"/>
      <c r="K46" s="33"/>
      <c r="L46" s="47">
        <v>5000.0</v>
      </c>
      <c r="M46" s="18">
        <f t="shared" si="1"/>
        <v>0</v>
      </c>
    </row>
    <row r="47">
      <c r="A47" s="41">
        <v>43.0</v>
      </c>
      <c r="B47" s="46" t="s">
        <v>2321</v>
      </c>
      <c r="C47" s="46">
        <v>52206.0</v>
      </c>
      <c r="D47" s="46" t="s">
        <v>1419</v>
      </c>
      <c r="E47" s="27"/>
      <c r="F47" s="37"/>
      <c r="G47" s="29"/>
      <c r="H47" s="30">
        <v>2500.0</v>
      </c>
      <c r="I47" s="31"/>
      <c r="J47" s="32"/>
      <c r="K47" s="33"/>
      <c r="L47" s="47">
        <v>2500.0</v>
      </c>
      <c r="M47" s="18">
        <f t="shared" si="1"/>
        <v>0</v>
      </c>
    </row>
    <row r="48">
      <c r="A48" s="41">
        <v>44.0</v>
      </c>
      <c r="B48" s="46" t="s">
        <v>2322</v>
      </c>
      <c r="C48" s="46">
        <v>43349.0</v>
      </c>
      <c r="D48" s="46" t="s">
        <v>916</v>
      </c>
      <c r="E48" s="27"/>
      <c r="F48" s="37"/>
      <c r="G48" s="29"/>
      <c r="H48" s="30">
        <v>2595.0</v>
      </c>
      <c r="I48" s="31"/>
      <c r="J48" s="32"/>
      <c r="K48" s="33"/>
      <c r="L48" s="47">
        <v>2595.0</v>
      </c>
      <c r="M48" s="18">
        <f t="shared" si="1"/>
        <v>0</v>
      </c>
    </row>
    <row r="49">
      <c r="A49" s="41">
        <v>45.0</v>
      </c>
      <c r="B49" s="46" t="s">
        <v>2323</v>
      </c>
      <c r="C49" s="46">
        <v>39588.0</v>
      </c>
      <c r="D49" s="46" t="s">
        <v>274</v>
      </c>
      <c r="E49" s="27"/>
      <c r="F49" s="37"/>
      <c r="G49" s="29"/>
      <c r="H49" s="30">
        <v>4500.0</v>
      </c>
      <c r="I49" s="31"/>
      <c r="J49" s="32"/>
      <c r="K49" s="33"/>
      <c r="L49" s="47">
        <v>4500.0</v>
      </c>
      <c r="M49" s="18">
        <f t="shared" si="1"/>
        <v>0</v>
      </c>
    </row>
    <row r="50">
      <c r="A50" s="41">
        <v>46.0</v>
      </c>
      <c r="B50" s="46" t="s">
        <v>2324</v>
      </c>
      <c r="C50" s="46">
        <v>10006.0</v>
      </c>
      <c r="D50" s="46" t="s">
        <v>654</v>
      </c>
      <c r="E50" s="27"/>
      <c r="F50" s="37"/>
      <c r="G50" s="29"/>
      <c r="H50" s="30"/>
      <c r="I50" s="31">
        <v>27000.0</v>
      </c>
      <c r="J50" s="32"/>
      <c r="K50" s="33"/>
      <c r="L50" s="47">
        <v>27000.0</v>
      </c>
      <c r="M50" s="18">
        <f t="shared" si="1"/>
        <v>0</v>
      </c>
    </row>
    <row r="51">
      <c r="A51" s="41">
        <v>47.0</v>
      </c>
      <c r="B51" s="46" t="s">
        <v>2325</v>
      </c>
      <c r="C51" s="46">
        <v>35449.0</v>
      </c>
      <c r="D51" s="46" t="s">
        <v>339</v>
      </c>
      <c r="E51" s="27"/>
      <c r="F51" s="37"/>
      <c r="G51" s="29"/>
      <c r="H51" s="30"/>
      <c r="I51" s="31">
        <v>5150.0</v>
      </c>
      <c r="J51" s="32"/>
      <c r="K51" s="33"/>
      <c r="L51" s="47">
        <v>5150.0</v>
      </c>
      <c r="M51" s="18">
        <f t="shared" si="1"/>
        <v>0</v>
      </c>
    </row>
    <row r="52">
      <c r="A52" s="41">
        <v>48.0</v>
      </c>
      <c r="B52" s="46" t="s">
        <v>2326</v>
      </c>
      <c r="C52" s="46">
        <v>48631.0</v>
      </c>
      <c r="D52" s="46" t="s">
        <v>118</v>
      </c>
      <c r="E52" s="27"/>
      <c r="F52" s="37"/>
      <c r="G52" s="29"/>
      <c r="H52" s="30">
        <v>150.0</v>
      </c>
      <c r="I52" s="31">
        <v>5000.0</v>
      </c>
      <c r="J52" s="32"/>
      <c r="K52" s="33"/>
      <c r="L52" s="47">
        <v>5150.0</v>
      </c>
      <c r="M52" s="18">
        <f t="shared" si="1"/>
        <v>0</v>
      </c>
    </row>
    <row r="53">
      <c r="A53" s="41">
        <v>49.0</v>
      </c>
      <c r="B53" s="46" t="s">
        <v>2327</v>
      </c>
      <c r="C53" s="46">
        <v>44149.0</v>
      </c>
      <c r="D53" s="46" t="s">
        <v>32</v>
      </c>
      <c r="E53" s="27"/>
      <c r="F53" s="37"/>
      <c r="G53" s="29"/>
      <c r="H53" s="30">
        <v>6400.0</v>
      </c>
      <c r="I53" s="31"/>
      <c r="J53" s="32"/>
      <c r="K53" s="33"/>
      <c r="L53" s="47">
        <v>6400.0</v>
      </c>
      <c r="M53" s="18">
        <f t="shared" si="1"/>
        <v>0</v>
      </c>
    </row>
    <row r="54">
      <c r="A54" s="41">
        <v>50.0</v>
      </c>
      <c r="B54" s="46" t="s">
        <v>2328</v>
      </c>
      <c r="C54" s="46">
        <v>15709.0</v>
      </c>
      <c r="D54" s="46" t="s">
        <v>1333</v>
      </c>
      <c r="E54" s="27"/>
      <c r="F54" s="37"/>
      <c r="G54" s="29"/>
      <c r="H54" s="30">
        <v>5000.0</v>
      </c>
      <c r="I54" s="31"/>
      <c r="J54" s="32"/>
      <c r="K54" s="33"/>
      <c r="L54" s="47">
        <v>5000.0</v>
      </c>
      <c r="M54" s="18">
        <f t="shared" si="1"/>
        <v>0</v>
      </c>
    </row>
    <row r="55">
      <c r="A55" s="41">
        <v>51.0</v>
      </c>
      <c r="B55" s="46" t="s">
        <v>2329</v>
      </c>
      <c r="C55" s="46">
        <v>15709.0</v>
      </c>
      <c r="D55" s="46" t="s">
        <v>1333</v>
      </c>
      <c r="E55" s="27"/>
      <c r="F55" s="37"/>
      <c r="G55" s="29"/>
      <c r="H55" s="30">
        <v>3600.0</v>
      </c>
      <c r="I55" s="31"/>
      <c r="J55" s="32"/>
      <c r="K55" s="33"/>
      <c r="L55" s="47">
        <v>3600.0</v>
      </c>
      <c r="M55" s="18">
        <f t="shared" si="1"/>
        <v>0</v>
      </c>
    </row>
    <row r="56">
      <c r="A56" s="41">
        <v>52.0</v>
      </c>
      <c r="B56" s="46" t="s">
        <v>2330</v>
      </c>
      <c r="C56" s="46">
        <v>57426.0</v>
      </c>
      <c r="D56" s="46" t="s">
        <v>2331</v>
      </c>
      <c r="E56" s="27"/>
      <c r="F56" s="37"/>
      <c r="G56" s="29"/>
      <c r="H56" s="30"/>
      <c r="I56" s="31">
        <v>200.0</v>
      </c>
      <c r="J56" s="32"/>
      <c r="K56" s="33"/>
      <c r="L56" s="47">
        <v>200.0</v>
      </c>
      <c r="M56" s="18">
        <f t="shared" si="1"/>
        <v>0</v>
      </c>
    </row>
    <row r="57">
      <c r="A57" s="41">
        <v>53.0</v>
      </c>
      <c r="B57" s="46" t="s">
        <v>2332</v>
      </c>
      <c r="C57" s="46">
        <v>51848.0</v>
      </c>
      <c r="D57" s="46" t="s">
        <v>519</v>
      </c>
      <c r="E57" s="27"/>
      <c r="F57" s="37"/>
      <c r="G57" s="29"/>
      <c r="H57" s="30"/>
      <c r="I57" s="31">
        <v>5150.0</v>
      </c>
      <c r="J57" s="32"/>
      <c r="K57" s="33"/>
      <c r="L57" s="47">
        <v>5150.0</v>
      </c>
      <c r="M57" s="18">
        <f t="shared" si="1"/>
        <v>0</v>
      </c>
    </row>
    <row r="58">
      <c r="A58" s="41">
        <v>54.0</v>
      </c>
      <c r="B58" s="46" t="s">
        <v>2333</v>
      </c>
      <c r="C58" s="46">
        <v>51698.0</v>
      </c>
      <c r="D58" s="46" t="s">
        <v>2334</v>
      </c>
      <c r="E58" s="27"/>
      <c r="F58" s="37"/>
      <c r="G58" s="29"/>
      <c r="H58" s="30">
        <v>25000.0</v>
      </c>
      <c r="I58" s="31"/>
      <c r="J58" s="32"/>
      <c r="K58" s="33"/>
      <c r="L58" s="47">
        <v>25000.0</v>
      </c>
      <c r="M58" s="18">
        <f t="shared" si="1"/>
        <v>0</v>
      </c>
    </row>
    <row r="59">
      <c r="A59" s="41">
        <v>55.0</v>
      </c>
      <c r="B59" s="46" t="s">
        <v>2335</v>
      </c>
      <c r="C59" s="46">
        <v>43955.0</v>
      </c>
      <c r="D59" s="46" t="s">
        <v>1648</v>
      </c>
      <c r="E59" s="27"/>
      <c r="F59" s="37"/>
      <c r="G59" s="29"/>
      <c r="H59" s="30">
        <v>450.0</v>
      </c>
      <c r="I59" s="31"/>
      <c r="J59" s="32"/>
      <c r="K59" s="33"/>
      <c r="L59" s="47">
        <v>450.0</v>
      </c>
      <c r="M59" s="18">
        <f t="shared" si="1"/>
        <v>0</v>
      </c>
    </row>
    <row r="60">
      <c r="A60" s="41">
        <v>56.0</v>
      </c>
      <c r="B60" s="46" t="s">
        <v>2336</v>
      </c>
      <c r="C60" s="46">
        <v>48657.0</v>
      </c>
      <c r="D60" s="46" t="s">
        <v>1663</v>
      </c>
      <c r="E60" s="27"/>
      <c r="F60" s="37"/>
      <c r="G60" s="29"/>
      <c r="H60" s="30">
        <v>2500.0</v>
      </c>
      <c r="I60" s="31"/>
      <c r="J60" s="32"/>
      <c r="K60" s="33"/>
      <c r="L60" s="47">
        <v>2500.0</v>
      </c>
      <c r="M60" s="18">
        <f t="shared" si="1"/>
        <v>0</v>
      </c>
    </row>
    <row r="61">
      <c r="A61" s="41">
        <v>57.0</v>
      </c>
      <c r="B61" s="46" t="s">
        <v>2337</v>
      </c>
      <c r="C61" s="46">
        <v>16390.0</v>
      </c>
      <c r="D61" s="46" t="s">
        <v>1115</v>
      </c>
      <c r="E61" s="27"/>
      <c r="F61" s="37"/>
      <c r="G61" s="29"/>
      <c r="H61" s="30"/>
      <c r="I61" s="31">
        <v>22500.0</v>
      </c>
      <c r="J61" s="32"/>
      <c r="K61" s="33"/>
      <c r="L61" s="47">
        <v>22500.0</v>
      </c>
      <c r="M61" s="18">
        <f t="shared" si="1"/>
        <v>0</v>
      </c>
    </row>
    <row r="62">
      <c r="A62" s="41">
        <v>58.0</v>
      </c>
      <c r="B62" s="46" t="s">
        <v>2338</v>
      </c>
      <c r="C62" s="46">
        <v>45487.0</v>
      </c>
      <c r="D62" s="46" t="s">
        <v>2339</v>
      </c>
      <c r="E62" s="27"/>
      <c r="F62" s="37"/>
      <c r="G62" s="29"/>
      <c r="H62" s="30"/>
      <c r="I62" s="31">
        <v>4600.0</v>
      </c>
      <c r="J62" s="32"/>
      <c r="K62" s="33"/>
      <c r="L62" s="47">
        <v>4600.0</v>
      </c>
      <c r="M62" s="18">
        <f t="shared" si="1"/>
        <v>0</v>
      </c>
    </row>
    <row r="63">
      <c r="A63" s="41">
        <v>59.0</v>
      </c>
      <c r="B63" s="46" t="s">
        <v>2340</v>
      </c>
      <c r="C63" s="46">
        <v>56433.0</v>
      </c>
      <c r="D63" s="46" t="s">
        <v>2170</v>
      </c>
      <c r="E63" s="27"/>
      <c r="F63" s="37"/>
      <c r="G63" s="29"/>
      <c r="H63" s="30"/>
      <c r="I63" s="31">
        <v>15000.0</v>
      </c>
      <c r="J63" s="32"/>
      <c r="K63" s="33"/>
      <c r="L63" s="47">
        <v>15000.0</v>
      </c>
      <c r="M63" s="18">
        <f t="shared" si="1"/>
        <v>0</v>
      </c>
    </row>
    <row r="64">
      <c r="A64" s="41">
        <v>60.0</v>
      </c>
      <c r="B64" s="46" t="s">
        <v>2341</v>
      </c>
      <c r="C64" s="46">
        <v>46778.0</v>
      </c>
      <c r="D64" s="46" t="s">
        <v>109</v>
      </c>
      <c r="E64" s="27"/>
      <c r="F64" s="37"/>
      <c r="G64" s="29"/>
      <c r="H64" s="30"/>
      <c r="I64" s="31">
        <v>2850.0</v>
      </c>
      <c r="J64" s="32"/>
      <c r="K64" s="33"/>
      <c r="L64" s="47">
        <v>2850.0</v>
      </c>
      <c r="M64" s="18">
        <f t="shared" si="1"/>
        <v>0</v>
      </c>
    </row>
    <row r="65">
      <c r="A65" s="41">
        <v>61.0</v>
      </c>
      <c r="B65" s="46" t="s">
        <v>2342</v>
      </c>
      <c r="C65" s="46">
        <v>39317.0</v>
      </c>
      <c r="D65" s="46" t="s">
        <v>84</v>
      </c>
      <c r="E65" s="27"/>
      <c r="F65" s="37"/>
      <c r="G65" s="29"/>
      <c r="H65" s="30"/>
      <c r="I65" s="31">
        <v>1200.0</v>
      </c>
      <c r="J65" s="32"/>
      <c r="K65" s="33"/>
      <c r="L65" s="47">
        <v>1200.0</v>
      </c>
      <c r="M65" s="18">
        <f t="shared" si="1"/>
        <v>0</v>
      </c>
    </row>
    <row r="66">
      <c r="A66" s="41">
        <v>62.0</v>
      </c>
      <c r="B66" s="46" t="s">
        <v>2343</v>
      </c>
      <c r="C66" s="46">
        <v>50820.0</v>
      </c>
      <c r="D66" s="46" t="s">
        <v>22</v>
      </c>
      <c r="E66" s="27"/>
      <c r="F66" s="37"/>
      <c r="G66" s="29"/>
      <c r="H66" s="30">
        <v>1427.0</v>
      </c>
      <c r="I66" s="31"/>
      <c r="J66" s="32"/>
      <c r="K66" s="33"/>
      <c r="L66" s="47">
        <v>1427.0</v>
      </c>
      <c r="M66" s="18">
        <f t="shared" si="1"/>
        <v>0</v>
      </c>
    </row>
    <row r="67">
      <c r="A67" s="41">
        <v>63.0</v>
      </c>
      <c r="B67" s="46" t="s">
        <v>2344</v>
      </c>
      <c r="C67" s="46">
        <v>31927.0</v>
      </c>
      <c r="D67" s="46" t="s">
        <v>183</v>
      </c>
      <c r="E67" s="27"/>
      <c r="F67" s="37"/>
      <c r="G67" s="29"/>
      <c r="H67" s="30">
        <v>2400.0</v>
      </c>
      <c r="I67" s="31"/>
      <c r="J67" s="32"/>
      <c r="K67" s="33"/>
      <c r="L67" s="47">
        <v>2400.0</v>
      </c>
      <c r="M67" s="18">
        <f t="shared" si="1"/>
        <v>0</v>
      </c>
    </row>
    <row r="68">
      <c r="A68" s="41">
        <v>64.0</v>
      </c>
      <c r="B68" s="46" t="s">
        <v>2345</v>
      </c>
      <c r="C68" s="46">
        <v>49943.0</v>
      </c>
      <c r="D68" s="46" t="s">
        <v>2346</v>
      </c>
      <c r="E68" s="27"/>
      <c r="F68" s="37"/>
      <c r="G68" s="29"/>
      <c r="H68" s="30">
        <v>200.0</v>
      </c>
      <c r="I68" s="31"/>
      <c r="J68" s="32"/>
      <c r="K68" s="33"/>
      <c r="L68" s="47">
        <v>200.0</v>
      </c>
      <c r="M68" s="18">
        <f t="shared" si="1"/>
        <v>0</v>
      </c>
    </row>
    <row r="69">
      <c r="A69" s="41">
        <v>65.0</v>
      </c>
      <c r="B69" s="46" t="s">
        <v>2347</v>
      </c>
      <c r="C69" s="46">
        <v>25650.0</v>
      </c>
      <c r="D69" s="46" t="s">
        <v>378</v>
      </c>
      <c r="E69" s="27"/>
      <c r="F69" s="37"/>
      <c r="G69" s="39">
        <v>32500.0</v>
      </c>
      <c r="H69" s="30"/>
      <c r="I69" s="31"/>
      <c r="J69" s="32"/>
      <c r="K69" s="33"/>
      <c r="L69" s="47">
        <v>32500.0</v>
      </c>
      <c r="M69" s="18">
        <f t="shared" si="1"/>
        <v>0</v>
      </c>
    </row>
    <row r="70">
      <c r="A70" s="41">
        <v>66.0</v>
      </c>
      <c r="B70" s="46" t="s">
        <v>2348</v>
      </c>
      <c r="C70" s="46">
        <v>43380.0</v>
      </c>
      <c r="D70" s="46" t="s">
        <v>61</v>
      </c>
      <c r="E70" s="27"/>
      <c r="F70" s="37"/>
      <c r="G70" s="39">
        <v>25000.0</v>
      </c>
      <c r="H70" s="30"/>
      <c r="I70" s="31"/>
      <c r="J70" s="32"/>
      <c r="K70" s="33"/>
      <c r="L70" s="47">
        <v>25000.0</v>
      </c>
      <c r="M70" s="18">
        <f t="shared" si="1"/>
        <v>0</v>
      </c>
    </row>
    <row r="71">
      <c r="A71" s="41">
        <v>67.0</v>
      </c>
      <c r="B71" s="46" t="s">
        <v>2349</v>
      </c>
      <c r="C71" s="46">
        <v>51017.0</v>
      </c>
      <c r="D71" s="46" t="s">
        <v>659</v>
      </c>
      <c r="E71" s="38"/>
      <c r="F71" s="28"/>
      <c r="G71" s="39">
        <v>55000.0</v>
      </c>
      <c r="H71" s="30"/>
      <c r="I71" s="31"/>
      <c r="J71" s="32"/>
      <c r="K71" s="33"/>
      <c r="L71" s="47">
        <v>55000.0</v>
      </c>
      <c r="M71" s="18">
        <f t="shared" si="1"/>
        <v>0</v>
      </c>
    </row>
    <row r="72">
      <c r="A72" s="41">
        <v>68.0</v>
      </c>
      <c r="B72" s="46" t="s">
        <v>2350</v>
      </c>
      <c r="C72" s="46">
        <v>51802.0</v>
      </c>
      <c r="D72" s="46" t="s">
        <v>760</v>
      </c>
      <c r="E72" s="38"/>
      <c r="F72" s="37"/>
      <c r="G72" s="39">
        <v>500.0</v>
      </c>
      <c r="H72" s="30"/>
      <c r="I72" s="31"/>
      <c r="J72" s="32"/>
      <c r="K72" s="33"/>
      <c r="L72" s="47">
        <v>500.0</v>
      </c>
      <c r="M72" s="18">
        <f t="shared" si="1"/>
        <v>0</v>
      </c>
    </row>
    <row r="73">
      <c r="A73" s="41">
        <v>69.0</v>
      </c>
      <c r="B73" s="46" t="s">
        <v>2351</v>
      </c>
      <c r="C73" s="46">
        <v>49918.0</v>
      </c>
      <c r="D73" s="46" t="s">
        <v>114</v>
      </c>
      <c r="E73" s="38"/>
      <c r="F73" s="37"/>
      <c r="G73" s="39">
        <v>1950.0</v>
      </c>
      <c r="H73" s="30"/>
      <c r="I73" s="31"/>
      <c r="J73" s="32"/>
      <c r="K73" s="33"/>
      <c r="L73" s="47">
        <v>1950.0</v>
      </c>
      <c r="M73" s="18">
        <f t="shared" si="1"/>
        <v>0</v>
      </c>
    </row>
    <row r="74">
      <c r="A74" s="41">
        <v>70.0</v>
      </c>
      <c r="B74" s="46" t="s">
        <v>2352</v>
      </c>
      <c r="C74" s="46">
        <v>49953.0</v>
      </c>
      <c r="D74" s="46" t="s">
        <v>1821</v>
      </c>
      <c r="E74" s="38"/>
      <c r="F74" s="28"/>
      <c r="G74" s="39">
        <v>8500.0</v>
      </c>
      <c r="H74" s="30"/>
      <c r="I74" s="31"/>
      <c r="J74" s="32"/>
      <c r="K74" s="33"/>
      <c r="L74" s="47">
        <v>8500.0</v>
      </c>
      <c r="M74" s="18">
        <f t="shared" si="1"/>
        <v>0</v>
      </c>
    </row>
    <row r="75">
      <c r="A75" s="41">
        <v>71.0</v>
      </c>
      <c r="B75" s="46" t="s">
        <v>2353</v>
      </c>
      <c r="C75" s="46">
        <v>42278.0</v>
      </c>
      <c r="D75" s="46" t="s">
        <v>2354</v>
      </c>
      <c r="E75" s="38"/>
      <c r="F75" s="28"/>
      <c r="G75" s="39">
        <v>5000.0</v>
      </c>
      <c r="H75" s="30"/>
      <c r="I75" s="31"/>
      <c r="J75" s="32"/>
      <c r="K75" s="33"/>
      <c r="L75" s="47">
        <v>5000.0</v>
      </c>
      <c r="M75" s="18">
        <f t="shared" si="1"/>
        <v>0</v>
      </c>
    </row>
    <row r="76">
      <c r="A76" s="41">
        <v>72.0</v>
      </c>
      <c r="B76" s="46" t="s">
        <v>2355</v>
      </c>
      <c r="C76" s="46">
        <v>20541.0</v>
      </c>
      <c r="D76" s="46" t="s">
        <v>250</v>
      </c>
      <c r="E76" s="38"/>
      <c r="F76" s="28"/>
      <c r="G76" s="39">
        <v>7800.0</v>
      </c>
      <c r="H76" s="30"/>
      <c r="I76" s="31"/>
      <c r="J76" s="32"/>
      <c r="K76" s="33"/>
      <c r="L76" s="47">
        <v>7800.0</v>
      </c>
      <c r="M76" s="18">
        <f t="shared" si="1"/>
        <v>0</v>
      </c>
    </row>
    <row r="77" hidden="1">
      <c r="A77" s="41">
        <v>51.0</v>
      </c>
      <c r="B77" s="46"/>
      <c r="C77" s="46"/>
      <c r="D77" s="46"/>
      <c r="E77" s="27"/>
      <c r="F77" s="28"/>
      <c r="G77" s="29"/>
      <c r="H77" s="30"/>
      <c r="I77" s="31"/>
      <c r="J77" s="32"/>
      <c r="K77" s="33"/>
      <c r="L77" s="47"/>
      <c r="M77" s="18">
        <f t="shared" si="1"/>
        <v>0</v>
      </c>
    </row>
    <row r="78" hidden="1">
      <c r="A78" s="41">
        <v>52.0</v>
      </c>
      <c r="B78" s="46"/>
      <c r="C78" s="46"/>
      <c r="D78" s="46"/>
      <c r="E78" s="38"/>
      <c r="F78" s="28"/>
      <c r="G78" s="29"/>
      <c r="H78" s="30"/>
      <c r="I78" s="31"/>
      <c r="J78" s="32"/>
      <c r="K78" s="33"/>
      <c r="L78" s="47"/>
      <c r="M78" s="18">
        <f t="shared" si="1"/>
        <v>0</v>
      </c>
    </row>
    <row r="79" hidden="1">
      <c r="A79" s="41">
        <v>53.0</v>
      </c>
      <c r="B79" s="46"/>
      <c r="C79" s="46"/>
      <c r="D79" s="46"/>
      <c r="E79" s="27"/>
      <c r="F79" s="37"/>
      <c r="G79" s="29"/>
      <c r="H79" s="30"/>
      <c r="I79" s="31"/>
      <c r="J79" s="32"/>
      <c r="K79" s="33"/>
      <c r="L79" s="47"/>
      <c r="M79" s="18">
        <f t="shared" si="1"/>
        <v>0</v>
      </c>
    </row>
    <row r="80" hidden="1">
      <c r="A80" s="41">
        <v>54.0</v>
      </c>
      <c r="B80" s="46"/>
      <c r="C80" s="46"/>
      <c r="D80" s="46"/>
      <c r="E80" s="27"/>
      <c r="F80" s="28"/>
      <c r="G80" s="29"/>
      <c r="H80" s="30"/>
      <c r="I80" s="31"/>
      <c r="J80" s="32"/>
      <c r="K80" s="33"/>
      <c r="L80" s="47"/>
      <c r="M80" s="18">
        <f t="shared" si="1"/>
        <v>0</v>
      </c>
    </row>
    <row r="81" hidden="1">
      <c r="A81" s="41">
        <v>55.0</v>
      </c>
      <c r="B81" s="46"/>
      <c r="C81" s="46"/>
      <c r="D81" s="46"/>
      <c r="E81" s="27"/>
      <c r="F81" s="28"/>
      <c r="G81" s="29"/>
      <c r="H81" s="30"/>
      <c r="I81" s="31"/>
      <c r="J81" s="32"/>
      <c r="K81" s="33"/>
      <c r="L81" s="47"/>
      <c r="M81" s="18">
        <f t="shared" si="1"/>
        <v>0</v>
      </c>
    </row>
    <row r="82" hidden="1">
      <c r="A82" s="41">
        <v>56.0</v>
      </c>
      <c r="B82" s="46"/>
      <c r="C82" s="46"/>
      <c r="D82" s="46"/>
      <c r="E82" s="27"/>
      <c r="F82" s="28"/>
      <c r="G82" s="29"/>
      <c r="H82" s="30"/>
      <c r="I82" s="31"/>
      <c r="J82" s="32"/>
      <c r="K82" s="33"/>
      <c r="L82" s="47"/>
      <c r="M82" s="18">
        <f t="shared" si="1"/>
        <v>0</v>
      </c>
    </row>
    <row r="83" hidden="1">
      <c r="A83" s="41">
        <v>57.0</v>
      </c>
      <c r="B83" s="46"/>
      <c r="C83" s="46"/>
      <c r="D83" s="46"/>
      <c r="E83" s="38"/>
      <c r="F83" s="37"/>
      <c r="G83" s="29"/>
      <c r="H83" s="30"/>
      <c r="I83" s="31"/>
      <c r="J83" s="32"/>
      <c r="K83" s="33"/>
      <c r="L83" s="47"/>
      <c r="M83" s="18">
        <f t="shared" si="1"/>
        <v>0</v>
      </c>
    </row>
    <row r="84" hidden="1">
      <c r="A84" s="41">
        <v>58.0</v>
      </c>
      <c r="B84" s="46"/>
      <c r="C84" s="46"/>
      <c r="D84" s="46"/>
      <c r="E84" s="38"/>
      <c r="F84" s="28"/>
      <c r="G84" s="39"/>
      <c r="H84" s="30"/>
      <c r="I84" s="31"/>
      <c r="J84" s="35"/>
      <c r="K84" s="33"/>
      <c r="L84" s="47"/>
      <c r="M84" s="18">
        <f t="shared" si="1"/>
        <v>0</v>
      </c>
    </row>
    <row r="85" hidden="1">
      <c r="A85" s="41">
        <v>59.0</v>
      </c>
      <c r="B85" s="46"/>
      <c r="C85" s="46"/>
      <c r="D85" s="46"/>
      <c r="E85" s="27"/>
      <c r="F85" s="28"/>
      <c r="G85" s="29"/>
      <c r="H85" s="30"/>
      <c r="I85" s="31"/>
      <c r="J85" s="32"/>
      <c r="K85" s="33"/>
      <c r="L85" s="47"/>
      <c r="M85" s="18">
        <f t="shared" si="1"/>
        <v>0</v>
      </c>
    </row>
    <row r="86" hidden="1">
      <c r="A86" s="41">
        <v>60.0</v>
      </c>
      <c r="B86" s="46"/>
      <c r="C86" s="46"/>
      <c r="D86" s="46"/>
      <c r="E86" s="38"/>
      <c r="F86" s="37"/>
      <c r="G86" s="29"/>
      <c r="H86" s="30"/>
      <c r="I86" s="31"/>
      <c r="J86" s="32"/>
      <c r="K86" s="33"/>
      <c r="L86" s="47"/>
      <c r="M86" s="18">
        <f t="shared" si="1"/>
        <v>0</v>
      </c>
    </row>
    <row r="87" hidden="1">
      <c r="A87" s="41">
        <v>61.0</v>
      </c>
      <c r="B87" s="46"/>
      <c r="C87" s="46"/>
      <c r="D87" s="46"/>
      <c r="E87" s="27"/>
      <c r="F87" s="37"/>
      <c r="G87" s="29"/>
      <c r="H87" s="30"/>
      <c r="I87" s="31"/>
      <c r="J87" s="32"/>
      <c r="K87" s="33"/>
      <c r="L87" s="47"/>
      <c r="M87" s="18">
        <f t="shared" si="1"/>
        <v>0</v>
      </c>
    </row>
    <row r="88" hidden="1">
      <c r="A88" s="41">
        <v>62.0</v>
      </c>
      <c r="B88" s="46"/>
      <c r="C88" s="46"/>
      <c r="D88" s="46"/>
      <c r="E88" s="27"/>
      <c r="F88" s="37"/>
      <c r="G88" s="29"/>
      <c r="H88" s="30"/>
      <c r="I88" s="36"/>
      <c r="J88" s="32"/>
      <c r="K88" s="33"/>
      <c r="L88" s="47"/>
      <c r="M88" s="18">
        <f t="shared" si="1"/>
        <v>0</v>
      </c>
    </row>
    <row r="89" hidden="1">
      <c r="A89" s="41">
        <v>63.0</v>
      </c>
      <c r="B89" s="46"/>
      <c r="C89" s="46"/>
      <c r="D89" s="46"/>
      <c r="E89" s="27"/>
      <c r="F89" s="28"/>
      <c r="G89" s="29"/>
      <c r="H89" s="30"/>
      <c r="I89" s="36"/>
      <c r="J89" s="32"/>
      <c r="K89" s="33"/>
      <c r="L89" s="47"/>
      <c r="M89" s="18">
        <f t="shared" si="1"/>
        <v>0</v>
      </c>
    </row>
    <row r="90" hidden="1">
      <c r="A90" s="41">
        <v>64.0</v>
      </c>
      <c r="B90" s="46"/>
      <c r="C90" s="46"/>
      <c r="D90" s="46"/>
      <c r="E90" s="38"/>
      <c r="F90" s="37"/>
      <c r="G90" s="29"/>
      <c r="H90" s="30"/>
      <c r="I90" s="31"/>
      <c r="J90" s="32"/>
      <c r="K90" s="33"/>
      <c r="L90" s="47"/>
      <c r="M90" s="18">
        <f t="shared" si="1"/>
        <v>0</v>
      </c>
    </row>
    <row r="91" hidden="1">
      <c r="A91" s="41">
        <v>65.0</v>
      </c>
      <c r="B91" s="46"/>
      <c r="C91" s="46"/>
      <c r="D91" s="46"/>
      <c r="E91" s="27"/>
      <c r="F91" s="37"/>
      <c r="G91" s="29"/>
      <c r="H91" s="30"/>
      <c r="I91" s="31"/>
      <c r="J91" s="35"/>
      <c r="K91" s="33"/>
      <c r="L91" s="47"/>
      <c r="M91" s="18">
        <f t="shared" si="1"/>
        <v>0</v>
      </c>
    </row>
    <row r="92" hidden="1">
      <c r="A92" s="41">
        <v>66.0</v>
      </c>
      <c r="B92" s="46"/>
      <c r="C92" s="46"/>
      <c r="D92" s="46"/>
      <c r="E92" s="38"/>
      <c r="F92" s="28"/>
      <c r="G92" s="29"/>
      <c r="H92" s="30"/>
      <c r="I92" s="31"/>
      <c r="J92" s="32"/>
      <c r="K92" s="33"/>
      <c r="L92" s="47"/>
      <c r="M92" s="18">
        <f t="shared" si="1"/>
        <v>0</v>
      </c>
    </row>
    <row r="93" hidden="1">
      <c r="A93" s="41">
        <v>67.0</v>
      </c>
      <c r="B93" s="46"/>
      <c r="C93" s="46"/>
      <c r="D93" s="46"/>
      <c r="E93" s="38"/>
      <c r="F93" s="37"/>
      <c r="G93" s="29"/>
      <c r="H93" s="30"/>
      <c r="I93" s="31"/>
      <c r="J93" s="32"/>
      <c r="K93" s="33"/>
      <c r="L93" s="47"/>
      <c r="M93" s="18">
        <f t="shared" si="1"/>
        <v>0</v>
      </c>
    </row>
    <row r="94" hidden="1">
      <c r="A94" s="41">
        <v>68.0</v>
      </c>
      <c r="B94" s="46"/>
      <c r="C94" s="46"/>
      <c r="D94" s="46"/>
      <c r="E94" s="38"/>
      <c r="F94" s="37"/>
      <c r="G94" s="29"/>
      <c r="H94" s="30"/>
      <c r="I94" s="31"/>
      <c r="J94" s="35"/>
      <c r="K94" s="33"/>
      <c r="L94" s="47"/>
      <c r="M94" s="18">
        <f t="shared" si="1"/>
        <v>0</v>
      </c>
    </row>
    <row r="95" hidden="1">
      <c r="A95" s="41">
        <v>69.0</v>
      </c>
      <c r="B95" s="46"/>
      <c r="C95" s="46"/>
      <c r="D95" s="46"/>
      <c r="E95" s="27"/>
      <c r="F95" s="37"/>
      <c r="G95" s="29"/>
      <c r="H95" s="30"/>
      <c r="I95" s="31"/>
      <c r="J95" s="32"/>
      <c r="K95" s="33"/>
      <c r="L95" s="47"/>
      <c r="M95" s="18">
        <f t="shared" si="1"/>
        <v>0</v>
      </c>
    </row>
    <row r="96" hidden="1">
      <c r="A96" s="41">
        <v>70.0</v>
      </c>
      <c r="B96" s="46"/>
      <c r="C96" s="46"/>
      <c r="D96" s="46"/>
      <c r="E96" s="27"/>
      <c r="F96" s="37"/>
      <c r="G96" s="29"/>
      <c r="H96" s="30"/>
      <c r="I96" s="31"/>
      <c r="J96" s="32"/>
      <c r="K96" s="33"/>
      <c r="L96" s="47"/>
      <c r="M96" s="18">
        <f t="shared" si="1"/>
        <v>0</v>
      </c>
    </row>
    <row r="97" hidden="1">
      <c r="A97" s="41">
        <v>71.0</v>
      </c>
      <c r="B97" s="46"/>
      <c r="C97" s="46"/>
      <c r="D97" s="46"/>
      <c r="E97" s="27"/>
      <c r="F97" s="37"/>
      <c r="G97" s="29"/>
      <c r="H97" s="30"/>
      <c r="I97" s="31"/>
      <c r="J97" s="32"/>
      <c r="K97" s="33"/>
      <c r="L97" s="47"/>
      <c r="M97" s="18">
        <f t="shared" si="1"/>
        <v>0</v>
      </c>
    </row>
    <row r="98" hidden="1">
      <c r="A98" s="41">
        <v>72.0</v>
      </c>
      <c r="B98" s="46"/>
      <c r="C98" s="46"/>
      <c r="D98" s="46"/>
      <c r="E98" s="38"/>
      <c r="F98" s="37"/>
      <c r="G98" s="29"/>
      <c r="H98" s="30"/>
      <c r="I98" s="31"/>
      <c r="J98" s="32"/>
      <c r="K98" s="33"/>
      <c r="L98" s="47"/>
      <c r="M98" s="18">
        <f t="shared" si="1"/>
        <v>0</v>
      </c>
    </row>
    <row r="99" hidden="1">
      <c r="A99" s="41">
        <v>73.0</v>
      </c>
      <c r="B99" s="46"/>
      <c r="C99" s="46"/>
      <c r="D99" s="46"/>
      <c r="E99" s="27"/>
      <c r="F99" s="37"/>
      <c r="G99" s="29"/>
      <c r="H99" s="30"/>
      <c r="I99" s="31"/>
      <c r="J99" s="32"/>
      <c r="K99" s="33"/>
      <c r="L99" s="47"/>
      <c r="M99" s="18">
        <f t="shared" si="1"/>
        <v>0</v>
      </c>
    </row>
    <row r="100" hidden="1">
      <c r="A100" s="41">
        <v>74.0</v>
      </c>
      <c r="B100" s="46"/>
      <c r="C100" s="46"/>
      <c r="D100" s="46"/>
      <c r="E100" s="27"/>
      <c r="F100" s="37"/>
      <c r="G100" s="29"/>
      <c r="H100" s="30"/>
      <c r="I100" s="31"/>
      <c r="J100" s="32"/>
      <c r="K100" s="33"/>
      <c r="L100" s="47"/>
      <c r="M100" s="18">
        <f t="shared" si="1"/>
        <v>0</v>
      </c>
    </row>
    <row r="101" hidden="1">
      <c r="A101" s="41">
        <v>75.0</v>
      </c>
      <c r="B101" s="46"/>
      <c r="C101" s="46"/>
      <c r="D101" s="46"/>
      <c r="E101" s="27"/>
      <c r="F101" s="37"/>
      <c r="G101" s="39"/>
      <c r="H101" s="30"/>
      <c r="I101" s="31"/>
      <c r="J101" s="32"/>
      <c r="K101" s="33"/>
      <c r="L101" s="47"/>
      <c r="M101" s="18">
        <f t="shared" si="1"/>
        <v>0</v>
      </c>
    </row>
    <row r="102" hidden="1">
      <c r="A102" s="41">
        <v>76.0</v>
      </c>
      <c r="B102" s="46"/>
      <c r="C102" s="46"/>
      <c r="D102" s="46"/>
      <c r="E102" s="27"/>
      <c r="F102" s="28"/>
      <c r="G102" s="29"/>
      <c r="H102" s="30"/>
      <c r="I102" s="31"/>
      <c r="J102" s="32"/>
      <c r="K102" s="33"/>
      <c r="L102" s="47"/>
      <c r="M102" s="18">
        <f t="shared" si="1"/>
        <v>0</v>
      </c>
    </row>
    <row r="103" hidden="1">
      <c r="A103" s="41">
        <v>77.0</v>
      </c>
      <c r="B103" s="46"/>
      <c r="C103" s="46"/>
      <c r="D103" s="46"/>
      <c r="E103" s="38"/>
      <c r="F103" s="28"/>
      <c r="G103" s="29"/>
      <c r="H103" s="30"/>
      <c r="I103" s="31"/>
      <c r="J103" s="32"/>
      <c r="K103" s="33"/>
      <c r="L103" s="47"/>
      <c r="M103" s="18">
        <f t="shared" si="1"/>
        <v>0</v>
      </c>
    </row>
    <row r="104" hidden="1">
      <c r="A104" s="41">
        <v>78.0</v>
      </c>
      <c r="B104" s="46"/>
      <c r="C104" s="46"/>
      <c r="D104" s="46"/>
      <c r="E104" s="27"/>
      <c r="F104" s="28"/>
      <c r="G104" s="39"/>
      <c r="H104" s="30"/>
      <c r="I104" s="31"/>
      <c r="J104" s="35"/>
      <c r="K104" s="33"/>
      <c r="L104" s="47"/>
      <c r="M104" s="18">
        <f t="shared" si="1"/>
        <v>0</v>
      </c>
    </row>
    <row r="105" hidden="1">
      <c r="A105" s="41">
        <v>79.0</v>
      </c>
      <c r="B105" s="46"/>
      <c r="C105" s="46"/>
      <c r="D105" s="46"/>
      <c r="E105" s="27"/>
      <c r="F105" s="28"/>
      <c r="G105" s="39"/>
      <c r="H105" s="30"/>
      <c r="I105" s="31"/>
      <c r="J105" s="32"/>
      <c r="K105" s="33"/>
      <c r="L105" s="47"/>
      <c r="M105" s="18">
        <f t="shared" si="1"/>
        <v>0</v>
      </c>
    </row>
    <row r="106" hidden="1">
      <c r="A106" s="41">
        <v>80.0</v>
      </c>
      <c r="B106" s="46"/>
      <c r="C106" s="46"/>
      <c r="D106" s="46"/>
      <c r="E106" s="27"/>
      <c r="F106" s="28"/>
      <c r="G106" s="39"/>
      <c r="H106" s="30"/>
      <c r="I106" s="31"/>
      <c r="J106" s="32"/>
      <c r="K106" s="33"/>
      <c r="L106" s="47"/>
      <c r="M106" s="18">
        <f t="shared" si="1"/>
        <v>0</v>
      </c>
    </row>
    <row r="107" hidden="1">
      <c r="A107" s="41">
        <v>81.0</v>
      </c>
      <c r="B107" s="46"/>
      <c r="C107" s="46"/>
      <c r="D107" s="46"/>
      <c r="E107" s="27"/>
      <c r="F107" s="28"/>
      <c r="G107" s="39"/>
      <c r="H107" s="30"/>
      <c r="I107" s="31"/>
      <c r="J107" s="32"/>
      <c r="K107" s="33"/>
      <c r="L107" s="47"/>
      <c r="M107" s="18">
        <f t="shared" si="1"/>
        <v>0</v>
      </c>
    </row>
    <row r="108" hidden="1">
      <c r="A108" s="41">
        <v>82.0</v>
      </c>
      <c r="B108" s="46"/>
      <c r="C108" s="46"/>
      <c r="D108" s="46"/>
      <c r="E108" s="27"/>
      <c r="F108" s="28"/>
      <c r="G108" s="39"/>
      <c r="H108" s="30"/>
      <c r="I108" s="31"/>
      <c r="J108" s="35"/>
      <c r="K108" s="33"/>
      <c r="L108" s="47"/>
      <c r="M108" s="18">
        <f t="shared" si="1"/>
        <v>0</v>
      </c>
    </row>
    <row r="109" hidden="1">
      <c r="A109" s="41">
        <v>83.0</v>
      </c>
      <c r="B109" s="46"/>
      <c r="C109" s="46"/>
      <c r="D109" s="46"/>
      <c r="E109" s="27"/>
      <c r="F109" s="28"/>
      <c r="G109" s="29"/>
      <c r="H109" s="30"/>
      <c r="I109" s="31"/>
      <c r="J109" s="35"/>
      <c r="K109" s="33"/>
      <c r="L109" s="47"/>
      <c r="M109" s="18">
        <f t="shared" si="1"/>
        <v>0</v>
      </c>
    </row>
    <row r="110" hidden="1">
      <c r="A110" s="41">
        <v>84.0</v>
      </c>
      <c r="B110" s="46"/>
      <c r="C110" s="46"/>
      <c r="D110" s="46"/>
      <c r="E110" s="27"/>
      <c r="F110" s="28"/>
      <c r="G110" s="29"/>
      <c r="H110" s="30"/>
      <c r="I110" s="31"/>
      <c r="J110" s="35"/>
      <c r="K110" s="33"/>
      <c r="L110" s="47"/>
      <c r="M110" s="18">
        <f t="shared" si="1"/>
        <v>0</v>
      </c>
    </row>
    <row r="111">
      <c r="A111" s="41"/>
      <c r="B111" s="45"/>
      <c r="C111" s="45"/>
      <c r="D111" s="44"/>
      <c r="E111" s="22">
        <f t="shared" ref="E111:J111" si="2">SUM(E5:E110)</f>
        <v>0</v>
      </c>
      <c r="F111" s="22">
        <f t="shared" si="2"/>
        <v>0</v>
      </c>
      <c r="G111" s="22">
        <f t="shared" si="2"/>
        <v>136250</v>
      </c>
      <c r="H111" s="22">
        <f t="shared" si="2"/>
        <v>458465</v>
      </c>
      <c r="I111" s="22">
        <f t="shared" si="2"/>
        <v>204707</v>
      </c>
      <c r="J111" s="22">
        <f t="shared" si="2"/>
        <v>29178</v>
      </c>
      <c r="K111" s="22">
        <f>SUM(K24:K110)</f>
        <v>0</v>
      </c>
      <c r="L111" s="22">
        <f t="shared" ref="L111:M111" si="3">SUM(L5:L110)</f>
        <v>828900</v>
      </c>
      <c r="M111" s="18">
        <f t="shared" si="3"/>
        <v>-300</v>
      </c>
    </row>
    <row r="112">
      <c r="A112" s="23"/>
      <c r="B112" s="23"/>
      <c r="C112" s="23"/>
      <c r="D112" s="23"/>
      <c r="E112" s="24">
        <f>SUM(K111:M111)</f>
        <v>828600</v>
      </c>
      <c r="F112" s="6"/>
      <c r="G112" s="6"/>
      <c r="H112" s="6"/>
      <c r="I112" s="6"/>
      <c r="J112" s="6"/>
      <c r="K112" s="7"/>
      <c r="L112" s="25"/>
      <c r="M112" s="23"/>
    </row>
    <row r="113">
      <c r="L113" s="40" t="s">
        <v>254</v>
      </c>
    </row>
  </sheetData>
  <mergeCells count="14">
    <mergeCell ref="F3:G3"/>
    <mergeCell ref="H3:I3"/>
    <mergeCell ref="J3:J4"/>
    <mergeCell ref="K3:K4"/>
    <mergeCell ref="E112:K112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5"/>
    <col customWidth="1" min="2" max="2" width="22.63"/>
    <col customWidth="1" min="4" max="4" width="40.88"/>
    <col customWidth="1" min="5" max="5" width="9.5"/>
  </cols>
  <sheetData>
    <row r="1">
      <c r="A1" s="1" t="s">
        <v>2356</v>
      </c>
    </row>
    <row r="2">
      <c r="A2" s="2" t="s">
        <v>1</v>
      </c>
      <c r="B2" s="3" t="s">
        <v>2</v>
      </c>
      <c r="C2" s="2" t="s">
        <v>3</v>
      </c>
      <c r="D2" s="4" t="s">
        <v>4</v>
      </c>
      <c r="E2" s="5" t="s">
        <v>5</v>
      </c>
      <c r="F2" s="6"/>
      <c r="G2" s="6"/>
      <c r="H2" s="6"/>
      <c r="I2" s="6"/>
      <c r="J2" s="6"/>
      <c r="K2" s="6"/>
      <c r="L2" s="6"/>
      <c r="M2" s="7"/>
    </row>
    <row r="3">
      <c r="A3" s="8"/>
      <c r="B3" s="8"/>
      <c r="C3" s="8"/>
      <c r="D3" s="8"/>
      <c r="E3" s="2" t="s">
        <v>6</v>
      </c>
      <c r="F3" s="5" t="s">
        <v>7</v>
      </c>
      <c r="G3" s="7"/>
      <c r="H3" s="5" t="s">
        <v>8</v>
      </c>
      <c r="I3" s="7"/>
      <c r="J3" s="2" t="s">
        <v>9</v>
      </c>
      <c r="K3" s="4" t="s">
        <v>10</v>
      </c>
      <c r="L3" s="2" t="s">
        <v>11</v>
      </c>
      <c r="M3" s="2" t="s">
        <v>12</v>
      </c>
    </row>
    <row r="4">
      <c r="A4" s="9"/>
      <c r="B4" s="9"/>
      <c r="C4" s="9"/>
      <c r="D4" s="9"/>
      <c r="E4" s="9"/>
      <c r="F4" s="10" t="s">
        <v>13</v>
      </c>
      <c r="G4" s="10" t="s">
        <v>14</v>
      </c>
      <c r="H4" s="10" t="s">
        <v>15</v>
      </c>
      <c r="I4" s="11" t="s">
        <v>16</v>
      </c>
      <c r="J4" s="9"/>
      <c r="K4" s="9"/>
      <c r="L4" s="9"/>
      <c r="M4" s="9"/>
    </row>
    <row r="5">
      <c r="A5" s="12">
        <v>1.0</v>
      </c>
      <c r="B5" s="53" t="s">
        <v>2357</v>
      </c>
      <c r="C5" s="53">
        <v>10250.0</v>
      </c>
      <c r="D5" s="53" t="s">
        <v>107</v>
      </c>
      <c r="E5" s="55"/>
      <c r="F5" s="56"/>
      <c r="G5" s="57"/>
      <c r="H5" s="19">
        <v>53000.0</v>
      </c>
      <c r="I5" s="58"/>
      <c r="J5" s="59"/>
      <c r="K5" s="60"/>
      <c r="L5" s="17">
        <v>53000.0</v>
      </c>
      <c r="M5" s="18">
        <f t="shared" ref="M5:M114" si="1">SUM(E5+F5+G5+H5+I5+J5+K5-L5)</f>
        <v>0</v>
      </c>
    </row>
    <row r="6">
      <c r="A6" s="12">
        <v>2.0</v>
      </c>
      <c r="B6" s="53" t="s">
        <v>2358</v>
      </c>
      <c r="C6" s="53">
        <v>50474.0</v>
      </c>
      <c r="D6" s="53" t="s">
        <v>179</v>
      </c>
      <c r="E6" s="55"/>
      <c r="F6" s="56"/>
      <c r="G6" s="57"/>
      <c r="H6" s="15"/>
      <c r="I6" s="61">
        <v>17500.0</v>
      </c>
      <c r="J6" s="59"/>
      <c r="K6" s="60"/>
      <c r="L6" s="17">
        <v>17500.0</v>
      </c>
      <c r="M6" s="18">
        <f t="shared" si="1"/>
        <v>0</v>
      </c>
    </row>
    <row r="7">
      <c r="A7" s="12">
        <v>3.0</v>
      </c>
      <c r="B7" s="53" t="s">
        <v>2359</v>
      </c>
      <c r="C7" s="53">
        <v>50039.0</v>
      </c>
      <c r="D7" s="53" t="s">
        <v>1819</v>
      </c>
      <c r="E7" s="55"/>
      <c r="F7" s="56"/>
      <c r="G7" s="57"/>
      <c r="H7" s="15"/>
      <c r="I7" s="61">
        <v>12500.0</v>
      </c>
      <c r="J7" s="59"/>
      <c r="K7" s="60"/>
      <c r="L7" s="17">
        <v>12500.0</v>
      </c>
      <c r="M7" s="18">
        <f t="shared" si="1"/>
        <v>0</v>
      </c>
    </row>
    <row r="8">
      <c r="A8" s="12">
        <v>4.0</v>
      </c>
      <c r="B8" s="53" t="s">
        <v>2360</v>
      </c>
      <c r="C8" s="53">
        <v>50039.0</v>
      </c>
      <c r="D8" s="53" t="s">
        <v>1819</v>
      </c>
      <c r="E8" s="55"/>
      <c r="F8" s="56"/>
      <c r="G8" s="57"/>
      <c r="H8" s="15"/>
      <c r="I8" s="61">
        <v>2500.0</v>
      </c>
      <c r="J8" s="59"/>
      <c r="K8" s="60"/>
      <c r="L8" s="17">
        <v>2500.0</v>
      </c>
      <c r="M8" s="18">
        <f t="shared" si="1"/>
        <v>0</v>
      </c>
    </row>
    <row r="9">
      <c r="A9" s="12">
        <v>5.0</v>
      </c>
      <c r="B9" s="53" t="s">
        <v>2361</v>
      </c>
      <c r="C9" s="53">
        <v>44986.0</v>
      </c>
      <c r="D9" s="53" t="s">
        <v>98</v>
      </c>
      <c r="E9" s="55"/>
      <c r="F9" s="56"/>
      <c r="G9" s="57"/>
      <c r="H9" s="19">
        <v>15000.0</v>
      </c>
      <c r="I9" s="58"/>
      <c r="J9" s="59"/>
      <c r="K9" s="60"/>
      <c r="L9" s="17">
        <v>15000.0</v>
      </c>
      <c r="M9" s="18">
        <f t="shared" si="1"/>
        <v>0</v>
      </c>
    </row>
    <row r="10">
      <c r="A10" s="12">
        <v>6.0</v>
      </c>
      <c r="B10" s="53" t="s">
        <v>2362</v>
      </c>
      <c r="C10" s="53">
        <v>51976.0</v>
      </c>
      <c r="D10" s="53" t="s">
        <v>412</v>
      </c>
      <c r="E10" s="55"/>
      <c r="F10" s="56"/>
      <c r="G10" s="57"/>
      <c r="H10" s="19">
        <v>15000.0</v>
      </c>
      <c r="I10" s="58"/>
      <c r="J10" s="59"/>
      <c r="K10" s="60"/>
      <c r="L10" s="17">
        <v>15000.0</v>
      </c>
      <c r="M10" s="18">
        <f t="shared" si="1"/>
        <v>0</v>
      </c>
    </row>
    <row r="11">
      <c r="A11" s="12">
        <v>7.0</v>
      </c>
      <c r="B11" s="53" t="s">
        <v>2363</v>
      </c>
      <c r="C11" s="53">
        <v>44762.0</v>
      </c>
      <c r="D11" s="53" t="s">
        <v>2364</v>
      </c>
      <c r="E11" s="55"/>
      <c r="F11" s="56"/>
      <c r="G11" s="57"/>
      <c r="H11" s="15"/>
      <c r="I11" s="61">
        <v>10140.0</v>
      </c>
      <c r="J11" s="59"/>
      <c r="K11" s="60"/>
      <c r="L11" s="17">
        <v>10140.0</v>
      </c>
      <c r="M11" s="18">
        <f t="shared" si="1"/>
        <v>0</v>
      </c>
    </row>
    <row r="12">
      <c r="A12" s="12">
        <v>8.0</v>
      </c>
      <c r="B12" s="53" t="s">
        <v>2365</v>
      </c>
      <c r="C12" s="53">
        <v>48306.0</v>
      </c>
      <c r="D12" s="53" t="s">
        <v>126</v>
      </c>
      <c r="E12" s="55"/>
      <c r="F12" s="56"/>
      <c r="G12" s="57"/>
      <c r="H12" s="19">
        <v>700.0</v>
      </c>
      <c r="I12" s="58"/>
      <c r="J12" s="59"/>
      <c r="K12" s="60"/>
      <c r="L12" s="17">
        <v>700.0</v>
      </c>
      <c r="M12" s="18">
        <f t="shared" si="1"/>
        <v>0</v>
      </c>
    </row>
    <row r="13">
      <c r="A13" s="12">
        <v>9.0</v>
      </c>
      <c r="B13" s="53" t="s">
        <v>2366</v>
      </c>
      <c r="C13" s="53">
        <v>49082.0</v>
      </c>
      <c r="D13" s="53" t="s">
        <v>2367</v>
      </c>
      <c r="E13" s="55"/>
      <c r="F13" s="56"/>
      <c r="G13" s="57"/>
      <c r="H13" s="15"/>
      <c r="I13" s="61">
        <v>10000.0</v>
      </c>
      <c r="J13" s="59"/>
      <c r="K13" s="60"/>
      <c r="L13" s="17">
        <v>10000.0</v>
      </c>
      <c r="M13" s="18">
        <f t="shared" si="1"/>
        <v>0</v>
      </c>
    </row>
    <row r="14">
      <c r="A14" s="12">
        <v>10.0</v>
      </c>
      <c r="B14" s="53" t="s">
        <v>2368</v>
      </c>
      <c r="C14" s="53">
        <v>22341.0</v>
      </c>
      <c r="D14" s="53" t="s">
        <v>293</v>
      </c>
      <c r="E14" s="55"/>
      <c r="F14" s="56"/>
      <c r="G14" s="57"/>
      <c r="H14" s="19">
        <v>8100.0</v>
      </c>
      <c r="I14" s="58"/>
      <c r="J14" s="59"/>
      <c r="K14" s="60"/>
      <c r="L14" s="17">
        <v>8100.0</v>
      </c>
      <c r="M14" s="18">
        <f t="shared" si="1"/>
        <v>0</v>
      </c>
    </row>
    <row r="15">
      <c r="A15" s="12">
        <v>11.0</v>
      </c>
      <c r="B15" s="53" t="s">
        <v>2369</v>
      </c>
      <c r="C15" s="53">
        <v>47862.0</v>
      </c>
      <c r="D15" s="53" t="s">
        <v>940</v>
      </c>
      <c r="E15" s="55"/>
      <c r="F15" s="56"/>
      <c r="G15" s="57"/>
      <c r="H15" s="19">
        <v>5150.0</v>
      </c>
      <c r="I15" s="58"/>
      <c r="J15" s="59"/>
      <c r="K15" s="60"/>
      <c r="L15" s="17">
        <v>5150.0</v>
      </c>
      <c r="M15" s="18">
        <f t="shared" si="1"/>
        <v>0</v>
      </c>
    </row>
    <row r="16">
      <c r="A16" s="12">
        <v>12.0</v>
      </c>
      <c r="B16" s="53" t="s">
        <v>2370</v>
      </c>
      <c r="C16" s="53">
        <v>26831.0</v>
      </c>
      <c r="D16" s="53" t="s">
        <v>315</v>
      </c>
      <c r="E16" s="55"/>
      <c r="F16" s="56"/>
      <c r="G16" s="57"/>
      <c r="H16" s="15"/>
      <c r="I16" s="61">
        <v>4900.0</v>
      </c>
      <c r="J16" s="59"/>
      <c r="K16" s="60"/>
      <c r="L16" s="17">
        <v>4900.0</v>
      </c>
      <c r="M16" s="18">
        <f t="shared" si="1"/>
        <v>0</v>
      </c>
    </row>
    <row r="17">
      <c r="A17" s="12">
        <v>13.0</v>
      </c>
      <c r="B17" s="53" t="s">
        <v>2371</v>
      </c>
      <c r="C17" s="53">
        <v>19688.0</v>
      </c>
      <c r="D17" s="53" t="s">
        <v>679</v>
      </c>
      <c r="E17" s="55"/>
      <c r="F17" s="56"/>
      <c r="G17" s="57"/>
      <c r="H17" s="15"/>
      <c r="I17" s="61">
        <v>5000.0</v>
      </c>
      <c r="J17" s="59"/>
      <c r="K17" s="60"/>
      <c r="L17" s="17">
        <v>5000.0</v>
      </c>
      <c r="M17" s="18">
        <f t="shared" si="1"/>
        <v>0</v>
      </c>
    </row>
    <row r="18">
      <c r="A18" s="12">
        <v>14.0</v>
      </c>
      <c r="B18" s="53" t="s">
        <v>2372</v>
      </c>
      <c r="C18" s="53">
        <v>50184.0</v>
      </c>
      <c r="D18" s="53" t="s">
        <v>2317</v>
      </c>
      <c r="E18" s="55"/>
      <c r="F18" s="56"/>
      <c r="G18" s="57"/>
      <c r="H18" s="19">
        <v>448.0</v>
      </c>
      <c r="I18" s="58"/>
      <c r="J18" s="59"/>
      <c r="K18" s="60"/>
      <c r="L18" s="17">
        <v>448.0</v>
      </c>
      <c r="M18" s="18">
        <f t="shared" si="1"/>
        <v>0</v>
      </c>
    </row>
    <row r="19">
      <c r="A19" s="12">
        <v>15.0</v>
      </c>
      <c r="B19" s="53" t="s">
        <v>2373</v>
      </c>
      <c r="C19" s="53">
        <v>46522.0</v>
      </c>
      <c r="D19" s="53" t="s">
        <v>2374</v>
      </c>
      <c r="E19" s="55"/>
      <c r="F19" s="56"/>
      <c r="G19" s="57"/>
      <c r="H19" s="15"/>
      <c r="I19" s="61">
        <v>5000.0</v>
      </c>
      <c r="J19" s="59"/>
      <c r="K19" s="60"/>
      <c r="L19" s="17">
        <v>5000.0</v>
      </c>
      <c r="M19" s="18">
        <f t="shared" si="1"/>
        <v>0</v>
      </c>
    </row>
    <row r="20">
      <c r="A20" s="12">
        <v>16.0</v>
      </c>
      <c r="B20" s="53" t="s">
        <v>2375</v>
      </c>
      <c r="C20" s="53">
        <v>48651.0</v>
      </c>
      <c r="D20" s="53" t="s">
        <v>2376</v>
      </c>
      <c r="E20" s="55"/>
      <c r="F20" s="56"/>
      <c r="G20" s="57"/>
      <c r="H20" s="15"/>
      <c r="I20" s="61">
        <v>5000.0</v>
      </c>
      <c r="J20" s="59"/>
      <c r="K20" s="60"/>
      <c r="L20" s="17">
        <v>5000.0</v>
      </c>
      <c r="M20" s="18">
        <f t="shared" si="1"/>
        <v>0</v>
      </c>
    </row>
    <row r="21">
      <c r="A21" s="12">
        <v>17.0</v>
      </c>
      <c r="B21" s="53" t="s">
        <v>2377</v>
      </c>
      <c r="C21" s="53">
        <v>55780.0</v>
      </c>
      <c r="D21" s="53" t="s">
        <v>2282</v>
      </c>
      <c r="E21" s="55"/>
      <c r="F21" s="56"/>
      <c r="G21" s="57"/>
      <c r="H21" s="15"/>
      <c r="I21" s="61">
        <v>3600.0</v>
      </c>
      <c r="J21" s="59"/>
      <c r="K21" s="60"/>
      <c r="L21" s="17">
        <v>3600.0</v>
      </c>
      <c r="M21" s="18">
        <f t="shared" si="1"/>
        <v>0</v>
      </c>
    </row>
    <row r="22">
      <c r="A22" s="12">
        <v>18.0</v>
      </c>
      <c r="B22" s="53" t="s">
        <v>2378</v>
      </c>
      <c r="C22" s="53">
        <v>50532.0</v>
      </c>
      <c r="D22" s="53" t="s">
        <v>1521</v>
      </c>
      <c r="E22" s="55"/>
      <c r="F22" s="56"/>
      <c r="G22" s="57"/>
      <c r="H22" s="15"/>
      <c r="I22" s="61">
        <v>5000.0</v>
      </c>
      <c r="J22" s="59"/>
      <c r="K22" s="60"/>
      <c r="L22" s="17">
        <v>5000.0</v>
      </c>
      <c r="M22" s="18">
        <f t="shared" si="1"/>
        <v>0</v>
      </c>
    </row>
    <row r="23">
      <c r="A23" s="12">
        <v>19.0</v>
      </c>
      <c r="B23" s="53" t="s">
        <v>2379</v>
      </c>
      <c r="C23" s="53">
        <v>56027.0</v>
      </c>
      <c r="D23" s="53" t="s">
        <v>284</v>
      </c>
      <c r="E23" s="55"/>
      <c r="F23" s="56"/>
      <c r="G23" s="57"/>
      <c r="H23" s="15"/>
      <c r="I23" s="61">
        <v>6250.0</v>
      </c>
      <c r="J23" s="59"/>
      <c r="K23" s="60"/>
      <c r="L23" s="17">
        <v>6250.0</v>
      </c>
      <c r="M23" s="18">
        <f t="shared" si="1"/>
        <v>0</v>
      </c>
    </row>
    <row r="24">
      <c r="A24" s="12">
        <v>20.0</v>
      </c>
      <c r="B24" s="53" t="s">
        <v>2380</v>
      </c>
      <c r="C24" s="53">
        <v>55981.0</v>
      </c>
      <c r="D24" s="53" t="s">
        <v>2381</v>
      </c>
      <c r="E24" s="55"/>
      <c r="F24" s="56"/>
      <c r="G24" s="57"/>
      <c r="H24" s="15"/>
      <c r="I24" s="61">
        <v>5000.0</v>
      </c>
      <c r="J24" s="59"/>
      <c r="K24" s="60"/>
      <c r="L24" s="17">
        <v>5000.0</v>
      </c>
      <c r="M24" s="18">
        <f t="shared" si="1"/>
        <v>0</v>
      </c>
    </row>
    <row r="25">
      <c r="A25" s="12">
        <v>21.0</v>
      </c>
      <c r="B25" s="53" t="s">
        <v>2382</v>
      </c>
      <c r="C25" s="53">
        <v>52387.0</v>
      </c>
      <c r="D25" s="53" t="s">
        <v>240</v>
      </c>
      <c r="E25" s="55"/>
      <c r="F25" s="56"/>
      <c r="G25" s="57"/>
      <c r="H25" s="15"/>
      <c r="I25" s="61">
        <v>2752.0</v>
      </c>
      <c r="J25" s="59"/>
      <c r="K25" s="60"/>
      <c r="L25" s="17">
        <v>2752.0</v>
      </c>
      <c r="M25" s="18">
        <f t="shared" si="1"/>
        <v>0</v>
      </c>
    </row>
    <row r="26">
      <c r="A26" s="12">
        <v>22.0</v>
      </c>
      <c r="B26" s="53" t="s">
        <v>2383</v>
      </c>
      <c r="C26" s="53">
        <v>56387.0</v>
      </c>
      <c r="D26" s="53" t="s">
        <v>811</v>
      </c>
      <c r="E26" s="55"/>
      <c r="F26" s="56"/>
      <c r="G26" s="57"/>
      <c r="H26" s="19">
        <v>50000.0</v>
      </c>
      <c r="I26" s="58"/>
      <c r="J26" s="59"/>
      <c r="K26" s="60"/>
      <c r="L26" s="17">
        <v>50000.0</v>
      </c>
      <c r="M26" s="18">
        <f t="shared" si="1"/>
        <v>0</v>
      </c>
    </row>
    <row r="27">
      <c r="A27" s="12">
        <v>23.0</v>
      </c>
      <c r="B27" s="53" t="s">
        <v>2384</v>
      </c>
      <c r="C27" s="53">
        <v>50146.0</v>
      </c>
      <c r="D27" s="53" t="s">
        <v>129</v>
      </c>
      <c r="E27" s="55"/>
      <c r="F27" s="56"/>
      <c r="G27" s="57"/>
      <c r="H27" s="19">
        <v>5508.0</v>
      </c>
      <c r="I27" s="58"/>
      <c r="J27" s="59"/>
      <c r="K27" s="60"/>
      <c r="L27" s="17">
        <v>5508.0</v>
      </c>
      <c r="M27" s="18">
        <f t="shared" si="1"/>
        <v>0</v>
      </c>
    </row>
    <row r="28">
      <c r="A28" s="12">
        <v>24.0</v>
      </c>
      <c r="B28" s="53" t="s">
        <v>2385</v>
      </c>
      <c r="C28" s="53">
        <v>36690.0</v>
      </c>
      <c r="D28" s="53" t="s">
        <v>419</v>
      </c>
      <c r="E28" s="55"/>
      <c r="F28" s="56"/>
      <c r="G28" s="57"/>
      <c r="H28" s="19">
        <v>10000.0</v>
      </c>
      <c r="I28" s="58"/>
      <c r="J28" s="59"/>
      <c r="K28" s="60"/>
      <c r="L28" s="17">
        <v>10000.0</v>
      </c>
      <c r="M28" s="18">
        <f t="shared" si="1"/>
        <v>0</v>
      </c>
    </row>
    <row r="29">
      <c r="A29" s="12">
        <v>25.0</v>
      </c>
      <c r="B29" s="53" t="s">
        <v>2386</v>
      </c>
      <c r="C29" s="53">
        <v>52647.0</v>
      </c>
      <c r="D29" s="53" t="s">
        <v>322</v>
      </c>
      <c r="E29" s="55"/>
      <c r="F29" s="56"/>
      <c r="G29" s="57"/>
      <c r="H29" s="19">
        <v>10300.0</v>
      </c>
      <c r="I29" s="58"/>
      <c r="J29" s="59"/>
      <c r="K29" s="60"/>
      <c r="L29" s="17">
        <v>10300.0</v>
      </c>
      <c r="M29" s="18">
        <f t="shared" si="1"/>
        <v>0</v>
      </c>
    </row>
    <row r="30">
      <c r="A30" s="12">
        <v>26.0</v>
      </c>
      <c r="B30" s="53" t="s">
        <v>2387</v>
      </c>
      <c r="C30" s="53">
        <v>51797.0</v>
      </c>
      <c r="D30" s="53" t="s">
        <v>684</v>
      </c>
      <c r="E30" s="55"/>
      <c r="F30" s="56"/>
      <c r="G30" s="57"/>
      <c r="H30" s="15"/>
      <c r="I30" s="61">
        <v>5200.0</v>
      </c>
      <c r="J30" s="59"/>
      <c r="K30" s="60"/>
      <c r="L30" s="17">
        <v>5200.0</v>
      </c>
      <c r="M30" s="18">
        <f t="shared" si="1"/>
        <v>0</v>
      </c>
    </row>
    <row r="31">
      <c r="A31" s="12">
        <v>27.0</v>
      </c>
      <c r="B31" s="53" t="s">
        <v>2388</v>
      </c>
      <c r="C31" s="53">
        <v>53303.0</v>
      </c>
      <c r="D31" s="53" t="s">
        <v>2389</v>
      </c>
      <c r="E31" s="55"/>
      <c r="F31" s="56"/>
      <c r="G31" s="57"/>
      <c r="H31" s="19">
        <v>10200.0</v>
      </c>
      <c r="I31" s="58"/>
      <c r="J31" s="59"/>
      <c r="K31" s="60"/>
      <c r="L31" s="17">
        <v>10200.0</v>
      </c>
      <c r="M31" s="18">
        <f t="shared" si="1"/>
        <v>0</v>
      </c>
    </row>
    <row r="32">
      <c r="A32" s="12">
        <v>28.0</v>
      </c>
      <c r="B32" s="53" t="s">
        <v>2390</v>
      </c>
      <c r="C32" s="53">
        <v>51797.0</v>
      </c>
      <c r="D32" s="53" t="s">
        <v>684</v>
      </c>
      <c r="E32" s="55"/>
      <c r="F32" s="56"/>
      <c r="G32" s="57"/>
      <c r="H32" s="15"/>
      <c r="I32" s="61">
        <v>5000.0</v>
      </c>
      <c r="J32" s="59"/>
      <c r="K32" s="60"/>
      <c r="L32" s="17">
        <v>5000.0</v>
      </c>
      <c r="M32" s="18">
        <f t="shared" si="1"/>
        <v>0</v>
      </c>
    </row>
    <row r="33">
      <c r="A33" s="12">
        <v>29.0</v>
      </c>
      <c r="B33" s="53" t="s">
        <v>2391</v>
      </c>
      <c r="C33" s="53">
        <v>43134.0</v>
      </c>
      <c r="D33" s="53" t="s">
        <v>599</v>
      </c>
      <c r="E33" s="55"/>
      <c r="F33" s="56"/>
      <c r="G33" s="57"/>
      <c r="H33" s="15"/>
      <c r="I33" s="61">
        <v>5150.0</v>
      </c>
      <c r="J33" s="59"/>
      <c r="K33" s="60"/>
      <c r="L33" s="17">
        <v>5150.0</v>
      </c>
      <c r="M33" s="18">
        <f t="shared" si="1"/>
        <v>0</v>
      </c>
    </row>
    <row r="34">
      <c r="A34" s="12">
        <v>30.0</v>
      </c>
      <c r="B34" s="53" t="s">
        <v>2392</v>
      </c>
      <c r="C34" s="53">
        <v>43887.0</v>
      </c>
      <c r="D34" s="53" t="s">
        <v>856</v>
      </c>
      <c r="E34" s="55"/>
      <c r="F34" s="56"/>
      <c r="G34" s="57"/>
      <c r="H34" s="15"/>
      <c r="I34" s="61">
        <v>2500.0</v>
      </c>
      <c r="J34" s="59"/>
      <c r="K34" s="60"/>
      <c r="L34" s="17">
        <v>2500.0</v>
      </c>
      <c r="M34" s="18">
        <f t="shared" si="1"/>
        <v>0</v>
      </c>
    </row>
    <row r="35">
      <c r="A35" s="12">
        <v>31.0</v>
      </c>
      <c r="B35" s="53" t="s">
        <v>2393</v>
      </c>
      <c r="C35" s="53">
        <v>48052.0</v>
      </c>
      <c r="D35" s="53" t="s">
        <v>796</v>
      </c>
      <c r="E35" s="55"/>
      <c r="F35" s="56"/>
      <c r="G35" s="57"/>
      <c r="H35" s="19">
        <v>4100.0</v>
      </c>
      <c r="I35" s="58"/>
      <c r="J35" s="59"/>
      <c r="K35" s="60"/>
      <c r="L35" s="17">
        <v>4100.0</v>
      </c>
      <c r="M35" s="18">
        <f t="shared" si="1"/>
        <v>0</v>
      </c>
    </row>
    <row r="36">
      <c r="A36" s="12">
        <v>32.0</v>
      </c>
      <c r="B36" s="53" t="s">
        <v>2394</v>
      </c>
      <c r="C36" s="53">
        <v>50871.0</v>
      </c>
      <c r="D36" s="53" t="s">
        <v>105</v>
      </c>
      <c r="E36" s="55"/>
      <c r="F36" s="56"/>
      <c r="G36" s="57"/>
      <c r="H36" s="19">
        <v>43600.0</v>
      </c>
      <c r="I36" s="58"/>
      <c r="J36" s="59"/>
      <c r="K36" s="60"/>
      <c r="L36" s="17">
        <v>43600.0</v>
      </c>
      <c r="M36" s="18">
        <f t="shared" si="1"/>
        <v>0</v>
      </c>
    </row>
    <row r="37">
      <c r="A37" s="12">
        <v>33.0</v>
      </c>
      <c r="B37" s="53" t="s">
        <v>2395</v>
      </c>
      <c r="C37" s="53">
        <v>50871.0</v>
      </c>
      <c r="D37" s="53" t="s">
        <v>105</v>
      </c>
      <c r="E37" s="55"/>
      <c r="F37" s="56"/>
      <c r="G37" s="57"/>
      <c r="H37" s="19">
        <v>50200.0</v>
      </c>
      <c r="I37" s="58"/>
      <c r="J37" s="59"/>
      <c r="K37" s="60"/>
      <c r="L37" s="17">
        <v>50200.0</v>
      </c>
      <c r="M37" s="18">
        <f t="shared" si="1"/>
        <v>0</v>
      </c>
    </row>
    <row r="38">
      <c r="A38" s="12">
        <v>34.0</v>
      </c>
      <c r="B38" s="53" t="s">
        <v>2396</v>
      </c>
      <c r="C38" s="53">
        <v>48052.0</v>
      </c>
      <c r="D38" s="53" t="s">
        <v>796</v>
      </c>
      <c r="E38" s="55"/>
      <c r="F38" s="56"/>
      <c r="G38" s="57"/>
      <c r="H38" s="15"/>
      <c r="I38" s="61">
        <v>15000.0</v>
      </c>
      <c r="J38" s="59"/>
      <c r="K38" s="60"/>
      <c r="L38" s="17">
        <v>15000.0</v>
      </c>
      <c r="M38" s="18">
        <f t="shared" si="1"/>
        <v>0</v>
      </c>
    </row>
    <row r="39">
      <c r="A39" s="12">
        <v>35.0</v>
      </c>
      <c r="B39" s="53" t="s">
        <v>2397</v>
      </c>
      <c r="C39" s="53">
        <v>55447.0</v>
      </c>
      <c r="D39" s="53" t="s">
        <v>668</v>
      </c>
      <c r="E39" s="55"/>
      <c r="F39" s="56"/>
      <c r="G39" s="57"/>
      <c r="H39" s="19">
        <v>2500.0</v>
      </c>
      <c r="I39" s="58"/>
      <c r="J39" s="59"/>
      <c r="K39" s="60"/>
      <c r="L39" s="17">
        <v>2500.0</v>
      </c>
      <c r="M39" s="18">
        <f t="shared" si="1"/>
        <v>0</v>
      </c>
    </row>
    <row r="40">
      <c r="A40" s="12">
        <v>36.0</v>
      </c>
      <c r="B40" s="53" t="s">
        <v>2398</v>
      </c>
      <c r="C40" s="53">
        <v>50184.0</v>
      </c>
      <c r="D40" s="53" t="s">
        <v>2317</v>
      </c>
      <c r="E40" s="55"/>
      <c r="F40" s="56"/>
      <c r="G40" s="57"/>
      <c r="H40" s="19">
        <v>15000.0</v>
      </c>
      <c r="I40" s="58"/>
      <c r="J40" s="59"/>
      <c r="K40" s="60"/>
      <c r="L40" s="17">
        <v>15000.0</v>
      </c>
      <c r="M40" s="18">
        <f t="shared" si="1"/>
        <v>0</v>
      </c>
    </row>
    <row r="41">
      <c r="A41" s="12">
        <v>37.0</v>
      </c>
      <c r="B41" s="53" t="s">
        <v>2399</v>
      </c>
      <c r="C41" s="53">
        <v>31738.0</v>
      </c>
      <c r="D41" s="53" t="s">
        <v>154</v>
      </c>
      <c r="E41" s="55"/>
      <c r="F41" s="56"/>
      <c r="G41" s="57"/>
      <c r="H41" s="19">
        <v>12500.0</v>
      </c>
      <c r="I41" s="58"/>
      <c r="J41" s="59"/>
      <c r="K41" s="60"/>
      <c r="L41" s="17">
        <v>12500.0</v>
      </c>
      <c r="M41" s="18">
        <f t="shared" si="1"/>
        <v>0</v>
      </c>
    </row>
    <row r="42">
      <c r="A42" s="12">
        <v>38.0</v>
      </c>
      <c r="B42" s="53" t="s">
        <v>2400</v>
      </c>
      <c r="C42" s="53">
        <v>21384.0</v>
      </c>
      <c r="D42" s="53" t="s">
        <v>38</v>
      </c>
      <c r="E42" s="55"/>
      <c r="F42" s="56"/>
      <c r="G42" s="57"/>
      <c r="H42" s="19">
        <v>700.0</v>
      </c>
      <c r="I42" s="58"/>
      <c r="J42" s="59"/>
      <c r="K42" s="60"/>
      <c r="L42" s="17">
        <v>700.0</v>
      </c>
      <c r="M42" s="18">
        <f t="shared" si="1"/>
        <v>0</v>
      </c>
    </row>
    <row r="43">
      <c r="A43" s="12">
        <v>39.0</v>
      </c>
      <c r="B43" s="53" t="s">
        <v>2401</v>
      </c>
      <c r="C43" s="53">
        <v>21384.0</v>
      </c>
      <c r="D43" s="53" t="s">
        <v>38</v>
      </c>
      <c r="E43" s="55"/>
      <c r="F43" s="56"/>
      <c r="G43" s="57"/>
      <c r="H43" s="19">
        <v>15300.0</v>
      </c>
      <c r="I43" s="58"/>
      <c r="J43" s="59"/>
      <c r="K43" s="60"/>
      <c r="L43" s="17">
        <v>15300.0</v>
      </c>
      <c r="M43" s="18">
        <f t="shared" si="1"/>
        <v>0</v>
      </c>
    </row>
    <row r="44">
      <c r="A44" s="12">
        <v>40.0</v>
      </c>
      <c r="B44" s="53" t="s">
        <v>2402</v>
      </c>
      <c r="C44" s="53">
        <v>56908.0</v>
      </c>
      <c r="D44" s="53" t="s">
        <v>1780</v>
      </c>
      <c r="E44" s="55"/>
      <c r="F44" s="56"/>
      <c r="G44" s="57"/>
      <c r="H44" s="19">
        <v>27000.0</v>
      </c>
      <c r="I44" s="58"/>
      <c r="J44" s="59"/>
      <c r="K44" s="60"/>
      <c r="L44" s="17">
        <v>27000.0</v>
      </c>
      <c r="M44" s="18">
        <f t="shared" si="1"/>
        <v>0</v>
      </c>
    </row>
    <row r="45">
      <c r="A45" s="12">
        <v>41.0</v>
      </c>
      <c r="B45" s="53" t="s">
        <v>2403</v>
      </c>
      <c r="C45" s="53">
        <v>35245.0</v>
      </c>
      <c r="D45" s="53" t="s">
        <v>34</v>
      </c>
      <c r="E45" s="55"/>
      <c r="F45" s="56"/>
      <c r="G45" s="57"/>
      <c r="H45" s="19">
        <v>15000.0</v>
      </c>
      <c r="I45" s="58"/>
      <c r="J45" s="59"/>
      <c r="K45" s="60"/>
      <c r="L45" s="17">
        <v>15000.0</v>
      </c>
      <c r="M45" s="18">
        <f t="shared" si="1"/>
        <v>0</v>
      </c>
    </row>
    <row r="46">
      <c r="A46" s="12">
        <v>42.0</v>
      </c>
      <c r="B46" s="53" t="s">
        <v>2404</v>
      </c>
      <c r="C46" s="53">
        <v>50930.0</v>
      </c>
      <c r="D46" s="53" t="s">
        <v>2405</v>
      </c>
      <c r="E46" s="55"/>
      <c r="F46" s="56"/>
      <c r="G46" s="57"/>
      <c r="H46" s="19">
        <v>1250.0</v>
      </c>
      <c r="I46" s="58"/>
      <c r="J46" s="59"/>
      <c r="K46" s="60"/>
      <c r="L46" s="17">
        <v>1250.0</v>
      </c>
      <c r="M46" s="18">
        <f t="shared" si="1"/>
        <v>0</v>
      </c>
    </row>
    <row r="47">
      <c r="A47" s="12">
        <v>43.0</v>
      </c>
      <c r="B47" s="53" t="s">
        <v>2406</v>
      </c>
      <c r="C47" s="53">
        <v>42340.0</v>
      </c>
      <c r="D47" s="53" t="s">
        <v>2407</v>
      </c>
      <c r="E47" s="55"/>
      <c r="F47" s="56"/>
      <c r="G47" s="57"/>
      <c r="H47" s="15"/>
      <c r="I47" s="61">
        <v>5150.0</v>
      </c>
      <c r="J47" s="59"/>
      <c r="K47" s="60"/>
      <c r="L47" s="17">
        <v>5150.0</v>
      </c>
      <c r="M47" s="18">
        <f t="shared" si="1"/>
        <v>0</v>
      </c>
    </row>
    <row r="48">
      <c r="A48" s="12">
        <v>44.0</v>
      </c>
      <c r="B48" s="53" t="s">
        <v>2408</v>
      </c>
      <c r="C48" s="53">
        <v>51040.0</v>
      </c>
      <c r="D48" s="53" t="s">
        <v>196</v>
      </c>
      <c r="E48" s="55"/>
      <c r="F48" s="56"/>
      <c r="G48" s="57"/>
      <c r="H48" s="19">
        <v>1250.0</v>
      </c>
      <c r="I48" s="58"/>
      <c r="J48" s="59"/>
      <c r="K48" s="60"/>
      <c r="L48" s="17">
        <v>1250.0</v>
      </c>
      <c r="M48" s="18">
        <f t="shared" si="1"/>
        <v>0</v>
      </c>
    </row>
    <row r="49">
      <c r="A49" s="12">
        <v>45.0</v>
      </c>
      <c r="B49" s="53" t="s">
        <v>2409</v>
      </c>
      <c r="C49" s="53">
        <v>48971.0</v>
      </c>
      <c r="D49" s="53" t="s">
        <v>2410</v>
      </c>
      <c r="E49" s="55"/>
      <c r="F49" s="56"/>
      <c r="G49" s="57"/>
      <c r="H49" s="19">
        <v>10000.0</v>
      </c>
      <c r="I49" s="58"/>
      <c r="J49" s="59"/>
      <c r="K49" s="60"/>
      <c r="L49" s="17">
        <v>10000.0</v>
      </c>
      <c r="M49" s="18">
        <f t="shared" si="1"/>
        <v>0</v>
      </c>
    </row>
    <row r="50">
      <c r="A50" s="12">
        <v>46.0</v>
      </c>
      <c r="B50" s="53" t="s">
        <v>2411</v>
      </c>
      <c r="C50" s="53">
        <v>49918.0</v>
      </c>
      <c r="D50" s="53" t="s">
        <v>114</v>
      </c>
      <c r="E50" s="55"/>
      <c r="F50" s="56"/>
      <c r="G50" s="57"/>
      <c r="H50" s="19">
        <v>1750.0</v>
      </c>
      <c r="I50" s="58"/>
      <c r="J50" s="59"/>
      <c r="K50" s="60"/>
      <c r="L50" s="17">
        <v>1750.0</v>
      </c>
      <c r="M50" s="18">
        <f t="shared" si="1"/>
        <v>0</v>
      </c>
    </row>
    <row r="51">
      <c r="A51" s="12">
        <v>47.0</v>
      </c>
      <c r="B51" s="53" t="s">
        <v>2412</v>
      </c>
      <c r="C51" s="53">
        <v>39588.0</v>
      </c>
      <c r="D51" s="53" t="s">
        <v>274</v>
      </c>
      <c r="E51" s="55"/>
      <c r="F51" s="56"/>
      <c r="G51" s="57"/>
      <c r="H51" s="19">
        <v>2250.0</v>
      </c>
      <c r="I51" s="58"/>
      <c r="J51" s="59"/>
      <c r="K51" s="60"/>
      <c r="L51" s="17">
        <v>2250.0</v>
      </c>
      <c r="M51" s="18">
        <f t="shared" si="1"/>
        <v>0</v>
      </c>
    </row>
    <row r="52">
      <c r="A52" s="12">
        <v>48.0</v>
      </c>
      <c r="B52" s="53" t="s">
        <v>2413</v>
      </c>
      <c r="C52" s="53">
        <v>53595.0</v>
      </c>
      <c r="D52" s="53" t="s">
        <v>2414</v>
      </c>
      <c r="E52" s="55"/>
      <c r="F52" s="56"/>
      <c r="G52" s="57"/>
      <c r="H52" s="19">
        <v>5000.0</v>
      </c>
      <c r="I52" s="58"/>
      <c r="J52" s="59"/>
      <c r="K52" s="60"/>
      <c r="L52" s="17">
        <v>5000.0</v>
      </c>
      <c r="M52" s="18">
        <f t="shared" si="1"/>
        <v>0</v>
      </c>
    </row>
    <row r="53">
      <c r="A53" s="12">
        <v>49.0</v>
      </c>
      <c r="B53" s="53" t="s">
        <v>2415</v>
      </c>
      <c r="C53" s="53">
        <v>56149.0</v>
      </c>
      <c r="D53" s="53" t="s">
        <v>2079</v>
      </c>
      <c r="E53" s="55"/>
      <c r="F53" s="62">
        <v>1450.0</v>
      </c>
      <c r="G53" s="57"/>
      <c r="H53" s="19">
        <v>1450.0</v>
      </c>
      <c r="I53" s="58"/>
      <c r="J53" s="59"/>
      <c r="K53" s="60"/>
      <c r="L53" s="17">
        <v>2900.0</v>
      </c>
      <c r="M53" s="18">
        <f t="shared" si="1"/>
        <v>0</v>
      </c>
    </row>
    <row r="54">
      <c r="A54" s="12">
        <v>50.0</v>
      </c>
      <c r="B54" s="53" t="s">
        <v>2416</v>
      </c>
      <c r="C54" s="53">
        <v>52032.0</v>
      </c>
      <c r="D54" s="53" t="s">
        <v>233</v>
      </c>
      <c r="E54" s="55"/>
      <c r="F54" s="56"/>
      <c r="G54" s="57"/>
      <c r="H54" s="19">
        <v>20000.0</v>
      </c>
      <c r="I54" s="58"/>
      <c r="J54" s="59"/>
      <c r="K54" s="60"/>
      <c r="L54" s="17">
        <v>20000.0</v>
      </c>
      <c r="M54" s="18">
        <f t="shared" si="1"/>
        <v>0</v>
      </c>
    </row>
    <row r="55">
      <c r="A55" s="12">
        <v>51.0</v>
      </c>
      <c r="B55" s="53" t="s">
        <v>2417</v>
      </c>
      <c r="C55" s="53">
        <v>55446.0</v>
      </c>
      <c r="D55" s="53" t="s">
        <v>1127</v>
      </c>
      <c r="E55" s="55"/>
      <c r="F55" s="56"/>
      <c r="G55" s="57"/>
      <c r="H55" s="19">
        <v>600.0</v>
      </c>
      <c r="I55" s="58"/>
      <c r="J55" s="59"/>
      <c r="K55" s="60"/>
      <c r="L55" s="17">
        <v>600.0</v>
      </c>
      <c r="M55" s="18">
        <f t="shared" si="1"/>
        <v>0</v>
      </c>
    </row>
    <row r="56">
      <c r="A56" s="12">
        <v>52.0</v>
      </c>
      <c r="B56" s="53" t="s">
        <v>2418</v>
      </c>
      <c r="C56" s="53">
        <v>55179.0</v>
      </c>
      <c r="D56" s="53" t="s">
        <v>662</v>
      </c>
      <c r="E56" s="55"/>
      <c r="F56" s="56"/>
      <c r="G56" s="57"/>
      <c r="H56" s="15"/>
      <c r="I56" s="61">
        <v>4550.0</v>
      </c>
      <c r="J56" s="59"/>
      <c r="K56" s="60"/>
      <c r="L56" s="17">
        <v>4550.0</v>
      </c>
      <c r="M56" s="18">
        <f t="shared" si="1"/>
        <v>0</v>
      </c>
    </row>
    <row r="57">
      <c r="A57" s="12">
        <v>53.0</v>
      </c>
      <c r="B57" s="53" t="s">
        <v>2419</v>
      </c>
      <c r="C57" s="53">
        <v>26350.0</v>
      </c>
      <c r="D57" s="53" t="s">
        <v>620</v>
      </c>
      <c r="E57" s="55"/>
      <c r="F57" s="56"/>
      <c r="G57" s="57"/>
      <c r="H57" s="15"/>
      <c r="I57" s="61">
        <v>8000.0</v>
      </c>
      <c r="J57" s="59"/>
      <c r="K57" s="60"/>
      <c r="L57" s="17">
        <v>8000.0</v>
      </c>
      <c r="M57" s="18">
        <f t="shared" si="1"/>
        <v>0</v>
      </c>
    </row>
    <row r="58">
      <c r="A58" s="12">
        <v>54.0</v>
      </c>
      <c r="B58" s="53" t="s">
        <v>2420</v>
      </c>
      <c r="C58" s="53">
        <v>43375.0</v>
      </c>
      <c r="D58" s="53" t="s">
        <v>328</v>
      </c>
      <c r="E58" s="55"/>
      <c r="F58" s="56"/>
      <c r="G58" s="57"/>
      <c r="H58" s="19">
        <v>17500.0</v>
      </c>
      <c r="I58" s="58"/>
      <c r="J58" s="59"/>
      <c r="K58" s="60"/>
      <c r="L58" s="17">
        <v>17500.0</v>
      </c>
      <c r="M58" s="18">
        <f t="shared" si="1"/>
        <v>0</v>
      </c>
    </row>
    <row r="59">
      <c r="A59" s="12">
        <v>55.0</v>
      </c>
      <c r="B59" s="53" t="s">
        <v>2421</v>
      </c>
      <c r="C59" s="53">
        <v>55179.0</v>
      </c>
      <c r="D59" s="53" t="s">
        <v>662</v>
      </c>
      <c r="E59" s="55"/>
      <c r="F59" s="56"/>
      <c r="G59" s="57"/>
      <c r="H59" s="15"/>
      <c r="I59" s="61">
        <v>100.0</v>
      </c>
      <c r="J59" s="59"/>
      <c r="K59" s="60"/>
      <c r="L59" s="17">
        <v>100.0</v>
      </c>
      <c r="M59" s="18">
        <f t="shared" si="1"/>
        <v>0</v>
      </c>
    </row>
    <row r="60">
      <c r="A60" s="12">
        <v>56.0</v>
      </c>
      <c r="B60" s="53" t="s">
        <v>2422</v>
      </c>
      <c r="C60" s="53">
        <v>50538.0</v>
      </c>
      <c r="D60" s="53" t="s">
        <v>605</v>
      </c>
      <c r="E60" s="55"/>
      <c r="F60" s="56"/>
      <c r="G60" s="57"/>
      <c r="H60" s="15"/>
      <c r="I60" s="61">
        <v>10000.0</v>
      </c>
      <c r="J60" s="59"/>
      <c r="K60" s="60"/>
      <c r="L60" s="17">
        <v>10000.0</v>
      </c>
      <c r="M60" s="18">
        <f t="shared" si="1"/>
        <v>0</v>
      </c>
    </row>
    <row r="61">
      <c r="A61" s="12">
        <v>57.0</v>
      </c>
      <c r="B61" s="53" t="s">
        <v>2423</v>
      </c>
      <c r="C61" s="53">
        <v>46368.0</v>
      </c>
      <c r="D61" s="53" t="s">
        <v>1065</v>
      </c>
      <c r="E61" s="55"/>
      <c r="F61" s="56"/>
      <c r="G61" s="57"/>
      <c r="H61" s="15"/>
      <c r="I61" s="61">
        <v>10000.0</v>
      </c>
      <c r="J61" s="59"/>
      <c r="K61" s="60"/>
      <c r="L61" s="17">
        <v>10000.0</v>
      </c>
      <c r="M61" s="18">
        <f t="shared" si="1"/>
        <v>0</v>
      </c>
    </row>
    <row r="62">
      <c r="A62" s="12">
        <v>58.0</v>
      </c>
      <c r="B62" s="53" t="s">
        <v>2424</v>
      </c>
      <c r="C62" s="53">
        <v>47179.0</v>
      </c>
      <c r="D62" s="53" t="s">
        <v>438</v>
      </c>
      <c r="E62" s="55"/>
      <c r="F62" s="56"/>
      <c r="G62" s="57"/>
      <c r="H62" s="19">
        <v>4250.0</v>
      </c>
      <c r="I62" s="58"/>
      <c r="J62" s="59"/>
      <c r="K62" s="60"/>
      <c r="L62" s="17">
        <v>4250.0</v>
      </c>
      <c r="M62" s="18">
        <f t="shared" si="1"/>
        <v>0</v>
      </c>
    </row>
    <row r="63">
      <c r="A63" s="12">
        <v>59.0</v>
      </c>
      <c r="B63" s="53" t="s">
        <v>2425</v>
      </c>
      <c r="C63" s="53">
        <v>48631.0</v>
      </c>
      <c r="D63" s="53" t="s">
        <v>118</v>
      </c>
      <c r="E63" s="55"/>
      <c r="F63" s="56"/>
      <c r="G63" s="57"/>
      <c r="H63" s="19">
        <v>1250.0</v>
      </c>
      <c r="I63" s="58"/>
      <c r="J63" s="59"/>
      <c r="K63" s="60"/>
      <c r="L63" s="17">
        <v>1250.0</v>
      </c>
      <c r="M63" s="18">
        <f t="shared" si="1"/>
        <v>0</v>
      </c>
    </row>
    <row r="64">
      <c r="A64" s="12">
        <v>60.0</v>
      </c>
      <c r="B64" s="53" t="s">
        <v>2426</v>
      </c>
      <c r="C64" s="53">
        <v>10734.0</v>
      </c>
      <c r="D64" s="53" t="s">
        <v>900</v>
      </c>
      <c r="E64" s="55"/>
      <c r="F64" s="56"/>
      <c r="G64" s="57"/>
      <c r="H64" s="19">
        <v>2500.0</v>
      </c>
      <c r="I64" s="58"/>
      <c r="J64" s="59"/>
      <c r="K64" s="60"/>
      <c r="L64" s="17">
        <v>2500.0</v>
      </c>
      <c r="M64" s="18">
        <f t="shared" si="1"/>
        <v>0</v>
      </c>
    </row>
    <row r="65">
      <c r="A65" s="12">
        <v>61.0</v>
      </c>
      <c r="B65" s="53" t="s">
        <v>2427</v>
      </c>
      <c r="C65" s="53">
        <v>47787.0</v>
      </c>
      <c r="D65" s="53" t="s">
        <v>506</v>
      </c>
      <c r="E65" s="55"/>
      <c r="F65" s="56"/>
      <c r="G65" s="57"/>
      <c r="H65" s="19">
        <v>1250.0</v>
      </c>
      <c r="I65" s="58"/>
      <c r="J65" s="59"/>
      <c r="K65" s="60"/>
      <c r="L65" s="17">
        <v>1250.0</v>
      </c>
      <c r="M65" s="18">
        <f t="shared" si="1"/>
        <v>0</v>
      </c>
    </row>
    <row r="66">
      <c r="A66" s="12">
        <v>62.0</v>
      </c>
      <c r="B66" s="53" t="s">
        <v>2428</v>
      </c>
      <c r="C66" s="53">
        <v>50916.0</v>
      </c>
      <c r="D66" s="53" t="s">
        <v>469</v>
      </c>
      <c r="E66" s="55"/>
      <c r="F66" s="56"/>
      <c r="G66" s="57"/>
      <c r="H66" s="19">
        <v>1427.0</v>
      </c>
      <c r="I66" s="58"/>
      <c r="J66" s="59"/>
      <c r="K66" s="60"/>
      <c r="L66" s="17">
        <v>1427.0</v>
      </c>
      <c r="M66" s="18">
        <f t="shared" si="1"/>
        <v>0</v>
      </c>
    </row>
    <row r="67">
      <c r="A67" s="12">
        <v>63.0</v>
      </c>
      <c r="B67" s="53" t="s">
        <v>2429</v>
      </c>
      <c r="C67" s="53">
        <v>49682.0</v>
      </c>
      <c r="D67" s="53" t="s">
        <v>709</v>
      </c>
      <c r="E67" s="55"/>
      <c r="F67" s="56"/>
      <c r="G67" s="57"/>
      <c r="H67" s="19">
        <v>10200.0</v>
      </c>
      <c r="I67" s="58"/>
      <c r="J67" s="59"/>
      <c r="K67" s="60"/>
      <c r="L67" s="17">
        <v>10200.0</v>
      </c>
      <c r="M67" s="18">
        <f t="shared" si="1"/>
        <v>0</v>
      </c>
    </row>
    <row r="68">
      <c r="A68" s="12">
        <v>64.0</v>
      </c>
      <c r="B68" s="53" t="s">
        <v>2430</v>
      </c>
      <c r="C68" s="53">
        <v>35245.0</v>
      </c>
      <c r="D68" s="53" t="s">
        <v>34</v>
      </c>
      <c r="E68" s="55"/>
      <c r="F68" s="56"/>
      <c r="G68" s="57"/>
      <c r="H68" s="19">
        <v>17250.0</v>
      </c>
      <c r="I68" s="58"/>
      <c r="J68" s="59"/>
      <c r="K68" s="60"/>
      <c r="L68" s="17">
        <v>17250.0</v>
      </c>
      <c r="M68" s="18">
        <f t="shared" si="1"/>
        <v>0</v>
      </c>
    </row>
    <row r="69">
      <c r="A69" s="12">
        <v>65.0</v>
      </c>
      <c r="B69" s="53" t="s">
        <v>2431</v>
      </c>
      <c r="C69" s="53">
        <v>51537.0</v>
      </c>
      <c r="D69" s="53" t="s">
        <v>1860</v>
      </c>
      <c r="E69" s="55"/>
      <c r="F69" s="56"/>
      <c r="G69" s="57"/>
      <c r="H69" s="19">
        <v>20000.0</v>
      </c>
      <c r="I69" s="58"/>
      <c r="J69" s="59"/>
      <c r="K69" s="60"/>
      <c r="L69" s="17">
        <v>20000.0</v>
      </c>
      <c r="M69" s="18">
        <f t="shared" si="1"/>
        <v>0</v>
      </c>
    </row>
    <row r="70">
      <c r="A70" s="12">
        <v>66.0</v>
      </c>
      <c r="B70" s="53" t="s">
        <v>2432</v>
      </c>
      <c r="C70" s="53">
        <v>43349.0</v>
      </c>
      <c r="D70" s="53" t="s">
        <v>916</v>
      </c>
      <c r="E70" s="55"/>
      <c r="F70" s="56"/>
      <c r="G70" s="57"/>
      <c r="H70" s="19">
        <v>2595.0</v>
      </c>
      <c r="I70" s="58"/>
      <c r="J70" s="59"/>
      <c r="K70" s="60"/>
      <c r="L70" s="17">
        <v>2595.0</v>
      </c>
      <c r="M70" s="18">
        <f t="shared" si="1"/>
        <v>0</v>
      </c>
    </row>
    <row r="71">
      <c r="A71" s="12">
        <v>67.0</v>
      </c>
      <c r="B71" s="53" t="s">
        <v>2433</v>
      </c>
      <c r="C71" s="53">
        <v>35227.0</v>
      </c>
      <c r="D71" s="53" t="s">
        <v>386</v>
      </c>
      <c r="E71" s="63">
        <v>1250.0</v>
      </c>
      <c r="F71" s="56"/>
      <c r="G71" s="57"/>
      <c r="H71" s="15"/>
      <c r="I71" s="58"/>
      <c r="J71" s="59"/>
      <c r="K71" s="60"/>
      <c r="L71" s="17">
        <v>1250.0</v>
      </c>
      <c r="M71" s="18">
        <f t="shared" si="1"/>
        <v>0</v>
      </c>
    </row>
    <row r="72">
      <c r="A72" s="12">
        <v>68.0</v>
      </c>
      <c r="B72" s="53" t="s">
        <v>2434</v>
      </c>
      <c r="C72" s="53">
        <v>13781.0</v>
      </c>
      <c r="D72" s="53" t="s">
        <v>278</v>
      </c>
      <c r="E72" s="63">
        <v>10000.0</v>
      </c>
      <c r="F72" s="56"/>
      <c r="G72" s="57"/>
      <c r="H72" s="19">
        <v>27950.0</v>
      </c>
      <c r="I72" s="58"/>
      <c r="J72" s="59"/>
      <c r="K72" s="60"/>
      <c r="L72" s="17">
        <v>37950.0</v>
      </c>
      <c r="M72" s="18">
        <f t="shared" si="1"/>
        <v>0</v>
      </c>
    </row>
    <row r="73">
      <c r="A73" s="12">
        <v>69.0</v>
      </c>
      <c r="B73" s="53" t="s">
        <v>2435</v>
      </c>
      <c r="C73" s="53">
        <v>16295.0</v>
      </c>
      <c r="D73" s="53" t="s">
        <v>484</v>
      </c>
      <c r="E73" s="55"/>
      <c r="F73" s="56"/>
      <c r="G73" s="57"/>
      <c r="H73" s="19">
        <v>3900.0</v>
      </c>
      <c r="I73" s="58"/>
      <c r="J73" s="59"/>
      <c r="K73" s="60"/>
      <c r="L73" s="17">
        <v>3900.0</v>
      </c>
      <c r="M73" s="18">
        <f t="shared" si="1"/>
        <v>0</v>
      </c>
    </row>
    <row r="74">
      <c r="A74" s="12">
        <v>70.0</v>
      </c>
      <c r="B74" s="53" t="s">
        <v>2436</v>
      </c>
      <c r="C74" s="53">
        <v>36769.0</v>
      </c>
      <c r="D74" s="53" t="s">
        <v>276</v>
      </c>
      <c r="E74" s="55"/>
      <c r="F74" s="56"/>
      <c r="G74" s="57"/>
      <c r="H74" s="19">
        <v>5000.0</v>
      </c>
      <c r="I74" s="58"/>
      <c r="J74" s="59"/>
      <c r="K74" s="60"/>
      <c r="L74" s="17">
        <v>5000.0</v>
      </c>
      <c r="M74" s="18">
        <f t="shared" si="1"/>
        <v>0</v>
      </c>
    </row>
    <row r="75">
      <c r="A75" s="12">
        <v>71.0</v>
      </c>
      <c r="B75" s="53" t="s">
        <v>2437</v>
      </c>
      <c r="C75" s="53">
        <v>14343.0</v>
      </c>
      <c r="D75" s="53" t="s">
        <v>2438</v>
      </c>
      <c r="E75" s="55"/>
      <c r="F75" s="56"/>
      <c r="G75" s="57"/>
      <c r="H75" s="19">
        <v>5000.0</v>
      </c>
      <c r="I75" s="58"/>
      <c r="J75" s="59"/>
      <c r="K75" s="60"/>
      <c r="L75" s="17">
        <v>5000.0</v>
      </c>
      <c r="M75" s="18">
        <f t="shared" si="1"/>
        <v>0</v>
      </c>
    </row>
    <row r="76">
      <c r="A76" s="12">
        <v>72.0</v>
      </c>
      <c r="B76" s="53" t="s">
        <v>2439</v>
      </c>
      <c r="C76" s="53">
        <v>56018.0</v>
      </c>
      <c r="D76" s="53" t="s">
        <v>893</v>
      </c>
      <c r="E76" s="55"/>
      <c r="F76" s="56"/>
      <c r="G76" s="57"/>
      <c r="H76" s="19">
        <v>5000.0</v>
      </c>
      <c r="I76" s="58"/>
      <c r="J76" s="59"/>
      <c r="K76" s="60"/>
      <c r="L76" s="17">
        <v>5000.0</v>
      </c>
      <c r="M76" s="18">
        <f t="shared" si="1"/>
        <v>0</v>
      </c>
    </row>
    <row r="77">
      <c r="A77" s="12">
        <v>73.0</v>
      </c>
      <c r="B77" s="53" t="s">
        <v>2440</v>
      </c>
      <c r="C77" s="53">
        <v>36826.0</v>
      </c>
      <c r="D77" s="53" t="s">
        <v>895</v>
      </c>
      <c r="E77" s="55"/>
      <c r="F77" s="56"/>
      <c r="G77" s="57"/>
      <c r="H77" s="19">
        <v>5000.0</v>
      </c>
      <c r="I77" s="58"/>
      <c r="J77" s="59"/>
      <c r="K77" s="60"/>
      <c r="L77" s="17">
        <v>5000.0</v>
      </c>
      <c r="M77" s="18">
        <f t="shared" si="1"/>
        <v>0</v>
      </c>
    </row>
    <row r="78">
      <c r="A78" s="12">
        <v>74.0</v>
      </c>
      <c r="B78" s="53" t="s">
        <v>2441</v>
      </c>
      <c r="C78" s="53">
        <v>36826.0</v>
      </c>
      <c r="D78" s="53" t="s">
        <v>895</v>
      </c>
      <c r="E78" s="55"/>
      <c r="F78" s="56"/>
      <c r="G78" s="57"/>
      <c r="H78" s="19">
        <v>10000.0</v>
      </c>
      <c r="I78" s="58"/>
      <c r="J78" s="59"/>
      <c r="K78" s="60"/>
      <c r="L78" s="17">
        <v>10000.0</v>
      </c>
      <c r="M78" s="18">
        <f t="shared" si="1"/>
        <v>0</v>
      </c>
    </row>
    <row r="79">
      <c r="A79" s="12">
        <v>75.0</v>
      </c>
      <c r="B79" s="53" t="s">
        <v>2442</v>
      </c>
      <c r="C79" s="53">
        <v>36826.0</v>
      </c>
      <c r="D79" s="53" t="s">
        <v>895</v>
      </c>
      <c r="E79" s="55"/>
      <c r="F79" s="56"/>
      <c r="G79" s="57"/>
      <c r="H79" s="19">
        <v>1600.0</v>
      </c>
      <c r="I79" s="58"/>
      <c r="J79" s="59"/>
      <c r="K79" s="60"/>
      <c r="L79" s="17">
        <v>1600.0</v>
      </c>
      <c r="M79" s="18">
        <f t="shared" si="1"/>
        <v>0</v>
      </c>
    </row>
    <row r="80">
      <c r="A80" s="12">
        <v>76.0</v>
      </c>
      <c r="B80" s="53" t="s">
        <v>2443</v>
      </c>
      <c r="C80" s="53">
        <v>21384.0</v>
      </c>
      <c r="D80" s="53" t="s">
        <v>38</v>
      </c>
      <c r="E80" s="55"/>
      <c r="F80" s="56"/>
      <c r="G80" s="57"/>
      <c r="H80" s="19">
        <v>2500.0</v>
      </c>
      <c r="I80" s="58"/>
      <c r="J80" s="59"/>
      <c r="K80" s="60"/>
      <c r="L80" s="17">
        <v>2500.0</v>
      </c>
      <c r="M80" s="18">
        <f t="shared" si="1"/>
        <v>0</v>
      </c>
    </row>
    <row r="81">
      <c r="A81" s="12">
        <v>77.0</v>
      </c>
      <c r="B81" s="53" t="s">
        <v>2444</v>
      </c>
      <c r="C81" s="53">
        <v>50177.0</v>
      </c>
      <c r="D81" s="53" t="s">
        <v>2445</v>
      </c>
      <c r="E81" s="55"/>
      <c r="F81" s="56"/>
      <c r="G81" s="57"/>
      <c r="H81" s="19">
        <v>4000.0</v>
      </c>
      <c r="I81" s="58"/>
      <c r="J81" s="59"/>
      <c r="K81" s="60"/>
      <c r="L81" s="17">
        <v>4000.0</v>
      </c>
      <c r="M81" s="18">
        <f t="shared" si="1"/>
        <v>0</v>
      </c>
    </row>
    <row r="82">
      <c r="A82" s="12">
        <v>78.0</v>
      </c>
      <c r="B82" s="53" t="s">
        <v>2446</v>
      </c>
      <c r="C82" s="53">
        <v>50177.0</v>
      </c>
      <c r="D82" s="53" t="s">
        <v>2445</v>
      </c>
      <c r="E82" s="55"/>
      <c r="F82" s="56"/>
      <c r="G82" s="57"/>
      <c r="H82" s="19">
        <v>3600.0</v>
      </c>
      <c r="I82" s="58"/>
      <c r="J82" s="59"/>
      <c r="K82" s="60"/>
      <c r="L82" s="17">
        <v>3600.0</v>
      </c>
      <c r="M82" s="18">
        <f t="shared" si="1"/>
        <v>0</v>
      </c>
    </row>
    <row r="83">
      <c r="A83" s="12">
        <v>79.0</v>
      </c>
      <c r="B83" s="53" t="s">
        <v>2447</v>
      </c>
      <c r="C83" s="53">
        <v>40700.0</v>
      </c>
      <c r="D83" s="53" t="s">
        <v>2448</v>
      </c>
      <c r="E83" s="63">
        <v>3600.0</v>
      </c>
      <c r="F83" s="56"/>
      <c r="G83" s="57"/>
      <c r="H83" s="15"/>
      <c r="I83" s="58"/>
      <c r="J83" s="59"/>
      <c r="K83" s="60"/>
      <c r="L83" s="17">
        <v>3600.0</v>
      </c>
      <c r="M83" s="18">
        <f t="shared" si="1"/>
        <v>0</v>
      </c>
    </row>
    <row r="84">
      <c r="A84" s="12">
        <v>80.0</v>
      </c>
      <c r="B84" s="53" t="s">
        <v>2449</v>
      </c>
      <c r="C84" s="53">
        <v>50557.0</v>
      </c>
      <c r="D84" s="53" t="s">
        <v>94</v>
      </c>
      <c r="E84" s="55"/>
      <c r="F84" s="56"/>
      <c r="G84" s="57"/>
      <c r="H84" s="19">
        <v>10000.0</v>
      </c>
      <c r="I84" s="58"/>
      <c r="J84" s="59"/>
      <c r="K84" s="60"/>
      <c r="L84" s="17">
        <v>10000.0</v>
      </c>
      <c r="M84" s="18">
        <f t="shared" si="1"/>
        <v>0</v>
      </c>
    </row>
    <row r="85">
      <c r="A85" s="12">
        <v>81.0</v>
      </c>
      <c r="B85" s="53" t="s">
        <v>2450</v>
      </c>
      <c r="C85" s="53">
        <v>50506.0</v>
      </c>
      <c r="D85" s="53" t="s">
        <v>2451</v>
      </c>
      <c r="E85" s="55"/>
      <c r="F85" s="56"/>
      <c r="G85" s="57"/>
      <c r="H85" s="15"/>
      <c r="I85" s="61">
        <v>7650.0</v>
      </c>
      <c r="J85" s="59"/>
      <c r="K85" s="60"/>
      <c r="L85" s="17">
        <v>7650.0</v>
      </c>
      <c r="M85" s="18">
        <f t="shared" si="1"/>
        <v>0</v>
      </c>
    </row>
    <row r="86">
      <c r="A86" s="12">
        <v>82.0</v>
      </c>
      <c r="B86" s="53" t="s">
        <v>2452</v>
      </c>
      <c r="C86" s="53">
        <v>47510.0</v>
      </c>
      <c r="D86" s="53" t="s">
        <v>918</v>
      </c>
      <c r="E86" s="55"/>
      <c r="F86" s="56"/>
      <c r="G86" s="57"/>
      <c r="H86" s="19">
        <v>8650.0</v>
      </c>
      <c r="I86" s="58"/>
      <c r="J86" s="59"/>
      <c r="K86" s="60"/>
      <c r="L86" s="17">
        <v>8650.0</v>
      </c>
      <c r="M86" s="18">
        <f t="shared" si="1"/>
        <v>0</v>
      </c>
    </row>
    <row r="87">
      <c r="A87" s="12">
        <v>83.0</v>
      </c>
      <c r="B87" s="53" t="s">
        <v>2453</v>
      </c>
      <c r="C87" s="53">
        <v>51048.0</v>
      </c>
      <c r="D87" s="53" t="s">
        <v>2454</v>
      </c>
      <c r="E87" s="55"/>
      <c r="F87" s="56"/>
      <c r="G87" s="57"/>
      <c r="H87" s="15"/>
      <c r="I87" s="61">
        <v>2650.0</v>
      </c>
      <c r="J87" s="59"/>
      <c r="K87" s="60"/>
      <c r="L87" s="17">
        <v>2650.0</v>
      </c>
      <c r="M87" s="18">
        <f t="shared" si="1"/>
        <v>0</v>
      </c>
    </row>
    <row r="88">
      <c r="A88" s="12">
        <v>84.0</v>
      </c>
      <c r="B88" s="53" t="s">
        <v>2455</v>
      </c>
      <c r="C88" s="53">
        <v>45937.0</v>
      </c>
      <c r="D88" s="53" t="s">
        <v>337</v>
      </c>
      <c r="E88" s="55"/>
      <c r="F88" s="56"/>
      <c r="G88" s="57"/>
      <c r="H88" s="19">
        <v>350.0</v>
      </c>
      <c r="I88" s="58"/>
      <c r="J88" s="59"/>
      <c r="K88" s="60"/>
      <c r="L88" s="17">
        <v>350.0</v>
      </c>
      <c r="M88" s="18">
        <f t="shared" si="1"/>
        <v>0</v>
      </c>
    </row>
    <row r="89">
      <c r="A89" s="12">
        <v>85.0</v>
      </c>
      <c r="B89" s="53" t="s">
        <v>2456</v>
      </c>
      <c r="C89" s="53">
        <v>44149.0</v>
      </c>
      <c r="D89" s="53" t="s">
        <v>32</v>
      </c>
      <c r="E89" s="55"/>
      <c r="F89" s="56"/>
      <c r="G89" s="57"/>
      <c r="H89" s="19">
        <v>1500.0</v>
      </c>
      <c r="I89" s="58"/>
      <c r="J89" s="59"/>
      <c r="K89" s="60"/>
      <c r="L89" s="17">
        <v>1500.0</v>
      </c>
      <c r="M89" s="18">
        <f t="shared" si="1"/>
        <v>0</v>
      </c>
    </row>
    <row r="90">
      <c r="A90" s="12">
        <v>86.0</v>
      </c>
      <c r="B90" s="53" t="s">
        <v>2457</v>
      </c>
      <c r="C90" s="53">
        <v>35245.0</v>
      </c>
      <c r="D90" s="53" t="s">
        <v>34</v>
      </c>
      <c r="E90" s="55"/>
      <c r="F90" s="56"/>
      <c r="G90" s="57"/>
      <c r="H90" s="19">
        <v>5050.0</v>
      </c>
      <c r="I90" s="58"/>
      <c r="J90" s="59"/>
      <c r="K90" s="60"/>
      <c r="L90" s="17">
        <v>5050.0</v>
      </c>
      <c r="M90" s="18">
        <f t="shared" si="1"/>
        <v>0</v>
      </c>
    </row>
    <row r="91">
      <c r="A91" s="12">
        <v>87.0</v>
      </c>
      <c r="B91" s="53" t="s">
        <v>2458</v>
      </c>
      <c r="C91" s="53">
        <v>53821.0</v>
      </c>
      <c r="D91" s="53" t="s">
        <v>2459</v>
      </c>
      <c r="E91" s="55"/>
      <c r="F91" s="56"/>
      <c r="G91" s="57"/>
      <c r="H91" s="15"/>
      <c r="I91" s="61">
        <v>3900.0</v>
      </c>
      <c r="J91" s="59"/>
      <c r="K91" s="60"/>
      <c r="L91" s="17">
        <v>3900.0</v>
      </c>
      <c r="M91" s="18">
        <f t="shared" si="1"/>
        <v>0</v>
      </c>
    </row>
    <row r="92">
      <c r="A92" s="12">
        <v>88.0</v>
      </c>
      <c r="B92" s="53" t="s">
        <v>2460</v>
      </c>
      <c r="C92" s="53">
        <v>54214.0</v>
      </c>
      <c r="D92" s="53" t="s">
        <v>2461</v>
      </c>
      <c r="E92" s="55"/>
      <c r="F92" s="56"/>
      <c r="G92" s="57"/>
      <c r="H92" s="15"/>
      <c r="I92" s="61">
        <v>6250.0</v>
      </c>
      <c r="J92" s="59"/>
      <c r="K92" s="60"/>
      <c r="L92" s="17">
        <v>6250.0</v>
      </c>
      <c r="M92" s="18">
        <f t="shared" si="1"/>
        <v>0</v>
      </c>
    </row>
    <row r="93">
      <c r="A93" s="12">
        <v>89.0</v>
      </c>
      <c r="B93" s="53" t="s">
        <v>2462</v>
      </c>
      <c r="C93" s="53">
        <v>43375.0</v>
      </c>
      <c r="D93" s="53" t="s">
        <v>328</v>
      </c>
      <c r="E93" s="55"/>
      <c r="F93" s="56"/>
      <c r="G93" s="57"/>
      <c r="H93" s="19">
        <v>15000.0</v>
      </c>
      <c r="I93" s="58"/>
      <c r="J93" s="59"/>
      <c r="K93" s="60"/>
      <c r="L93" s="17">
        <v>15000.0</v>
      </c>
      <c r="M93" s="18">
        <f t="shared" si="1"/>
        <v>0</v>
      </c>
    </row>
    <row r="94">
      <c r="A94" s="12">
        <v>90.0</v>
      </c>
      <c r="B94" s="53" t="s">
        <v>2463</v>
      </c>
      <c r="C94" s="53">
        <v>52195.0</v>
      </c>
      <c r="D94" s="53" t="s">
        <v>2464</v>
      </c>
      <c r="E94" s="55"/>
      <c r="F94" s="56"/>
      <c r="G94" s="57"/>
      <c r="H94" s="19">
        <v>7750.0</v>
      </c>
      <c r="I94" s="58"/>
      <c r="J94" s="59"/>
      <c r="K94" s="60"/>
      <c r="L94" s="17">
        <v>7750.0</v>
      </c>
      <c r="M94" s="18">
        <f t="shared" si="1"/>
        <v>0</v>
      </c>
    </row>
    <row r="95">
      <c r="A95" s="12">
        <v>91.0</v>
      </c>
      <c r="B95" s="53" t="s">
        <v>2465</v>
      </c>
      <c r="C95" s="53">
        <v>51406.0</v>
      </c>
      <c r="D95" s="53" t="s">
        <v>18</v>
      </c>
      <c r="E95" s="55"/>
      <c r="F95" s="56"/>
      <c r="G95" s="57"/>
      <c r="H95" s="19"/>
      <c r="I95" s="61">
        <v>1750.0</v>
      </c>
      <c r="J95" s="59"/>
      <c r="K95" s="60"/>
      <c r="L95" s="17">
        <v>1750.0</v>
      </c>
      <c r="M95" s="18">
        <f t="shared" si="1"/>
        <v>0</v>
      </c>
    </row>
    <row r="96">
      <c r="A96" s="12">
        <v>92.0</v>
      </c>
      <c r="B96" s="53" t="s">
        <v>2466</v>
      </c>
      <c r="C96" s="53">
        <v>44888.0</v>
      </c>
      <c r="D96" s="53" t="s">
        <v>2467</v>
      </c>
      <c r="E96" s="55"/>
      <c r="F96" s="56"/>
      <c r="G96" s="57"/>
      <c r="H96" s="15"/>
      <c r="I96" s="61">
        <v>5000.0</v>
      </c>
      <c r="J96" s="59"/>
      <c r="K96" s="60"/>
      <c r="L96" s="17">
        <v>5000.0</v>
      </c>
      <c r="M96" s="18">
        <f t="shared" si="1"/>
        <v>0</v>
      </c>
    </row>
    <row r="97">
      <c r="A97" s="12">
        <v>93.0</v>
      </c>
      <c r="B97" s="53" t="s">
        <v>2468</v>
      </c>
      <c r="C97" s="53">
        <v>44889.0</v>
      </c>
      <c r="D97" s="53" t="s">
        <v>2469</v>
      </c>
      <c r="E97" s="55"/>
      <c r="F97" s="56"/>
      <c r="G97" s="57"/>
      <c r="H97" s="15"/>
      <c r="I97" s="61">
        <v>5000.0</v>
      </c>
      <c r="J97" s="59"/>
      <c r="K97" s="60"/>
      <c r="L97" s="17">
        <v>5000.0</v>
      </c>
      <c r="M97" s="18">
        <f t="shared" si="1"/>
        <v>0</v>
      </c>
    </row>
    <row r="98">
      <c r="A98" s="12">
        <v>94.0</v>
      </c>
      <c r="B98" s="53" t="s">
        <v>2470</v>
      </c>
      <c r="C98" s="53">
        <v>51697.0</v>
      </c>
      <c r="D98" s="53" t="s">
        <v>741</v>
      </c>
      <c r="E98" s="55"/>
      <c r="F98" s="56"/>
      <c r="G98" s="57"/>
      <c r="H98" s="15"/>
      <c r="I98" s="61">
        <v>3600.0</v>
      </c>
      <c r="J98" s="59"/>
      <c r="K98" s="60"/>
      <c r="L98" s="17">
        <v>3600.0</v>
      </c>
      <c r="M98" s="18">
        <f t="shared" si="1"/>
        <v>0</v>
      </c>
    </row>
    <row r="99">
      <c r="A99" s="12">
        <v>95.0</v>
      </c>
      <c r="B99" s="53" t="s">
        <v>2471</v>
      </c>
      <c r="C99" s="53">
        <v>50873.0</v>
      </c>
      <c r="D99" s="53" t="s">
        <v>1268</v>
      </c>
      <c r="E99" s="55"/>
      <c r="F99" s="56"/>
      <c r="G99" s="57"/>
      <c r="H99" s="15"/>
      <c r="I99" s="61">
        <v>2955.0</v>
      </c>
      <c r="J99" s="59"/>
      <c r="K99" s="60"/>
      <c r="L99" s="17">
        <v>2955.0</v>
      </c>
      <c r="M99" s="18">
        <f t="shared" si="1"/>
        <v>0</v>
      </c>
    </row>
    <row r="100">
      <c r="A100" s="12">
        <v>96.0</v>
      </c>
      <c r="B100" s="53" t="s">
        <v>2472</v>
      </c>
      <c r="C100" s="53">
        <v>10008.0</v>
      </c>
      <c r="D100" s="53" t="s">
        <v>78</v>
      </c>
      <c r="E100" s="55"/>
      <c r="F100" s="56"/>
      <c r="G100" s="57"/>
      <c r="H100" s="19">
        <v>10000.0</v>
      </c>
      <c r="I100" s="58"/>
      <c r="J100" s="59"/>
      <c r="K100" s="60"/>
      <c r="L100" s="17">
        <v>10000.0</v>
      </c>
      <c r="M100" s="18">
        <f t="shared" si="1"/>
        <v>0</v>
      </c>
    </row>
    <row r="101">
      <c r="A101" s="12">
        <v>97.0</v>
      </c>
      <c r="B101" s="53" t="s">
        <v>2473</v>
      </c>
      <c r="C101" s="53">
        <v>56387.0</v>
      </c>
      <c r="D101" s="53" t="s">
        <v>811</v>
      </c>
      <c r="E101" s="55"/>
      <c r="F101" s="56"/>
      <c r="G101" s="57"/>
      <c r="H101" s="15"/>
      <c r="I101" s="61">
        <v>30000.0</v>
      </c>
      <c r="J101" s="59"/>
      <c r="K101" s="60"/>
      <c r="L101" s="17">
        <v>30000.0</v>
      </c>
      <c r="M101" s="18">
        <f t="shared" si="1"/>
        <v>0</v>
      </c>
    </row>
    <row r="102">
      <c r="A102" s="12">
        <v>98.0</v>
      </c>
      <c r="B102" s="53" t="s">
        <v>2474</v>
      </c>
      <c r="C102" s="53">
        <v>42137.0</v>
      </c>
      <c r="D102" s="53" t="s">
        <v>1088</v>
      </c>
      <c r="E102" s="55"/>
      <c r="F102" s="56"/>
      <c r="G102" s="57"/>
      <c r="H102" s="19">
        <v>5000.0</v>
      </c>
      <c r="I102" s="58"/>
      <c r="J102" s="59"/>
      <c r="K102" s="60"/>
      <c r="L102" s="17">
        <v>5000.0</v>
      </c>
      <c r="M102" s="18">
        <f t="shared" si="1"/>
        <v>0</v>
      </c>
    </row>
    <row r="103">
      <c r="A103" s="12">
        <v>99.0</v>
      </c>
      <c r="B103" s="53" t="s">
        <v>2475</v>
      </c>
      <c r="C103" s="53">
        <v>42137.0</v>
      </c>
      <c r="D103" s="53" t="s">
        <v>1088</v>
      </c>
      <c r="E103" s="55"/>
      <c r="F103" s="56"/>
      <c r="G103" s="57"/>
      <c r="H103" s="19">
        <v>5400.0</v>
      </c>
      <c r="I103" s="58"/>
      <c r="J103" s="59"/>
      <c r="K103" s="60"/>
      <c r="L103" s="17">
        <v>5400.0</v>
      </c>
      <c r="M103" s="18">
        <f t="shared" si="1"/>
        <v>0</v>
      </c>
    </row>
    <row r="104">
      <c r="A104" s="12">
        <v>100.0</v>
      </c>
      <c r="B104" s="53" t="s">
        <v>2476</v>
      </c>
      <c r="C104" s="53">
        <v>55971.0</v>
      </c>
      <c r="D104" s="53" t="s">
        <v>2477</v>
      </c>
      <c r="E104" s="55"/>
      <c r="F104" s="56"/>
      <c r="G104" s="57"/>
      <c r="H104" s="19">
        <v>10000.0</v>
      </c>
      <c r="I104" s="58"/>
      <c r="J104" s="59"/>
      <c r="K104" s="60"/>
      <c r="L104" s="17">
        <v>10000.0</v>
      </c>
      <c r="M104" s="18">
        <f t="shared" si="1"/>
        <v>0</v>
      </c>
    </row>
    <row r="105">
      <c r="A105" s="12">
        <v>101.0</v>
      </c>
      <c r="B105" s="53" t="s">
        <v>2478</v>
      </c>
      <c r="C105" s="53">
        <v>52669.0</v>
      </c>
      <c r="D105" s="53" t="s">
        <v>2479</v>
      </c>
      <c r="E105" s="55"/>
      <c r="F105" s="56"/>
      <c r="G105" s="57"/>
      <c r="H105" s="19">
        <v>1600.0</v>
      </c>
      <c r="I105" s="58"/>
      <c r="J105" s="59"/>
      <c r="K105" s="60"/>
      <c r="L105" s="17">
        <v>1600.0</v>
      </c>
      <c r="M105" s="18">
        <f t="shared" si="1"/>
        <v>0</v>
      </c>
    </row>
    <row r="106">
      <c r="A106" s="12">
        <v>102.0</v>
      </c>
      <c r="B106" s="53" t="s">
        <v>2480</v>
      </c>
      <c r="C106" s="53">
        <v>55905.0</v>
      </c>
      <c r="D106" s="53" t="s">
        <v>2481</v>
      </c>
      <c r="E106" s="55"/>
      <c r="F106" s="56"/>
      <c r="G106" s="57"/>
      <c r="H106" s="19">
        <v>5150.0</v>
      </c>
      <c r="I106" s="58"/>
      <c r="J106" s="59"/>
      <c r="K106" s="60"/>
      <c r="L106" s="17">
        <v>5150.0</v>
      </c>
      <c r="M106" s="18">
        <f t="shared" si="1"/>
        <v>0</v>
      </c>
    </row>
    <row r="107">
      <c r="A107" s="12">
        <v>103.0</v>
      </c>
      <c r="B107" s="53" t="s">
        <v>2482</v>
      </c>
      <c r="C107" s="53">
        <v>10701.0</v>
      </c>
      <c r="D107" s="53" t="s">
        <v>756</v>
      </c>
      <c r="E107" s="55"/>
      <c r="F107" s="56"/>
      <c r="G107" s="57"/>
      <c r="H107" s="19">
        <v>600.0</v>
      </c>
      <c r="I107" s="58"/>
      <c r="J107" s="59"/>
      <c r="K107" s="60"/>
      <c r="L107" s="17">
        <v>600.0</v>
      </c>
      <c r="M107" s="18">
        <f t="shared" si="1"/>
        <v>0</v>
      </c>
    </row>
    <row r="108">
      <c r="A108" s="12">
        <v>104.0</v>
      </c>
      <c r="B108" s="53" t="s">
        <v>2483</v>
      </c>
      <c r="C108" s="53">
        <v>44149.0</v>
      </c>
      <c r="D108" s="53" t="s">
        <v>32</v>
      </c>
      <c r="E108" s="55"/>
      <c r="F108" s="56"/>
      <c r="G108" s="57"/>
      <c r="H108" s="19">
        <v>1500.0</v>
      </c>
      <c r="I108" s="58"/>
      <c r="J108" s="59"/>
      <c r="K108" s="60"/>
      <c r="L108" s="17">
        <v>1500.0</v>
      </c>
      <c r="M108" s="18">
        <f t="shared" si="1"/>
        <v>0</v>
      </c>
    </row>
    <row r="109">
      <c r="A109" s="12">
        <v>105.0</v>
      </c>
      <c r="B109" s="53" t="s">
        <v>2484</v>
      </c>
      <c r="C109" s="53">
        <v>43380.0</v>
      </c>
      <c r="D109" s="53" t="s">
        <v>61</v>
      </c>
      <c r="E109" s="55"/>
      <c r="F109" s="56"/>
      <c r="G109" s="57"/>
      <c r="H109" s="19">
        <v>3550.0</v>
      </c>
      <c r="I109" s="58"/>
      <c r="J109" s="59"/>
      <c r="K109" s="60"/>
      <c r="L109" s="17">
        <v>3550.0</v>
      </c>
      <c r="M109" s="18">
        <f t="shared" si="1"/>
        <v>0</v>
      </c>
    </row>
    <row r="110">
      <c r="A110" s="12">
        <v>106.0</v>
      </c>
      <c r="B110" s="53" t="s">
        <v>2485</v>
      </c>
      <c r="C110" s="53">
        <v>50222.0</v>
      </c>
      <c r="D110" s="53" t="s">
        <v>47</v>
      </c>
      <c r="E110" s="55"/>
      <c r="F110" s="56"/>
      <c r="G110" s="57"/>
      <c r="H110" s="19">
        <v>448.0</v>
      </c>
      <c r="I110" s="58"/>
      <c r="J110" s="59"/>
      <c r="K110" s="60"/>
      <c r="L110" s="17">
        <v>448.0</v>
      </c>
      <c r="M110" s="18">
        <f t="shared" si="1"/>
        <v>0</v>
      </c>
    </row>
    <row r="111">
      <c r="A111" s="12">
        <v>107.0</v>
      </c>
      <c r="B111" s="53" t="s">
        <v>2486</v>
      </c>
      <c r="C111" s="53">
        <v>42046.0</v>
      </c>
      <c r="D111" s="53" t="s">
        <v>24</v>
      </c>
      <c r="E111" s="55"/>
      <c r="F111" s="56"/>
      <c r="G111" s="64">
        <v>25000.0</v>
      </c>
      <c r="H111" s="15"/>
      <c r="I111" s="58"/>
      <c r="J111" s="59"/>
      <c r="K111" s="60"/>
      <c r="L111" s="17">
        <v>25000.0</v>
      </c>
      <c r="M111" s="18">
        <f t="shared" si="1"/>
        <v>0</v>
      </c>
    </row>
    <row r="112">
      <c r="A112" s="12">
        <v>108.0</v>
      </c>
      <c r="B112" s="53" t="s">
        <v>2487</v>
      </c>
      <c r="C112" s="53">
        <v>43380.0</v>
      </c>
      <c r="D112" s="53" t="s">
        <v>61</v>
      </c>
      <c r="E112" s="55"/>
      <c r="F112" s="56"/>
      <c r="G112" s="64">
        <v>25000.0</v>
      </c>
      <c r="H112" s="15"/>
      <c r="I112" s="58"/>
      <c r="J112" s="59"/>
      <c r="K112" s="60"/>
      <c r="L112" s="17">
        <v>25000.0</v>
      </c>
      <c r="M112" s="18">
        <f t="shared" si="1"/>
        <v>0</v>
      </c>
    </row>
    <row r="113">
      <c r="A113" s="12">
        <v>109.0</v>
      </c>
      <c r="B113" s="53" t="s">
        <v>2488</v>
      </c>
      <c r="C113" s="53">
        <v>50342.0</v>
      </c>
      <c r="D113" s="53" t="s">
        <v>146</v>
      </c>
      <c r="E113" s="55"/>
      <c r="F113" s="56"/>
      <c r="G113" s="64">
        <v>10100.0</v>
      </c>
      <c r="H113" s="15"/>
      <c r="I113" s="58"/>
      <c r="J113" s="59"/>
      <c r="K113" s="60"/>
      <c r="L113" s="17">
        <v>10100.0</v>
      </c>
      <c r="M113" s="18">
        <f t="shared" si="1"/>
        <v>0</v>
      </c>
    </row>
    <row r="114">
      <c r="A114" s="12">
        <v>110.0</v>
      </c>
      <c r="B114" s="53" t="s">
        <v>2489</v>
      </c>
      <c r="C114" s="53">
        <v>50342.0</v>
      </c>
      <c r="D114" s="53" t="s">
        <v>146</v>
      </c>
      <c r="E114" s="55"/>
      <c r="F114" s="56"/>
      <c r="G114" s="64">
        <v>400.0</v>
      </c>
      <c r="H114" s="15"/>
      <c r="I114" s="58"/>
      <c r="J114" s="59"/>
      <c r="K114" s="60"/>
      <c r="L114" s="17">
        <v>400.0</v>
      </c>
      <c r="M114" s="18">
        <f t="shared" si="1"/>
        <v>0</v>
      </c>
    </row>
    <row r="115">
      <c r="A115" s="20"/>
      <c r="B115" s="21"/>
      <c r="C115" s="21"/>
      <c r="D115" s="20"/>
      <c r="E115" s="22">
        <f t="shared" ref="E115:J115" si="2">SUM(E5:E114)</f>
        <v>14850</v>
      </c>
      <c r="F115" s="22">
        <f t="shared" si="2"/>
        <v>1450</v>
      </c>
      <c r="G115" s="22">
        <f t="shared" si="2"/>
        <v>60500</v>
      </c>
      <c r="H115" s="22">
        <f t="shared" si="2"/>
        <v>656176</v>
      </c>
      <c r="I115" s="22">
        <f t="shared" si="2"/>
        <v>234547</v>
      </c>
      <c r="J115" s="22">
        <f t="shared" si="2"/>
        <v>0</v>
      </c>
      <c r="K115" s="22">
        <f>SUM(K24:K114)</f>
        <v>0</v>
      </c>
      <c r="L115" s="22">
        <f t="shared" ref="L115:M115" si="3">SUM(L5:L114)</f>
        <v>967523</v>
      </c>
      <c r="M115" s="18">
        <f t="shared" si="3"/>
        <v>0</v>
      </c>
    </row>
    <row r="116">
      <c r="A116" s="23"/>
      <c r="B116" s="23"/>
      <c r="C116" s="23"/>
      <c r="D116" s="23"/>
      <c r="E116" s="24">
        <v>967523.0</v>
      </c>
      <c r="F116" s="6"/>
      <c r="G116" s="6"/>
      <c r="H116" s="6"/>
      <c r="I116" s="6"/>
      <c r="J116" s="6"/>
      <c r="K116" s="7"/>
      <c r="L116" s="25"/>
      <c r="M116" s="23"/>
    </row>
    <row r="117">
      <c r="L117" s="40" t="s">
        <v>254</v>
      </c>
    </row>
  </sheetData>
  <mergeCells count="14">
    <mergeCell ref="F3:G3"/>
    <mergeCell ref="H3:I3"/>
    <mergeCell ref="J3:J4"/>
    <mergeCell ref="K3:K4"/>
    <mergeCell ref="E116:K116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5"/>
    <col customWidth="1" min="2" max="2" width="24.75"/>
    <col customWidth="1" min="4" max="4" width="43.25"/>
    <col customWidth="1" min="5" max="5" width="9.5"/>
  </cols>
  <sheetData>
    <row r="1">
      <c r="A1" s="1" t="s">
        <v>2490</v>
      </c>
    </row>
    <row r="2">
      <c r="A2" s="2" t="s">
        <v>1</v>
      </c>
      <c r="B2" s="3" t="s">
        <v>2</v>
      </c>
      <c r="C2" s="2" t="s">
        <v>3</v>
      </c>
      <c r="D2" s="4" t="s">
        <v>4</v>
      </c>
      <c r="E2" s="5" t="s">
        <v>5</v>
      </c>
      <c r="F2" s="6"/>
      <c r="G2" s="6"/>
      <c r="H2" s="6"/>
      <c r="I2" s="6"/>
      <c r="J2" s="6"/>
      <c r="K2" s="6"/>
      <c r="L2" s="6"/>
      <c r="M2" s="7"/>
    </row>
    <row r="3">
      <c r="A3" s="8"/>
      <c r="B3" s="8"/>
      <c r="C3" s="8"/>
      <c r="D3" s="8"/>
      <c r="E3" s="2" t="s">
        <v>6</v>
      </c>
      <c r="F3" s="5" t="s">
        <v>7</v>
      </c>
      <c r="G3" s="7"/>
      <c r="H3" s="5" t="s">
        <v>8</v>
      </c>
      <c r="I3" s="7"/>
      <c r="J3" s="2" t="s">
        <v>9</v>
      </c>
      <c r="K3" s="4" t="s">
        <v>10</v>
      </c>
      <c r="L3" s="2" t="s">
        <v>11</v>
      </c>
      <c r="M3" s="2" t="s">
        <v>12</v>
      </c>
    </row>
    <row r="4">
      <c r="A4" s="9"/>
      <c r="B4" s="9"/>
      <c r="C4" s="9"/>
      <c r="D4" s="9"/>
      <c r="E4" s="9"/>
      <c r="F4" s="10" t="s">
        <v>13</v>
      </c>
      <c r="G4" s="10" t="s">
        <v>14</v>
      </c>
      <c r="H4" s="10" t="s">
        <v>15</v>
      </c>
      <c r="I4" s="11" t="s">
        <v>16</v>
      </c>
      <c r="J4" s="9"/>
      <c r="K4" s="9"/>
      <c r="L4" s="9"/>
      <c r="M4" s="9"/>
    </row>
    <row r="5">
      <c r="A5" s="41">
        <v>1.0</v>
      </c>
      <c r="B5" s="46" t="s">
        <v>2491</v>
      </c>
      <c r="C5" s="46">
        <v>10001.0</v>
      </c>
      <c r="D5" s="46" t="s">
        <v>218</v>
      </c>
      <c r="E5" s="38">
        <v>140.0</v>
      </c>
      <c r="F5" s="28"/>
      <c r="G5" s="29"/>
      <c r="H5" s="30"/>
      <c r="I5" s="31"/>
      <c r="J5" s="32"/>
      <c r="K5" s="33"/>
      <c r="L5" s="47">
        <v>140.0</v>
      </c>
      <c r="M5" s="18">
        <f t="shared" ref="M5:M131" si="1">SUM(E5+F5+G5+H5+I5+J5+K5-L5)</f>
        <v>0</v>
      </c>
    </row>
    <row r="6">
      <c r="A6" s="41">
        <v>2.0</v>
      </c>
      <c r="B6" s="46" t="s">
        <v>2492</v>
      </c>
      <c r="C6" s="46">
        <v>57806.0</v>
      </c>
      <c r="D6" s="46" t="s">
        <v>2493</v>
      </c>
      <c r="E6" s="27"/>
      <c r="F6" s="37"/>
      <c r="G6" s="29"/>
      <c r="H6" s="30">
        <v>27000.0</v>
      </c>
      <c r="I6" s="31"/>
      <c r="J6" s="35"/>
      <c r="K6" s="33"/>
      <c r="L6" s="47">
        <v>27000.0</v>
      </c>
      <c r="M6" s="18">
        <f t="shared" si="1"/>
        <v>0</v>
      </c>
    </row>
    <row r="7">
      <c r="A7" s="41">
        <v>3.0</v>
      </c>
      <c r="B7" s="46" t="s">
        <v>2494</v>
      </c>
      <c r="C7" s="46">
        <v>53775.0</v>
      </c>
      <c r="D7" s="46" t="s">
        <v>348</v>
      </c>
      <c r="E7" s="27"/>
      <c r="F7" s="37"/>
      <c r="G7" s="29"/>
      <c r="H7" s="30">
        <v>5150.0</v>
      </c>
      <c r="I7" s="31"/>
      <c r="J7" s="35"/>
      <c r="K7" s="33"/>
      <c r="L7" s="47">
        <v>5150.0</v>
      </c>
      <c r="M7" s="18">
        <f t="shared" si="1"/>
        <v>0</v>
      </c>
    </row>
    <row r="8">
      <c r="A8" s="41">
        <v>4.0</v>
      </c>
      <c r="B8" s="46" t="s">
        <v>2495</v>
      </c>
      <c r="C8" s="46">
        <v>44986.0</v>
      </c>
      <c r="D8" s="46" t="s">
        <v>98</v>
      </c>
      <c r="E8" s="27"/>
      <c r="F8" s="28"/>
      <c r="G8" s="29"/>
      <c r="H8" s="30">
        <v>10000.0</v>
      </c>
      <c r="I8" s="31"/>
      <c r="J8" s="35"/>
      <c r="K8" s="33"/>
      <c r="L8" s="47">
        <v>10000.0</v>
      </c>
      <c r="M8" s="18">
        <f t="shared" si="1"/>
        <v>0</v>
      </c>
    </row>
    <row r="9">
      <c r="A9" s="41">
        <v>5.0</v>
      </c>
      <c r="B9" s="46" t="s">
        <v>2496</v>
      </c>
      <c r="C9" s="46">
        <v>39317.0</v>
      </c>
      <c r="D9" s="46" t="s">
        <v>84</v>
      </c>
      <c r="E9" s="38"/>
      <c r="F9" s="28"/>
      <c r="G9" s="29"/>
      <c r="H9" s="30"/>
      <c r="I9" s="31">
        <v>2650.0</v>
      </c>
      <c r="J9" s="35"/>
      <c r="K9" s="33"/>
      <c r="L9" s="47">
        <v>2650.0</v>
      </c>
      <c r="M9" s="18">
        <f t="shared" si="1"/>
        <v>0</v>
      </c>
    </row>
    <row r="10">
      <c r="A10" s="41">
        <v>6.0</v>
      </c>
      <c r="B10" s="46" t="s">
        <v>2497</v>
      </c>
      <c r="C10" s="46">
        <v>48441.0</v>
      </c>
      <c r="D10" s="46" t="s">
        <v>2498</v>
      </c>
      <c r="E10" s="38"/>
      <c r="F10" s="28"/>
      <c r="G10" s="29"/>
      <c r="H10" s="30"/>
      <c r="I10" s="31">
        <v>2500.0</v>
      </c>
      <c r="J10" s="35"/>
      <c r="K10" s="33"/>
      <c r="L10" s="47">
        <v>2500.0</v>
      </c>
      <c r="M10" s="18">
        <f t="shared" si="1"/>
        <v>0</v>
      </c>
    </row>
    <row r="11">
      <c r="A11" s="41">
        <v>7.0</v>
      </c>
      <c r="B11" s="46" t="s">
        <v>2499</v>
      </c>
      <c r="C11" s="46">
        <v>14343.0</v>
      </c>
      <c r="D11" s="46" t="s">
        <v>2438</v>
      </c>
      <c r="E11" s="27"/>
      <c r="F11" s="28"/>
      <c r="G11" s="29"/>
      <c r="H11" s="30">
        <v>3600.0</v>
      </c>
      <c r="I11" s="31"/>
      <c r="J11" s="35"/>
      <c r="K11" s="33"/>
      <c r="L11" s="47">
        <v>3600.0</v>
      </c>
      <c r="M11" s="18">
        <f t="shared" si="1"/>
        <v>0</v>
      </c>
    </row>
    <row r="12">
      <c r="A12" s="41">
        <v>8.0</v>
      </c>
      <c r="B12" s="46" t="s">
        <v>2500</v>
      </c>
      <c r="C12" s="46">
        <v>46368.0</v>
      </c>
      <c r="D12" s="46" t="s">
        <v>1065</v>
      </c>
      <c r="E12" s="27"/>
      <c r="F12" s="28"/>
      <c r="G12" s="29"/>
      <c r="H12" s="30">
        <v>10000.0</v>
      </c>
      <c r="I12" s="31"/>
      <c r="J12" s="35"/>
      <c r="K12" s="33"/>
      <c r="L12" s="47">
        <v>10000.0</v>
      </c>
      <c r="M12" s="18">
        <f t="shared" si="1"/>
        <v>0</v>
      </c>
    </row>
    <row r="13">
      <c r="A13" s="41">
        <v>9.0</v>
      </c>
      <c r="B13" s="46" t="s">
        <v>2501</v>
      </c>
      <c r="C13" s="46">
        <v>51805.0</v>
      </c>
      <c r="D13" s="46" t="s">
        <v>2502</v>
      </c>
      <c r="E13" s="27"/>
      <c r="F13" s="28"/>
      <c r="G13" s="29"/>
      <c r="H13" s="30"/>
      <c r="I13" s="31">
        <v>5000.0</v>
      </c>
      <c r="J13" s="35"/>
      <c r="K13" s="33"/>
      <c r="L13" s="47">
        <v>5000.0</v>
      </c>
      <c r="M13" s="18">
        <f t="shared" si="1"/>
        <v>0</v>
      </c>
    </row>
    <row r="14">
      <c r="A14" s="41">
        <v>10.0</v>
      </c>
      <c r="B14" s="46" t="s">
        <v>2503</v>
      </c>
      <c r="C14" s="46">
        <v>51805.0</v>
      </c>
      <c r="D14" s="46" t="s">
        <v>2502</v>
      </c>
      <c r="E14" s="27"/>
      <c r="F14" s="28"/>
      <c r="G14" s="29"/>
      <c r="H14" s="30"/>
      <c r="I14" s="31">
        <v>5000.0</v>
      </c>
      <c r="J14" s="35"/>
      <c r="K14" s="33"/>
      <c r="L14" s="47">
        <v>5000.0</v>
      </c>
      <c r="M14" s="18">
        <f t="shared" si="1"/>
        <v>0</v>
      </c>
    </row>
    <row r="15">
      <c r="A15" s="41">
        <v>11.0</v>
      </c>
      <c r="B15" s="46" t="s">
        <v>2504</v>
      </c>
      <c r="C15" s="46">
        <v>54573.0</v>
      </c>
      <c r="D15" s="46" t="s">
        <v>152</v>
      </c>
      <c r="E15" s="27"/>
      <c r="F15" s="28"/>
      <c r="G15" s="29"/>
      <c r="H15" s="30">
        <v>10000.0</v>
      </c>
      <c r="I15" s="31"/>
      <c r="J15" s="35"/>
      <c r="K15" s="33"/>
      <c r="L15" s="47">
        <v>10000.0</v>
      </c>
      <c r="M15" s="18">
        <f t="shared" si="1"/>
        <v>0</v>
      </c>
    </row>
    <row r="16">
      <c r="A16" s="41">
        <v>12.0</v>
      </c>
      <c r="B16" s="46" t="s">
        <v>2505</v>
      </c>
      <c r="C16" s="46">
        <v>14343.0</v>
      </c>
      <c r="D16" s="46" t="s">
        <v>2438</v>
      </c>
      <c r="E16" s="27"/>
      <c r="F16" s="28"/>
      <c r="G16" s="29"/>
      <c r="H16" s="30">
        <v>5050.0</v>
      </c>
      <c r="I16" s="31"/>
      <c r="J16" s="35"/>
      <c r="K16" s="33"/>
      <c r="L16" s="47">
        <v>5050.0</v>
      </c>
      <c r="M16" s="18">
        <f t="shared" si="1"/>
        <v>0</v>
      </c>
    </row>
    <row r="17">
      <c r="A17" s="41">
        <v>13.0</v>
      </c>
      <c r="B17" s="46" t="s">
        <v>2506</v>
      </c>
      <c r="C17" s="46">
        <v>51350.0</v>
      </c>
      <c r="D17" s="46" t="s">
        <v>2507</v>
      </c>
      <c r="E17" s="27"/>
      <c r="F17" s="28"/>
      <c r="G17" s="29"/>
      <c r="H17" s="30">
        <v>6400.0</v>
      </c>
      <c r="I17" s="31"/>
      <c r="J17" s="35"/>
      <c r="K17" s="33"/>
      <c r="L17" s="47">
        <v>6400.0</v>
      </c>
      <c r="M17" s="18">
        <f t="shared" si="1"/>
        <v>0</v>
      </c>
    </row>
    <row r="18">
      <c r="A18" s="41">
        <v>14.0</v>
      </c>
      <c r="B18" s="46" t="s">
        <v>2508</v>
      </c>
      <c r="C18" s="46">
        <v>56921.0</v>
      </c>
      <c r="D18" s="46" t="s">
        <v>2509</v>
      </c>
      <c r="E18" s="27"/>
      <c r="F18" s="28"/>
      <c r="G18" s="29"/>
      <c r="H18" s="30">
        <v>800.0</v>
      </c>
      <c r="I18" s="31"/>
      <c r="J18" s="35"/>
      <c r="K18" s="33"/>
      <c r="L18" s="47">
        <v>800.0</v>
      </c>
      <c r="M18" s="18">
        <f t="shared" si="1"/>
        <v>0</v>
      </c>
    </row>
    <row r="19">
      <c r="A19" s="41">
        <v>15.0</v>
      </c>
      <c r="B19" s="46" t="s">
        <v>2510</v>
      </c>
      <c r="C19" s="46">
        <v>49676.0</v>
      </c>
      <c r="D19" s="46" t="s">
        <v>40</v>
      </c>
      <c r="E19" s="38"/>
      <c r="F19" s="37"/>
      <c r="G19" s="29"/>
      <c r="H19" s="30"/>
      <c r="I19" s="31">
        <v>7650.0</v>
      </c>
      <c r="J19" s="35"/>
      <c r="K19" s="33"/>
      <c r="L19" s="47">
        <v>7650.0</v>
      </c>
      <c r="M19" s="18">
        <f t="shared" si="1"/>
        <v>0</v>
      </c>
    </row>
    <row r="20">
      <c r="A20" s="41">
        <v>16.0</v>
      </c>
      <c r="B20" s="46" t="s">
        <v>2511</v>
      </c>
      <c r="C20" s="46">
        <v>50871.0</v>
      </c>
      <c r="D20" s="46" t="s">
        <v>105</v>
      </c>
      <c r="E20" s="27"/>
      <c r="F20" s="28"/>
      <c r="G20" s="29"/>
      <c r="H20" s="30">
        <v>67350.0</v>
      </c>
      <c r="I20" s="31"/>
      <c r="J20" s="35"/>
      <c r="K20" s="33"/>
      <c r="L20" s="47">
        <v>67350.0</v>
      </c>
      <c r="M20" s="18">
        <f t="shared" si="1"/>
        <v>0</v>
      </c>
    </row>
    <row r="21">
      <c r="A21" s="41">
        <v>17.0</v>
      </c>
      <c r="B21" s="46" t="s">
        <v>2512</v>
      </c>
      <c r="C21" s="46">
        <v>37642.0</v>
      </c>
      <c r="D21" s="46" t="s">
        <v>482</v>
      </c>
      <c r="E21" s="27"/>
      <c r="F21" s="37"/>
      <c r="G21" s="29"/>
      <c r="H21" s="30">
        <v>15000.0</v>
      </c>
      <c r="I21" s="31"/>
      <c r="J21" s="35"/>
      <c r="K21" s="33"/>
      <c r="L21" s="47">
        <v>15000.0</v>
      </c>
      <c r="M21" s="18">
        <f t="shared" si="1"/>
        <v>0</v>
      </c>
    </row>
    <row r="22">
      <c r="A22" s="41">
        <v>18.0</v>
      </c>
      <c r="B22" s="46" t="s">
        <v>2513</v>
      </c>
      <c r="C22" s="46">
        <v>56683.0</v>
      </c>
      <c r="D22" s="46" t="s">
        <v>403</v>
      </c>
      <c r="E22" s="27"/>
      <c r="F22" s="37">
        <v>18000.0</v>
      </c>
      <c r="G22" s="29"/>
      <c r="H22" s="30"/>
      <c r="I22" s="31"/>
      <c r="J22" s="35"/>
      <c r="K22" s="33"/>
      <c r="L22" s="47">
        <v>18000.0</v>
      </c>
      <c r="M22" s="18">
        <f t="shared" si="1"/>
        <v>0</v>
      </c>
    </row>
    <row r="23">
      <c r="A23" s="41">
        <v>19.0</v>
      </c>
      <c r="B23" s="46" t="s">
        <v>2514</v>
      </c>
      <c r="C23" s="46">
        <v>10001.0</v>
      </c>
      <c r="D23" s="46" t="s">
        <v>218</v>
      </c>
      <c r="E23" s="27"/>
      <c r="F23" s="37"/>
      <c r="G23" s="29"/>
      <c r="H23" s="30">
        <v>10000.0</v>
      </c>
      <c r="I23" s="31"/>
      <c r="J23" s="35"/>
      <c r="K23" s="33"/>
      <c r="L23" s="47">
        <v>10000.0</v>
      </c>
      <c r="M23" s="18">
        <f t="shared" si="1"/>
        <v>0</v>
      </c>
    </row>
    <row r="24">
      <c r="A24" s="41">
        <v>20.0</v>
      </c>
      <c r="B24" s="46" t="s">
        <v>2515</v>
      </c>
      <c r="C24" s="46">
        <v>10001.0</v>
      </c>
      <c r="D24" s="46" t="s">
        <v>218</v>
      </c>
      <c r="E24" s="38"/>
      <c r="F24" s="28"/>
      <c r="G24" s="29"/>
      <c r="H24" s="30">
        <v>2650.0</v>
      </c>
      <c r="I24" s="31"/>
      <c r="J24" s="35"/>
      <c r="K24" s="33"/>
      <c r="L24" s="47">
        <v>2650.0</v>
      </c>
      <c r="M24" s="18">
        <f t="shared" si="1"/>
        <v>0</v>
      </c>
    </row>
    <row r="25">
      <c r="A25" s="41">
        <v>21.0</v>
      </c>
      <c r="B25" s="46" t="s">
        <v>2516</v>
      </c>
      <c r="C25" s="46">
        <v>43380.0</v>
      </c>
      <c r="D25" s="46" t="s">
        <v>61</v>
      </c>
      <c r="E25" s="38"/>
      <c r="F25" s="28"/>
      <c r="G25" s="29"/>
      <c r="H25" s="30">
        <v>1950.0</v>
      </c>
      <c r="I25" s="31"/>
      <c r="J25" s="35"/>
      <c r="K25" s="33"/>
      <c r="L25" s="47">
        <v>1950.0</v>
      </c>
      <c r="M25" s="18">
        <f t="shared" si="1"/>
        <v>0</v>
      </c>
    </row>
    <row r="26">
      <c r="A26" s="41">
        <v>22.0</v>
      </c>
      <c r="B26" s="46" t="s">
        <v>2517</v>
      </c>
      <c r="C26" s="46">
        <v>48910.0</v>
      </c>
      <c r="D26" s="46" t="s">
        <v>399</v>
      </c>
      <c r="E26" s="27"/>
      <c r="F26" s="37"/>
      <c r="G26" s="29"/>
      <c r="H26" s="30"/>
      <c r="I26" s="31">
        <v>10000.0</v>
      </c>
      <c r="J26" s="35"/>
      <c r="K26" s="33"/>
      <c r="L26" s="47">
        <v>10000.0</v>
      </c>
      <c r="M26" s="18">
        <f t="shared" si="1"/>
        <v>0</v>
      </c>
    </row>
    <row r="27">
      <c r="A27" s="41">
        <v>23.0</v>
      </c>
      <c r="B27" s="46" t="s">
        <v>2518</v>
      </c>
      <c r="C27" s="46">
        <v>10250.0</v>
      </c>
      <c r="D27" s="46" t="s">
        <v>107</v>
      </c>
      <c r="E27" s="38"/>
      <c r="F27" s="28"/>
      <c r="G27" s="29"/>
      <c r="H27" s="30"/>
      <c r="I27" s="31">
        <v>350.0</v>
      </c>
      <c r="J27" s="35"/>
      <c r="K27" s="33"/>
      <c r="L27" s="47">
        <v>350.0</v>
      </c>
      <c r="M27" s="18">
        <f t="shared" si="1"/>
        <v>0</v>
      </c>
    </row>
    <row r="28">
      <c r="A28" s="41">
        <v>24.0</v>
      </c>
      <c r="B28" s="46" t="s">
        <v>2519</v>
      </c>
      <c r="C28" s="46">
        <v>13781.0</v>
      </c>
      <c r="D28" s="46" t="s">
        <v>278</v>
      </c>
      <c r="E28" s="27"/>
      <c r="F28" s="37"/>
      <c r="G28" s="29"/>
      <c r="H28" s="30">
        <v>15000.0</v>
      </c>
      <c r="I28" s="31"/>
      <c r="J28" s="35"/>
      <c r="K28" s="33"/>
      <c r="L28" s="47">
        <v>15000.0</v>
      </c>
      <c r="M28" s="18">
        <f t="shared" si="1"/>
        <v>0</v>
      </c>
    </row>
    <row r="29">
      <c r="A29" s="41">
        <v>25.0</v>
      </c>
      <c r="B29" s="46" t="s">
        <v>2520</v>
      </c>
      <c r="C29" s="46">
        <v>13781.0</v>
      </c>
      <c r="D29" s="46" t="s">
        <v>278</v>
      </c>
      <c r="E29" s="27"/>
      <c r="F29" s="28"/>
      <c r="G29" s="29"/>
      <c r="H29" s="30">
        <v>7500.0</v>
      </c>
      <c r="I29" s="31"/>
      <c r="J29" s="35"/>
      <c r="K29" s="33"/>
      <c r="L29" s="47">
        <v>7500.0</v>
      </c>
      <c r="M29" s="18">
        <f t="shared" si="1"/>
        <v>0</v>
      </c>
    </row>
    <row r="30">
      <c r="A30" s="41">
        <v>26.0</v>
      </c>
      <c r="B30" s="46" t="s">
        <v>2521</v>
      </c>
      <c r="C30" s="46">
        <v>52725.0</v>
      </c>
      <c r="D30" s="46" t="s">
        <v>426</v>
      </c>
      <c r="E30" s="27"/>
      <c r="F30" s="28"/>
      <c r="G30" s="29"/>
      <c r="H30" s="30"/>
      <c r="I30" s="31">
        <v>30000.0</v>
      </c>
      <c r="J30" s="35"/>
      <c r="K30" s="33"/>
      <c r="L30" s="47">
        <v>30000.0</v>
      </c>
      <c r="M30" s="18">
        <f t="shared" si="1"/>
        <v>0</v>
      </c>
    </row>
    <row r="31">
      <c r="A31" s="41">
        <v>27.0</v>
      </c>
      <c r="B31" s="46" t="s">
        <v>2522</v>
      </c>
      <c r="C31" s="46">
        <v>46562.0</v>
      </c>
      <c r="D31" s="46" t="s">
        <v>577</v>
      </c>
      <c r="E31" s="27"/>
      <c r="F31" s="28"/>
      <c r="G31" s="29"/>
      <c r="H31" s="30">
        <v>600.0</v>
      </c>
      <c r="I31" s="31"/>
      <c r="J31" s="35"/>
      <c r="K31" s="33"/>
      <c r="L31" s="47">
        <v>600.0</v>
      </c>
      <c r="M31" s="18">
        <f t="shared" si="1"/>
        <v>0</v>
      </c>
    </row>
    <row r="32">
      <c r="A32" s="41">
        <v>28.0</v>
      </c>
      <c r="B32" s="46" t="s">
        <v>2523</v>
      </c>
      <c r="C32" s="46">
        <v>10001.0</v>
      </c>
      <c r="D32" s="46" t="s">
        <v>218</v>
      </c>
      <c r="E32" s="27"/>
      <c r="F32" s="37"/>
      <c r="G32" s="29"/>
      <c r="H32" s="30">
        <v>2650.0</v>
      </c>
      <c r="I32" s="31"/>
      <c r="J32" s="35"/>
      <c r="K32" s="33"/>
      <c r="L32" s="47">
        <v>2650.0</v>
      </c>
      <c r="M32" s="18">
        <f t="shared" si="1"/>
        <v>0</v>
      </c>
    </row>
    <row r="33">
      <c r="A33" s="41">
        <v>29.0</v>
      </c>
      <c r="B33" s="46" t="s">
        <v>2524</v>
      </c>
      <c r="C33" s="46">
        <v>13781.0</v>
      </c>
      <c r="D33" s="46" t="s">
        <v>278</v>
      </c>
      <c r="E33" s="38">
        <v>300.0</v>
      </c>
      <c r="F33" s="28"/>
      <c r="G33" s="29"/>
      <c r="H33" s="30"/>
      <c r="I33" s="31"/>
      <c r="J33" s="35"/>
      <c r="K33" s="33"/>
      <c r="L33" s="47">
        <v>300.0</v>
      </c>
      <c r="M33" s="18">
        <f t="shared" si="1"/>
        <v>0</v>
      </c>
    </row>
    <row r="34">
      <c r="A34" s="41">
        <v>30.0</v>
      </c>
      <c r="B34" s="46" t="s">
        <v>2525</v>
      </c>
      <c r="C34" s="46">
        <v>50593.0</v>
      </c>
      <c r="D34" s="46" t="s">
        <v>1048</v>
      </c>
      <c r="E34" s="27"/>
      <c r="F34" s="28"/>
      <c r="G34" s="29"/>
      <c r="H34" s="30">
        <v>2400.0</v>
      </c>
      <c r="I34" s="31"/>
      <c r="J34" s="35"/>
      <c r="K34" s="33"/>
      <c r="L34" s="47">
        <v>2400.0</v>
      </c>
      <c r="M34" s="18">
        <f t="shared" si="1"/>
        <v>0</v>
      </c>
    </row>
    <row r="35">
      <c r="A35" s="41">
        <v>31.0</v>
      </c>
      <c r="B35" s="46" t="s">
        <v>2526</v>
      </c>
      <c r="C35" s="46">
        <v>52419.0</v>
      </c>
      <c r="D35" s="46" t="s">
        <v>1715</v>
      </c>
      <c r="E35" s="27"/>
      <c r="F35" s="28"/>
      <c r="G35" s="29"/>
      <c r="H35" s="30">
        <v>10000.0</v>
      </c>
      <c r="I35" s="31"/>
      <c r="J35" s="32"/>
      <c r="K35" s="33"/>
      <c r="L35" s="47">
        <v>10000.0</v>
      </c>
      <c r="M35" s="18">
        <f t="shared" si="1"/>
        <v>0</v>
      </c>
    </row>
    <row r="36">
      <c r="A36" s="41">
        <v>32.0</v>
      </c>
      <c r="B36" s="46" t="s">
        <v>2527</v>
      </c>
      <c r="C36" s="46">
        <v>13781.0</v>
      </c>
      <c r="D36" s="46" t="s">
        <v>278</v>
      </c>
      <c r="E36" s="27"/>
      <c r="F36" s="28"/>
      <c r="G36" s="29"/>
      <c r="H36" s="30">
        <v>7500.0</v>
      </c>
      <c r="I36" s="31"/>
      <c r="J36" s="32"/>
      <c r="K36" s="33"/>
      <c r="L36" s="47">
        <v>7500.0</v>
      </c>
      <c r="M36" s="18">
        <f t="shared" si="1"/>
        <v>0</v>
      </c>
    </row>
    <row r="37">
      <c r="A37" s="41">
        <v>33.0</v>
      </c>
      <c r="B37" s="46" t="s">
        <v>2528</v>
      </c>
      <c r="C37" s="46">
        <v>48854.0</v>
      </c>
      <c r="D37" s="46" t="s">
        <v>301</v>
      </c>
      <c r="E37" s="27"/>
      <c r="F37" s="28"/>
      <c r="G37" s="29"/>
      <c r="H37" s="30"/>
      <c r="I37" s="31">
        <v>10000.0</v>
      </c>
      <c r="J37" s="32"/>
      <c r="K37" s="33"/>
      <c r="L37" s="47">
        <v>10000.0</v>
      </c>
      <c r="M37" s="18">
        <f t="shared" si="1"/>
        <v>0</v>
      </c>
    </row>
    <row r="38">
      <c r="A38" s="41">
        <v>34.0</v>
      </c>
      <c r="B38" s="46" t="s">
        <v>2529</v>
      </c>
      <c r="C38" s="46">
        <v>45937.0</v>
      </c>
      <c r="D38" s="46" t="s">
        <v>337</v>
      </c>
      <c r="E38" s="27"/>
      <c r="F38" s="37"/>
      <c r="G38" s="29"/>
      <c r="H38" s="30">
        <v>2850.0</v>
      </c>
      <c r="I38" s="31"/>
      <c r="J38" s="32"/>
      <c r="K38" s="33"/>
      <c r="L38" s="47">
        <v>2850.0</v>
      </c>
      <c r="M38" s="18">
        <f t="shared" si="1"/>
        <v>0</v>
      </c>
    </row>
    <row r="39">
      <c r="A39" s="41">
        <v>35.0</v>
      </c>
      <c r="B39" s="46" t="s">
        <v>2530</v>
      </c>
      <c r="C39" s="46">
        <v>21384.0</v>
      </c>
      <c r="D39" s="46" t="s">
        <v>38</v>
      </c>
      <c r="E39" s="38"/>
      <c r="F39" s="37">
        <v>2850.0</v>
      </c>
      <c r="G39" s="29"/>
      <c r="H39" s="30"/>
      <c r="I39" s="31"/>
      <c r="J39" s="35"/>
      <c r="K39" s="33"/>
      <c r="L39" s="47">
        <v>2850.0</v>
      </c>
      <c r="M39" s="18">
        <f t="shared" si="1"/>
        <v>0</v>
      </c>
    </row>
    <row r="40">
      <c r="A40" s="41">
        <v>36.0</v>
      </c>
      <c r="B40" s="46" t="s">
        <v>2531</v>
      </c>
      <c r="C40" s="46">
        <v>51350.0</v>
      </c>
      <c r="D40" s="46" t="s">
        <v>2507</v>
      </c>
      <c r="E40" s="27"/>
      <c r="F40" s="37"/>
      <c r="G40" s="29"/>
      <c r="H40" s="30">
        <v>1250.0</v>
      </c>
      <c r="I40" s="31"/>
      <c r="J40" s="32"/>
      <c r="K40" s="33"/>
      <c r="L40" s="47">
        <v>1250.0</v>
      </c>
      <c r="M40" s="18">
        <f t="shared" si="1"/>
        <v>0</v>
      </c>
    </row>
    <row r="41">
      <c r="A41" s="41">
        <v>37.0</v>
      </c>
      <c r="B41" s="46" t="s">
        <v>2532</v>
      </c>
      <c r="C41" s="46">
        <v>57819.0</v>
      </c>
      <c r="D41" s="46" t="s">
        <v>2533</v>
      </c>
      <c r="E41" s="27"/>
      <c r="F41" s="28"/>
      <c r="G41" s="29"/>
      <c r="H41" s="30"/>
      <c r="I41" s="31">
        <v>27000.0</v>
      </c>
      <c r="J41" s="35"/>
      <c r="K41" s="33"/>
      <c r="L41" s="47">
        <v>27000.0</v>
      </c>
      <c r="M41" s="18">
        <f t="shared" si="1"/>
        <v>0</v>
      </c>
    </row>
    <row r="42">
      <c r="A42" s="41">
        <v>38.0</v>
      </c>
      <c r="B42" s="46" t="s">
        <v>2534</v>
      </c>
      <c r="C42" s="46">
        <v>50222.0</v>
      </c>
      <c r="D42" s="46" t="s">
        <v>47</v>
      </c>
      <c r="E42" s="27"/>
      <c r="F42" s="28"/>
      <c r="G42" s="29"/>
      <c r="H42" s="30">
        <v>2971.0</v>
      </c>
      <c r="I42" s="31"/>
      <c r="J42" s="35"/>
      <c r="K42" s="33"/>
      <c r="L42" s="47">
        <v>2971.0</v>
      </c>
      <c r="M42" s="18">
        <f t="shared" si="1"/>
        <v>0</v>
      </c>
    </row>
    <row r="43">
      <c r="A43" s="41">
        <v>39.0</v>
      </c>
      <c r="B43" s="46" t="s">
        <v>2535</v>
      </c>
      <c r="C43" s="46">
        <v>43381.0</v>
      </c>
      <c r="D43" s="46" t="s">
        <v>1730</v>
      </c>
      <c r="E43" s="27"/>
      <c r="F43" s="37"/>
      <c r="G43" s="29"/>
      <c r="H43" s="30">
        <v>15000.0</v>
      </c>
      <c r="I43" s="36"/>
      <c r="J43" s="32"/>
      <c r="K43" s="33"/>
      <c r="L43" s="47">
        <v>15000.0</v>
      </c>
      <c r="M43" s="18">
        <f t="shared" si="1"/>
        <v>0</v>
      </c>
    </row>
    <row r="44">
      <c r="A44" s="41">
        <v>40.0</v>
      </c>
      <c r="B44" s="46" t="s">
        <v>2536</v>
      </c>
      <c r="C44" s="46">
        <v>50810.0</v>
      </c>
      <c r="D44" s="46" t="s">
        <v>2537</v>
      </c>
      <c r="E44" s="27"/>
      <c r="F44" s="37"/>
      <c r="G44" s="29"/>
      <c r="H44" s="30">
        <v>1200.0</v>
      </c>
      <c r="I44" s="31"/>
      <c r="J44" s="32"/>
      <c r="K44" s="33"/>
      <c r="L44" s="47">
        <v>1200.0</v>
      </c>
      <c r="M44" s="18">
        <f t="shared" si="1"/>
        <v>0</v>
      </c>
    </row>
    <row r="45">
      <c r="A45" s="41">
        <v>41.0</v>
      </c>
      <c r="B45" s="46" t="s">
        <v>2538</v>
      </c>
      <c r="C45" s="46">
        <v>26473.0</v>
      </c>
      <c r="D45" s="46" t="s">
        <v>2539</v>
      </c>
      <c r="E45" s="27"/>
      <c r="F45" s="37"/>
      <c r="G45" s="29"/>
      <c r="H45" s="30">
        <v>3700.0</v>
      </c>
      <c r="I45" s="31"/>
      <c r="J45" s="32"/>
      <c r="K45" s="33"/>
      <c r="L45" s="47">
        <v>3700.0</v>
      </c>
      <c r="M45" s="18">
        <f t="shared" si="1"/>
        <v>0</v>
      </c>
    </row>
    <row r="46">
      <c r="A46" s="41">
        <v>42.0</v>
      </c>
      <c r="B46" s="46" t="s">
        <v>2540</v>
      </c>
      <c r="C46" s="46">
        <v>45922.0</v>
      </c>
      <c r="D46" s="46" t="s">
        <v>2541</v>
      </c>
      <c r="E46" s="27"/>
      <c r="F46" s="37"/>
      <c r="G46" s="29"/>
      <c r="H46" s="30"/>
      <c r="I46" s="31">
        <v>5000.0</v>
      </c>
      <c r="J46" s="32"/>
      <c r="K46" s="33"/>
      <c r="L46" s="47">
        <v>5000.0</v>
      </c>
      <c r="M46" s="18">
        <f t="shared" si="1"/>
        <v>0</v>
      </c>
    </row>
    <row r="47">
      <c r="A47" s="41">
        <v>43.0</v>
      </c>
      <c r="B47" s="46" t="s">
        <v>2542</v>
      </c>
      <c r="C47" s="46">
        <v>22727.0</v>
      </c>
      <c r="D47" s="46" t="s">
        <v>162</v>
      </c>
      <c r="E47" s="27"/>
      <c r="F47" s="37"/>
      <c r="G47" s="29"/>
      <c r="H47" s="30">
        <v>447.0</v>
      </c>
      <c r="I47" s="31"/>
      <c r="J47" s="32"/>
      <c r="K47" s="33"/>
      <c r="L47" s="47">
        <v>447.0</v>
      </c>
      <c r="M47" s="18">
        <f t="shared" si="1"/>
        <v>0</v>
      </c>
    </row>
    <row r="48">
      <c r="A48" s="41">
        <v>44.0</v>
      </c>
      <c r="B48" s="46" t="s">
        <v>2543</v>
      </c>
      <c r="C48" s="46">
        <v>42833.0</v>
      </c>
      <c r="D48" s="46" t="s">
        <v>120</v>
      </c>
      <c r="E48" s="27"/>
      <c r="F48" s="37"/>
      <c r="G48" s="29"/>
      <c r="H48" s="30">
        <v>8750.0</v>
      </c>
      <c r="I48" s="31"/>
      <c r="J48" s="32"/>
      <c r="K48" s="33"/>
      <c r="L48" s="47">
        <v>8750.0</v>
      </c>
      <c r="M48" s="18">
        <f t="shared" si="1"/>
        <v>0</v>
      </c>
    </row>
    <row r="49">
      <c r="A49" s="41">
        <v>45.0</v>
      </c>
      <c r="B49" s="46" t="s">
        <v>2544</v>
      </c>
      <c r="C49" s="46">
        <v>48657.0</v>
      </c>
      <c r="D49" s="46" t="s">
        <v>1663</v>
      </c>
      <c r="E49" s="27"/>
      <c r="F49" s="37"/>
      <c r="G49" s="29"/>
      <c r="H49" s="30">
        <v>2500.0</v>
      </c>
      <c r="I49" s="31"/>
      <c r="J49" s="32"/>
      <c r="K49" s="33"/>
      <c r="L49" s="47">
        <v>2500.0</v>
      </c>
      <c r="M49" s="18">
        <f t="shared" si="1"/>
        <v>0</v>
      </c>
    </row>
    <row r="50">
      <c r="A50" s="41">
        <v>46.0</v>
      </c>
      <c r="B50" s="46" t="s">
        <v>2545</v>
      </c>
      <c r="C50" s="46">
        <v>48338.0</v>
      </c>
      <c r="D50" s="46" t="s">
        <v>836</v>
      </c>
      <c r="E50" s="27"/>
      <c r="F50" s="37"/>
      <c r="G50" s="29"/>
      <c r="H50" s="30">
        <v>10600.0</v>
      </c>
      <c r="I50" s="31"/>
      <c r="J50" s="32"/>
      <c r="K50" s="33"/>
      <c r="L50" s="47">
        <v>10600.0</v>
      </c>
      <c r="M50" s="18">
        <f t="shared" si="1"/>
        <v>0</v>
      </c>
    </row>
    <row r="51">
      <c r="A51" s="41">
        <v>47.0</v>
      </c>
      <c r="B51" s="46" t="s">
        <v>2546</v>
      </c>
      <c r="C51" s="46">
        <v>13762.0</v>
      </c>
      <c r="D51" s="46" t="s">
        <v>356</v>
      </c>
      <c r="E51" s="27"/>
      <c r="F51" s="37">
        <v>42800.0</v>
      </c>
      <c r="G51" s="29"/>
      <c r="H51" s="30"/>
      <c r="I51" s="31"/>
      <c r="J51" s="32"/>
      <c r="K51" s="33"/>
      <c r="L51" s="47">
        <v>42800.0</v>
      </c>
      <c r="M51" s="18">
        <f t="shared" si="1"/>
        <v>0</v>
      </c>
    </row>
    <row r="52">
      <c r="A52" s="41">
        <v>48.0</v>
      </c>
      <c r="B52" s="46" t="s">
        <v>2547</v>
      </c>
      <c r="C52" s="46">
        <v>48136.0</v>
      </c>
      <c r="D52" s="46" t="s">
        <v>508</v>
      </c>
      <c r="E52" s="27"/>
      <c r="F52" s="37"/>
      <c r="G52" s="29"/>
      <c r="H52" s="30">
        <v>25000.0</v>
      </c>
      <c r="I52" s="31"/>
      <c r="J52" s="32"/>
      <c r="K52" s="33"/>
      <c r="L52" s="47">
        <v>25000.0</v>
      </c>
      <c r="M52" s="18">
        <f t="shared" si="1"/>
        <v>0</v>
      </c>
    </row>
    <row r="53">
      <c r="A53" s="41">
        <v>49.0</v>
      </c>
      <c r="B53" s="46" t="s">
        <v>2548</v>
      </c>
      <c r="C53" s="46">
        <v>48631.0</v>
      </c>
      <c r="D53" s="46" t="s">
        <v>118</v>
      </c>
      <c r="E53" s="27"/>
      <c r="F53" s="37"/>
      <c r="G53" s="29"/>
      <c r="H53" s="30">
        <v>1250.0</v>
      </c>
      <c r="I53" s="31"/>
      <c r="J53" s="32"/>
      <c r="K53" s="33"/>
      <c r="L53" s="47">
        <v>1250.0</v>
      </c>
      <c r="M53" s="18">
        <f t="shared" si="1"/>
        <v>0</v>
      </c>
    </row>
    <row r="54">
      <c r="A54" s="41">
        <v>50.0</v>
      </c>
      <c r="B54" s="46" t="s">
        <v>2549</v>
      </c>
      <c r="C54" s="46">
        <v>50595.0</v>
      </c>
      <c r="D54" s="46" t="s">
        <v>158</v>
      </c>
      <c r="E54" s="27"/>
      <c r="F54" s="37"/>
      <c r="G54" s="29"/>
      <c r="H54" s="30">
        <v>19600.0</v>
      </c>
      <c r="I54" s="31"/>
      <c r="J54" s="32"/>
      <c r="K54" s="33"/>
      <c r="L54" s="47">
        <v>19600.0</v>
      </c>
      <c r="M54" s="18">
        <f t="shared" si="1"/>
        <v>0</v>
      </c>
    </row>
    <row r="55">
      <c r="A55" s="41">
        <v>51.0</v>
      </c>
      <c r="B55" s="46" t="s">
        <v>2550</v>
      </c>
      <c r="C55" s="46">
        <v>48631.0</v>
      </c>
      <c r="D55" s="46" t="s">
        <v>118</v>
      </c>
      <c r="E55" s="27"/>
      <c r="F55" s="37"/>
      <c r="G55" s="29"/>
      <c r="H55" s="30">
        <v>5000.0</v>
      </c>
      <c r="I55" s="31"/>
      <c r="J55" s="32"/>
      <c r="K55" s="33"/>
      <c r="L55" s="47">
        <v>5000.0</v>
      </c>
      <c r="M55" s="18">
        <f t="shared" si="1"/>
        <v>0</v>
      </c>
    </row>
    <row r="56">
      <c r="A56" s="41">
        <v>52.0</v>
      </c>
      <c r="B56" s="46" t="s">
        <v>2551</v>
      </c>
      <c r="C56" s="46">
        <v>57821.0</v>
      </c>
      <c r="D56" s="46" t="s">
        <v>2552</v>
      </c>
      <c r="E56" s="27"/>
      <c r="F56" s="37"/>
      <c r="G56" s="29"/>
      <c r="H56" s="30">
        <v>27000.0</v>
      </c>
      <c r="I56" s="31"/>
      <c r="J56" s="32"/>
      <c r="K56" s="33"/>
      <c r="L56" s="47">
        <v>27000.0</v>
      </c>
      <c r="M56" s="18">
        <f t="shared" si="1"/>
        <v>0</v>
      </c>
    </row>
    <row r="57">
      <c r="A57" s="41">
        <v>53.0</v>
      </c>
      <c r="B57" s="46" t="s">
        <v>2553</v>
      </c>
      <c r="C57" s="46">
        <v>49682.0</v>
      </c>
      <c r="D57" s="46" t="s">
        <v>709</v>
      </c>
      <c r="E57" s="27"/>
      <c r="F57" s="37"/>
      <c r="G57" s="29"/>
      <c r="H57" s="30">
        <v>5200.0</v>
      </c>
      <c r="I57" s="31"/>
      <c r="J57" s="32"/>
      <c r="K57" s="33"/>
      <c r="L57" s="47">
        <v>5200.0</v>
      </c>
      <c r="M57" s="18">
        <f t="shared" si="1"/>
        <v>0</v>
      </c>
    </row>
    <row r="58">
      <c r="A58" s="41">
        <v>54.0</v>
      </c>
      <c r="B58" s="46" t="s">
        <v>2554</v>
      </c>
      <c r="C58" s="46">
        <v>57832.0</v>
      </c>
      <c r="D58" s="46" t="s">
        <v>2555</v>
      </c>
      <c r="E58" s="27"/>
      <c r="F58" s="37"/>
      <c r="G58" s="29"/>
      <c r="H58" s="30">
        <v>27000.0</v>
      </c>
      <c r="I58" s="31"/>
      <c r="J58" s="32"/>
      <c r="K58" s="33"/>
      <c r="L58" s="47">
        <v>27000.0</v>
      </c>
      <c r="M58" s="18">
        <f t="shared" si="1"/>
        <v>0</v>
      </c>
    </row>
    <row r="59">
      <c r="A59" s="41">
        <v>55.0</v>
      </c>
      <c r="B59" s="46" t="s">
        <v>2556</v>
      </c>
      <c r="C59" s="46">
        <v>30895.0</v>
      </c>
      <c r="D59" s="46" t="s">
        <v>603</v>
      </c>
      <c r="E59" s="27"/>
      <c r="F59" s="37"/>
      <c r="G59" s="29"/>
      <c r="H59" s="30"/>
      <c r="I59" s="31">
        <v>18000.0</v>
      </c>
      <c r="J59" s="32"/>
      <c r="K59" s="33"/>
      <c r="L59" s="47">
        <v>18000.0</v>
      </c>
      <c r="M59" s="18">
        <f t="shared" si="1"/>
        <v>0</v>
      </c>
    </row>
    <row r="60">
      <c r="A60" s="41">
        <v>56.0</v>
      </c>
      <c r="B60" s="46" t="s">
        <v>2557</v>
      </c>
      <c r="C60" s="46">
        <v>55555.0</v>
      </c>
      <c r="D60" s="46" t="s">
        <v>2558</v>
      </c>
      <c r="E60" s="27"/>
      <c r="F60" s="37">
        <v>1250.0</v>
      </c>
      <c r="G60" s="29"/>
      <c r="H60" s="30"/>
      <c r="I60" s="31"/>
      <c r="J60" s="32"/>
      <c r="K60" s="33"/>
      <c r="L60" s="47">
        <v>1250.0</v>
      </c>
      <c r="M60" s="18">
        <f t="shared" si="1"/>
        <v>0</v>
      </c>
    </row>
    <row r="61">
      <c r="A61" s="41">
        <v>57.0</v>
      </c>
      <c r="B61" s="46" t="s">
        <v>2559</v>
      </c>
      <c r="C61" s="46">
        <v>10001.0</v>
      </c>
      <c r="D61" s="46" t="s">
        <v>218</v>
      </c>
      <c r="E61" s="27"/>
      <c r="F61" s="37"/>
      <c r="G61" s="29"/>
      <c r="H61" s="30">
        <v>2650.0</v>
      </c>
      <c r="I61" s="31"/>
      <c r="J61" s="32"/>
      <c r="K61" s="33"/>
      <c r="L61" s="47">
        <v>2650.0</v>
      </c>
      <c r="M61" s="18">
        <f t="shared" si="1"/>
        <v>0</v>
      </c>
    </row>
    <row r="62">
      <c r="A62" s="41">
        <v>58.0</v>
      </c>
      <c r="B62" s="46" t="s">
        <v>2560</v>
      </c>
      <c r="C62" s="46">
        <v>54997.0</v>
      </c>
      <c r="D62" s="46" t="s">
        <v>2561</v>
      </c>
      <c r="E62" s="38">
        <v>600.0</v>
      </c>
      <c r="F62" s="37"/>
      <c r="G62" s="29"/>
      <c r="H62" s="30">
        <v>3000.0</v>
      </c>
      <c r="I62" s="31"/>
      <c r="J62" s="32"/>
      <c r="K62" s="33"/>
      <c r="L62" s="47">
        <v>3600.0</v>
      </c>
      <c r="M62" s="18">
        <f t="shared" si="1"/>
        <v>0</v>
      </c>
    </row>
    <row r="63">
      <c r="A63" s="41">
        <v>59.0</v>
      </c>
      <c r="B63" s="46" t="s">
        <v>2562</v>
      </c>
      <c r="C63" s="46">
        <v>51040.0</v>
      </c>
      <c r="D63" s="46" t="s">
        <v>196</v>
      </c>
      <c r="E63" s="27"/>
      <c r="F63" s="37">
        <v>1250.0</v>
      </c>
      <c r="G63" s="29"/>
      <c r="H63" s="30"/>
      <c r="I63" s="31"/>
      <c r="J63" s="32"/>
      <c r="K63" s="33"/>
      <c r="L63" s="47">
        <v>1250.0</v>
      </c>
      <c r="M63" s="18">
        <f t="shared" si="1"/>
        <v>0</v>
      </c>
    </row>
    <row r="64">
      <c r="A64" s="41">
        <v>60.0</v>
      </c>
      <c r="B64" s="46" t="s">
        <v>2563</v>
      </c>
      <c r="C64" s="46">
        <v>21384.0</v>
      </c>
      <c r="D64" s="46" t="s">
        <v>38</v>
      </c>
      <c r="E64" s="27"/>
      <c r="F64" s="37"/>
      <c r="G64" s="29"/>
      <c r="H64" s="30">
        <v>1250.0</v>
      </c>
      <c r="I64" s="31"/>
      <c r="J64" s="32"/>
      <c r="K64" s="33"/>
      <c r="L64" s="47">
        <v>1250.0</v>
      </c>
      <c r="M64" s="18">
        <f t="shared" si="1"/>
        <v>0</v>
      </c>
    </row>
    <row r="65">
      <c r="A65" s="41">
        <v>61.0</v>
      </c>
      <c r="B65" s="46" t="s">
        <v>2564</v>
      </c>
      <c r="C65" s="46">
        <v>51084.0</v>
      </c>
      <c r="D65" s="46" t="s">
        <v>2565</v>
      </c>
      <c r="E65" s="27"/>
      <c r="F65" s="37"/>
      <c r="G65" s="29"/>
      <c r="H65" s="30">
        <v>3600.0</v>
      </c>
      <c r="I65" s="31"/>
      <c r="J65" s="32"/>
      <c r="K65" s="33"/>
      <c r="L65" s="47">
        <v>3600.0</v>
      </c>
      <c r="M65" s="18">
        <f t="shared" si="1"/>
        <v>0</v>
      </c>
    </row>
    <row r="66">
      <c r="A66" s="41">
        <v>62.0</v>
      </c>
      <c r="B66" s="46" t="s">
        <v>2566</v>
      </c>
      <c r="C66" s="46">
        <v>14573.0</v>
      </c>
      <c r="D66" s="46" t="s">
        <v>2567</v>
      </c>
      <c r="E66" s="27"/>
      <c r="F66" s="37"/>
      <c r="G66" s="29"/>
      <c r="H66" s="30">
        <v>3700.0</v>
      </c>
      <c r="I66" s="31"/>
      <c r="J66" s="32"/>
      <c r="K66" s="33"/>
      <c r="L66" s="47">
        <v>3700.0</v>
      </c>
      <c r="M66" s="18">
        <f t="shared" si="1"/>
        <v>0</v>
      </c>
    </row>
    <row r="67">
      <c r="A67" s="41">
        <v>63.0</v>
      </c>
      <c r="B67" s="46" t="s">
        <v>2568</v>
      </c>
      <c r="C67" s="46">
        <v>50821.0</v>
      </c>
      <c r="D67" s="46" t="s">
        <v>465</v>
      </c>
      <c r="E67" s="27"/>
      <c r="F67" s="37">
        <v>900.0</v>
      </c>
      <c r="G67" s="29"/>
      <c r="H67" s="30"/>
      <c r="I67" s="31"/>
      <c r="J67" s="32"/>
      <c r="K67" s="33"/>
      <c r="L67" s="47">
        <v>900.0</v>
      </c>
      <c r="M67" s="18">
        <f t="shared" si="1"/>
        <v>0</v>
      </c>
    </row>
    <row r="68">
      <c r="A68" s="41">
        <v>64.0</v>
      </c>
      <c r="B68" s="46" t="s">
        <v>2569</v>
      </c>
      <c r="C68" s="46">
        <v>55227.0</v>
      </c>
      <c r="D68" s="46" t="s">
        <v>2570</v>
      </c>
      <c r="E68" s="27"/>
      <c r="F68" s="37"/>
      <c r="G68" s="29"/>
      <c r="H68" s="30">
        <v>300.0</v>
      </c>
      <c r="I68" s="31"/>
      <c r="J68" s="32"/>
      <c r="K68" s="33"/>
      <c r="L68" s="47">
        <v>300.0</v>
      </c>
      <c r="M68" s="18">
        <f t="shared" si="1"/>
        <v>0</v>
      </c>
    </row>
    <row r="69">
      <c r="A69" s="41">
        <v>65.0</v>
      </c>
      <c r="B69" s="46" t="s">
        <v>2571</v>
      </c>
      <c r="C69" s="46">
        <v>35245.0</v>
      </c>
      <c r="D69" s="46" t="s">
        <v>34</v>
      </c>
      <c r="E69" s="38">
        <v>22610.0</v>
      </c>
      <c r="F69" s="37"/>
      <c r="G69" s="29"/>
      <c r="H69" s="30">
        <v>16394.0</v>
      </c>
      <c r="I69" s="31"/>
      <c r="J69" s="35">
        <v>103.0</v>
      </c>
      <c r="K69" s="33"/>
      <c r="L69" s="47">
        <v>39107.0</v>
      </c>
      <c r="M69" s="18">
        <f t="shared" si="1"/>
        <v>0</v>
      </c>
    </row>
    <row r="70">
      <c r="A70" s="41">
        <v>66.0</v>
      </c>
      <c r="B70" s="46" t="s">
        <v>2572</v>
      </c>
      <c r="C70" s="46">
        <v>36555.0</v>
      </c>
      <c r="D70" s="46" t="s">
        <v>172</v>
      </c>
      <c r="E70" s="27"/>
      <c r="F70" s="37"/>
      <c r="G70" s="29"/>
      <c r="H70" s="30">
        <v>20800.0</v>
      </c>
      <c r="I70" s="31"/>
      <c r="J70" s="32"/>
      <c r="K70" s="33"/>
      <c r="L70" s="47">
        <v>20800.0</v>
      </c>
      <c r="M70" s="18">
        <f t="shared" si="1"/>
        <v>0</v>
      </c>
    </row>
    <row r="71">
      <c r="A71" s="41">
        <v>67.0</v>
      </c>
      <c r="B71" s="46" t="s">
        <v>2573</v>
      </c>
      <c r="C71" s="46">
        <v>42071.0</v>
      </c>
      <c r="D71" s="46" t="s">
        <v>30</v>
      </c>
      <c r="E71" s="27"/>
      <c r="F71" s="37"/>
      <c r="G71" s="29"/>
      <c r="H71" s="30"/>
      <c r="I71" s="31">
        <v>375.0</v>
      </c>
      <c r="J71" s="32"/>
      <c r="K71" s="33"/>
      <c r="L71" s="47">
        <v>375.0</v>
      </c>
      <c r="M71" s="18">
        <f t="shared" si="1"/>
        <v>0</v>
      </c>
    </row>
    <row r="72">
      <c r="A72" s="41">
        <v>68.0</v>
      </c>
      <c r="B72" s="46" t="s">
        <v>2574</v>
      </c>
      <c r="C72" s="46">
        <v>50855.0</v>
      </c>
      <c r="D72" s="46" t="s">
        <v>2575</v>
      </c>
      <c r="E72" s="27"/>
      <c r="F72" s="37"/>
      <c r="G72" s="29"/>
      <c r="H72" s="30"/>
      <c r="I72" s="31">
        <v>300.0</v>
      </c>
      <c r="J72" s="32"/>
      <c r="K72" s="33"/>
      <c r="L72" s="47">
        <v>300.0</v>
      </c>
      <c r="M72" s="18">
        <f t="shared" si="1"/>
        <v>0</v>
      </c>
    </row>
    <row r="73">
      <c r="A73" s="41">
        <v>69.0</v>
      </c>
      <c r="B73" s="46" t="s">
        <v>2576</v>
      </c>
      <c r="C73" s="46">
        <v>30909.0</v>
      </c>
      <c r="D73" s="46" t="s">
        <v>204</v>
      </c>
      <c r="E73" s="27"/>
      <c r="F73" s="37">
        <v>17000.0</v>
      </c>
      <c r="G73" s="29"/>
      <c r="H73" s="30"/>
      <c r="I73" s="31"/>
      <c r="J73" s="32"/>
      <c r="K73" s="33"/>
      <c r="L73" s="47">
        <v>17000.0</v>
      </c>
      <c r="M73" s="18">
        <f t="shared" si="1"/>
        <v>0</v>
      </c>
    </row>
    <row r="74">
      <c r="A74" s="41">
        <v>70.0</v>
      </c>
      <c r="B74" s="46" t="s">
        <v>2577</v>
      </c>
      <c r="C74" s="46">
        <v>30909.0</v>
      </c>
      <c r="D74" s="46" t="s">
        <v>204</v>
      </c>
      <c r="E74" s="27"/>
      <c r="F74" s="37">
        <v>3600.0</v>
      </c>
      <c r="G74" s="29"/>
      <c r="H74" s="30"/>
      <c r="I74" s="31"/>
      <c r="J74" s="32"/>
      <c r="K74" s="33"/>
      <c r="L74" s="47">
        <v>3600.0</v>
      </c>
      <c r="M74" s="18">
        <f t="shared" si="1"/>
        <v>0</v>
      </c>
    </row>
    <row r="75">
      <c r="A75" s="41">
        <v>71.0</v>
      </c>
      <c r="B75" s="46" t="s">
        <v>2578</v>
      </c>
      <c r="C75" s="46">
        <v>42046.0</v>
      </c>
      <c r="D75" s="46" t="s">
        <v>24</v>
      </c>
      <c r="E75" s="27"/>
      <c r="F75" s="37"/>
      <c r="G75" s="29"/>
      <c r="H75" s="30">
        <v>2752.0</v>
      </c>
      <c r="I75" s="31"/>
      <c r="J75" s="32"/>
      <c r="K75" s="33"/>
      <c r="L75" s="47">
        <v>2752.0</v>
      </c>
      <c r="M75" s="18">
        <f t="shared" si="1"/>
        <v>0</v>
      </c>
    </row>
    <row r="76">
      <c r="A76" s="41">
        <v>72.0</v>
      </c>
      <c r="B76" s="46" t="s">
        <v>2579</v>
      </c>
      <c r="C76" s="46">
        <v>50979.0</v>
      </c>
      <c r="D76" s="46" t="s">
        <v>267</v>
      </c>
      <c r="E76" s="27"/>
      <c r="F76" s="37"/>
      <c r="G76" s="29"/>
      <c r="H76" s="30"/>
      <c r="I76" s="31">
        <v>2650.0</v>
      </c>
      <c r="J76" s="32"/>
      <c r="K76" s="33"/>
      <c r="L76" s="47">
        <v>2650.0</v>
      </c>
      <c r="M76" s="18">
        <f t="shared" si="1"/>
        <v>0</v>
      </c>
    </row>
    <row r="77">
      <c r="A77" s="41">
        <v>73.0</v>
      </c>
      <c r="B77" s="46" t="s">
        <v>2580</v>
      </c>
      <c r="C77" s="46">
        <v>57834.0</v>
      </c>
      <c r="D77" s="46" t="s">
        <v>2581</v>
      </c>
      <c r="E77" s="27"/>
      <c r="F77" s="37"/>
      <c r="G77" s="29"/>
      <c r="H77" s="30">
        <v>3600.0</v>
      </c>
      <c r="I77" s="31"/>
      <c r="J77" s="32"/>
      <c r="K77" s="33"/>
      <c r="L77" s="47">
        <v>3600.0</v>
      </c>
      <c r="M77" s="18">
        <f t="shared" si="1"/>
        <v>0</v>
      </c>
    </row>
    <row r="78">
      <c r="A78" s="41">
        <v>74.0</v>
      </c>
      <c r="B78" s="46" t="s">
        <v>2582</v>
      </c>
      <c r="C78" s="46">
        <v>19688.0</v>
      </c>
      <c r="D78" s="46" t="s">
        <v>679</v>
      </c>
      <c r="E78" s="27"/>
      <c r="F78" s="37"/>
      <c r="G78" s="29"/>
      <c r="H78" s="30">
        <v>28200.0</v>
      </c>
      <c r="I78" s="31"/>
      <c r="J78" s="32"/>
      <c r="K78" s="33"/>
      <c r="L78" s="47">
        <v>28200.0</v>
      </c>
      <c r="M78" s="18">
        <f t="shared" si="1"/>
        <v>0</v>
      </c>
    </row>
    <row r="79">
      <c r="A79" s="41">
        <v>75.0</v>
      </c>
      <c r="B79" s="46" t="s">
        <v>2583</v>
      </c>
      <c r="C79" s="46">
        <v>29621.0</v>
      </c>
      <c r="D79" s="46" t="s">
        <v>174</v>
      </c>
      <c r="E79" s="27"/>
      <c r="F79" s="37"/>
      <c r="G79" s="29"/>
      <c r="H79" s="30"/>
      <c r="I79" s="31">
        <v>15300.0</v>
      </c>
      <c r="J79" s="32"/>
      <c r="K79" s="33"/>
      <c r="L79" s="47">
        <v>15300.0</v>
      </c>
      <c r="M79" s="18">
        <f t="shared" si="1"/>
        <v>0</v>
      </c>
    </row>
    <row r="80">
      <c r="A80" s="41">
        <v>76.0</v>
      </c>
      <c r="B80" s="46" t="s">
        <v>2584</v>
      </c>
      <c r="C80" s="46">
        <v>10006.0</v>
      </c>
      <c r="D80" s="46" t="s">
        <v>654</v>
      </c>
      <c r="E80" s="27"/>
      <c r="F80" s="37"/>
      <c r="G80" s="29"/>
      <c r="H80" s="30">
        <v>28750.0</v>
      </c>
      <c r="I80" s="31"/>
      <c r="J80" s="32"/>
      <c r="K80" s="33"/>
      <c r="L80" s="47">
        <v>28750.0</v>
      </c>
      <c r="M80" s="18">
        <f t="shared" si="1"/>
        <v>0</v>
      </c>
    </row>
    <row r="81">
      <c r="A81" s="41">
        <v>77.0</v>
      </c>
      <c r="B81" s="46" t="s">
        <v>2585</v>
      </c>
      <c r="C81" s="46">
        <v>53206.0</v>
      </c>
      <c r="D81" s="46" t="s">
        <v>2586</v>
      </c>
      <c r="E81" s="27"/>
      <c r="F81" s="37">
        <v>1600.0</v>
      </c>
      <c r="G81" s="29"/>
      <c r="H81" s="30"/>
      <c r="I81" s="31"/>
      <c r="J81" s="32"/>
      <c r="K81" s="33"/>
      <c r="L81" s="47">
        <v>1600.0</v>
      </c>
      <c r="M81" s="18">
        <f t="shared" si="1"/>
        <v>0</v>
      </c>
    </row>
    <row r="82">
      <c r="A82" s="41">
        <v>78.0</v>
      </c>
      <c r="B82" s="46" t="s">
        <v>2587</v>
      </c>
      <c r="C82" s="46">
        <v>21384.0</v>
      </c>
      <c r="D82" s="46" t="s">
        <v>38</v>
      </c>
      <c r="E82" s="27"/>
      <c r="F82" s="37"/>
      <c r="G82" s="29"/>
      <c r="H82" s="30">
        <v>350.0</v>
      </c>
      <c r="I82" s="31"/>
      <c r="J82" s="32"/>
      <c r="K82" s="33"/>
      <c r="L82" s="47">
        <v>350.0</v>
      </c>
      <c r="M82" s="18">
        <f t="shared" si="1"/>
        <v>0</v>
      </c>
    </row>
    <row r="83">
      <c r="A83" s="41">
        <v>79.0</v>
      </c>
      <c r="B83" s="46" t="s">
        <v>2588</v>
      </c>
      <c r="C83" s="46">
        <v>10001.0</v>
      </c>
      <c r="D83" s="46" t="s">
        <v>218</v>
      </c>
      <c r="E83" s="27"/>
      <c r="F83" s="37"/>
      <c r="G83" s="29"/>
      <c r="H83" s="30">
        <v>5150.0</v>
      </c>
      <c r="I83" s="31"/>
      <c r="J83" s="32"/>
      <c r="K83" s="33"/>
      <c r="L83" s="47">
        <v>5150.0</v>
      </c>
      <c r="M83" s="18">
        <f t="shared" si="1"/>
        <v>0</v>
      </c>
    </row>
    <row r="84">
      <c r="A84" s="41">
        <v>80.0</v>
      </c>
      <c r="B84" s="46" t="s">
        <v>2589</v>
      </c>
      <c r="C84" s="46">
        <v>38387.0</v>
      </c>
      <c r="D84" s="46" t="s">
        <v>2001</v>
      </c>
      <c r="E84" s="27"/>
      <c r="F84" s="37"/>
      <c r="G84" s="29"/>
      <c r="H84" s="30">
        <v>2000.0</v>
      </c>
      <c r="I84" s="31"/>
      <c r="J84" s="32"/>
      <c r="K84" s="33"/>
      <c r="L84" s="47">
        <v>2000.0</v>
      </c>
      <c r="M84" s="18">
        <f t="shared" si="1"/>
        <v>0</v>
      </c>
    </row>
    <row r="85">
      <c r="A85" s="41">
        <v>81.0</v>
      </c>
      <c r="B85" s="46" t="s">
        <v>2590</v>
      </c>
      <c r="C85" s="46">
        <v>52373.0</v>
      </c>
      <c r="D85" s="46" t="s">
        <v>76</v>
      </c>
      <c r="E85" s="27"/>
      <c r="F85" s="37"/>
      <c r="G85" s="29"/>
      <c r="H85" s="30"/>
      <c r="I85" s="31">
        <v>11250.0</v>
      </c>
      <c r="J85" s="32"/>
      <c r="K85" s="33"/>
      <c r="L85" s="47">
        <v>11250.0</v>
      </c>
      <c r="M85" s="18">
        <f t="shared" si="1"/>
        <v>0</v>
      </c>
    </row>
    <row r="86">
      <c r="A86" s="41">
        <v>82.0</v>
      </c>
      <c r="B86" s="46" t="s">
        <v>2591</v>
      </c>
      <c r="C86" s="46">
        <v>48973.0</v>
      </c>
      <c r="D86" s="46" t="s">
        <v>716</v>
      </c>
      <c r="E86" s="27"/>
      <c r="F86" s="37"/>
      <c r="G86" s="29"/>
      <c r="H86" s="30"/>
      <c r="I86" s="31">
        <v>5200.0</v>
      </c>
      <c r="J86" s="32"/>
      <c r="K86" s="33"/>
      <c r="L86" s="47">
        <v>5200.0</v>
      </c>
      <c r="M86" s="18">
        <f t="shared" si="1"/>
        <v>0</v>
      </c>
    </row>
    <row r="87">
      <c r="A87" s="41">
        <v>83.0</v>
      </c>
      <c r="B87" s="46" t="s">
        <v>2592</v>
      </c>
      <c r="C87" s="46">
        <v>55608.0</v>
      </c>
      <c r="D87" s="46" t="s">
        <v>1719</v>
      </c>
      <c r="E87" s="27"/>
      <c r="F87" s="37"/>
      <c r="G87" s="29"/>
      <c r="H87" s="30">
        <v>300.0</v>
      </c>
      <c r="I87" s="31"/>
      <c r="J87" s="32"/>
      <c r="K87" s="33"/>
      <c r="L87" s="47">
        <v>300.0</v>
      </c>
      <c r="M87" s="18">
        <f t="shared" si="1"/>
        <v>0</v>
      </c>
    </row>
    <row r="88">
      <c r="A88" s="41">
        <v>84.0</v>
      </c>
      <c r="B88" s="46" t="s">
        <v>2593</v>
      </c>
      <c r="C88" s="46">
        <v>50979.0</v>
      </c>
      <c r="D88" s="46" t="s">
        <v>267</v>
      </c>
      <c r="E88" s="27"/>
      <c r="F88" s="37"/>
      <c r="G88" s="29"/>
      <c r="H88" s="30"/>
      <c r="I88" s="31">
        <v>453.0</v>
      </c>
      <c r="J88" s="32"/>
      <c r="K88" s="33"/>
      <c r="L88" s="47">
        <v>453.0</v>
      </c>
      <c r="M88" s="18">
        <f t="shared" si="1"/>
        <v>0</v>
      </c>
    </row>
    <row r="89">
      <c r="A89" s="41">
        <v>85.0</v>
      </c>
      <c r="B89" s="46" t="s">
        <v>2594</v>
      </c>
      <c r="C89" s="46">
        <v>51040.0</v>
      </c>
      <c r="D89" s="46" t="s">
        <v>196</v>
      </c>
      <c r="E89" s="27"/>
      <c r="F89" s="37">
        <v>700.0</v>
      </c>
      <c r="G89" s="29"/>
      <c r="H89" s="30"/>
      <c r="I89" s="31"/>
      <c r="J89" s="32"/>
      <c r="K89" s="33"/>
      <c r="L89" s="47">
        <v>700.0</v>
      </c>
      <c r="M89" s="18">
        <f t="shared" si="1"/>
        <v>0</v>
      </c>
    </row>
    <row r="90">
      <c r="A90" s="41">
        <v>86.0</v>
      </c>
      <c r="B90" s="46" t="s">
        <v>2595</v>
      </c>
      <c r="C90" s="46">
        <v>35245.0</v>
      </c>
      <c r="D90" s="46" t="s">
        <v>34</v>
      </c>
      <c r="E90" s="38">
        <v>1781.0</v>
      </c>
      <c r="F90" s="37">
        <v>719.0</v>
      </c>
      <c r="G90" s="29"/>
      <c r="H90" s="30"/>
      <c r="I90" s="31"/>
      <c r="J90" s="32"/>
      <c r="K90" s="33"/>
      <c r="L90" s="47">
        <v>2500.0</v>
      </c>
      <c r="M90" s="18">
        <f t="shared" si="1"/>
        <v>0</v>
      </c>
    </row>
    <row r="91">
      <c r="A91" s="41">
        <v>87.0</v>
      </c>
      <c r="B91" s="46" t="s">
        <v>2596</v>
      </c>
      <c r="C91" s="46">
        <v>50593.0</v>
      </c>
      <c r="D91" s="46" t="s">
        <v>1048</v>
      </c>
      <c r="E91" s="27"/>
      <c r="F91" s="37"/>
      <c r="G91" s="39">
        <v>15000.0</v>
      </c>
      <c r="H91" s="30"/>
      <c r="I91" s="31"/>
      <c r="J91" s="32"/>
      <c r="K91" s="33"/>
      <c r="L91" s="47">
        <v>15000.0</v>
      </c>
      <c r="M91" s="18">
        <f t="shared" si="1"/>
        <v>0</v>
      </c>
    </row>
    <row r="92">
      <c r="A92" s="41">
        <v>88.0</v>
      </c>
      <c r="B92" s="46" t="s">
        <v>2597</v>
      </c>
      <c r="C92" s="46">
        <v>55179.0</v>
      </c>
      <c r="D92" s="46" t="s">
        <v>662</v>
      </c>
      <c r="E92" s="27"/>
      <c r="F92" s="37"/>
      <c r="G92" s="39">
        <v>28850.0</v>
      </c>
      <c r="H92" s="30"/>
      <c r="I92" s="31"/>
      <c r="J92" s="32"/>
      <c r="K92" s="33"/>
      <c r="L92" s="47">
        <v>28850.0</v>
      </c>
      <c r="M92" s="18">
        <f t="shared" si="1"/>
        <v>0</v>
      </c>
    </row>
    <row r="93">
      <c r="A93" s="41">
        <v>89.0</v>
      </c>
      <c r="B93" s="46" t="s">
        <v>2598</v>
      </c>
      <c r="C93" s="46">
        <v>51166.0</v>
      </c>
      <c r="D93" s="46" t="s">
        <v>370</v>
      </c>
      <c r="E93" s="27"/>
      <c r="F93" s="37"/>
      <c r="G93" s="39">
        <v>5000.0</v>
      </c>
      <c r="H93" s="30"/>
      <c r="I93" s="31"/>
      <c r="J93" s="32"/>
      <c r="K93" s="33"/>
      <c r="L93" s="47">
        <v>5000.0</v>
      </c>
      <c r="M93" s="18">
        <f t="shared" si="1"/>
        <v>0</v>
      </c>
    </row>
    <row r="94">
      <c r="A94" s="41">
        <v>90.0</v>
      </c>
      <c r="B94" s="46" t="s">
        <v>2599</v>
      </c>
      <c r="C94" s="46">
        <v>57498.0</v>
      </c>
      <c r="D94" s="46" t="s">
        <v>1592</v>
      </c>
      <c r="E94" s="27"/>
      <c r="F94" s="37"/>
      <c r="G94" s="29"/>
      <c r="H94" s="30"/>
      <c r="I94" s="31"/>
      <c r="J94" s="35">
        <v>1450.0</v>
      </c>
      <c r="K94" s="33"/>
      <c r="L94" s="47">
        <v>1450.0</v>
      </c>
      <c r="M94" s="18">
        <f t="shared" si="1"/>
        <v>0</v>
      </c>
    </row>
    <row r="95">
      <c r="A95" s="41">
        <v>91.0</v>
      </c>
      <c r="B95" s="46" t="s">
        <v>2600</v>
      </c>
      <c r="C95" s="46">
        <v>49953.0</v>
      </c>
      <c r="D95" s="46" t="s">
        <v>1821</v>
      </c>
      <c r="E95" s="27"/>
      <c r="F95" s="37"/>
      <c r="G95" s="39">
        <v>28500.0</v>
      </c>
      <c r="H95" s="30"/>
      <c r="I95" s="31"/>
      <c r="J95" s="32"/>
      <c r="K95" s="33"/>
      <c r="L95" s="47">
        <v>28500.0</v>
      </c>
      <c r="M95" s="18">
        <f t="shared" si="1"/>
        <v>0</v>
      </c>
    </row>
    <row r="96">
      <c r="A96" s="41">
        <v>92.0</v>
      </c>
      <c r="B96" s="46" t="s">
        <v>2601</v>
      </c>
      <c r="C96" s="46">
        <v>49918.0</v>
      </c>
      <c r="D96" s="46" t="s">
        <v>114</v>
      </c>
      <c r="E96" s="27"/>
      <c r="F96" s="37"/>
      <c r="G96" s="39">
        <v>1950.0</v>
      </c>
      <c r="H96" s="30"/>
      <c r="I96" s="31"/>
      <c r="J96" s="32"/>
      <c r="K96" s="33"/>
      <c r="L96" s="47">
        <v>1950.0</v>
      </c>
      <c r="M96" s="18">
        <f t="shared" si="1"/>
        <v>0</v>
      </c>
    </row>
    <row r="97">
      <c r="A97" s="41">
        <v>93.0</v>
      </c>
      <c r="B97" s="46" t="s">
        <v>2602</v>
      </c>
      <c r="C97" s="46">
        <v>42071.0</v>
      </c>
      <c r="D97" s="46" t="s">
        <v>30</v>
      </c>
      <c r="E97" s="38"/>
      <c r="F97" s="28"/>
      <c r="G97" s="39">
        <v>10000.0</v>
      </c>
      <c r="H97" s="30"/>
      <c r="I97" s="31"/>
      <c r="J97" s="32"/>
      <c r="K97" s="33"/>
      <c r="L97" s="47">
        <v>10000.0</v>
      </c>
      <c r="M97" s="18">
        <f t="shared" si="1"/>
        <v>0</v>
      </c>
    </row>
    <row r="98" hidden="1">
      <c r="A98" s="41">
        <v>97.0</v>
      </c>
      <c r="B98" s="46"/>
      <c r="C98" s="46"/>
      <c r="D98" s="46"/>
      <c r="E98" s="27"/>
      <c r="F98" s="28"/>
      <c r="G98" s="29"/>
      <c r="H98" s="30"/>
      <c r="I98" s="31"/>
      <c r="J98" s="32"/>
      <c r="K98" s="33"/>
      <c r="L98" s="47"/>
      <c r="M98" s="18">
        <f t="shared" si="1"/>
        <v>0</v>
      </c>
    </row>
    <row r="99" hidden="1">
      <c r="A99" s="41">
        <v>98.0</v>
      </c>
      <c r="B99" s="46"/>
      <c r="C99" s="46"/>
      <c r="D99" s="46"/>
      <c r="E99" s="38"/>
      <c r="F99" s="28"/>
      <c r="G99" s="29"/>
      <c r="H99" s="30"/>
      <c r="I99" s="31"/>
      <c r="J99" s="32"/>
      <c r="K99" s="33"/>
      <c r="L99" s="47"/>
      <c r="M99" s="18">
        <f t="shared" si="1"/>
        <v>0</v>
      </c>
    </row>
    <row r="100" hidden="1">
      <c r="A100" s="41">
        <v>99.0</v>
      </c>
      <c r="B100" s="46"/>
      <c r="C100" s="46"/>
      <c r="D100" s="46"/>
      <c r="E100" s="27"/>
      <c r="F100" s="37"/>
      <c r="G100" s="29"/>
      <c r="H100" s="30"/>
      <c r="I100" s="31"/>
      <c r="J100" s="32"/>
      <c r="K100" s="33"/>
      <c r="L100" s="47"/>
      <c r="M100" s="18">
        <f t="shared" si="1"/>
        <v>0</v>
      </c>
    </row>
    <row r="101" hidden="1">
      <c r="A101" s="41">
        <v>100.0</v>
      </c>
      <c r="B101" s="46"/>
      <c r="C101" s="46"/>
      <c r="D101" s="46"/>
      <c r="E101" s="27"/>
      <c r="F101" s="28"/>
      <c r="G101" s="29"/>
      <c r="H101" s="30"/>
      <c r="I101" s="31"/>
      <c r="J101" s="32"/>
      <c r="K101" s="33"/>
      <c r="L101" s="47"/>
      <c r="M101" s="18">
        <f t="shared" si="1"/>
        <v>0</v>
      </c>
    </row>
    <row r="102" hidden="1">
      <c r="A102" s="41">
        <v>101.0</v>
      </c>
      <c r="B102" s="46"/>
      <c r="C102" s="46"/>
      <c r="D102" s="46"/>
      <c r="E102" s="27"/>
      <c r="F102" s="28"/>
      <c r="G102" s="29"/>
      <c r="H102" s="30"/>
      <c r="I102" s="31"/>
      <c r="J102" s="32"/>
      <c r="K102" s="33"/>
      <c r="L102" s="47"/>
      <c r="M102" s="18">
        <f t="shared" si="1"/>
        <v>0</v>
      </c>
    </row>
    <row r="103" hidden="1">
      <c r="A103" s="41">
        <v>102.0</v>
      </c>
      <c r="B103" s="46"/>
      <c r="C103" s="46"/>
      <c r="D103" s="46"/>
      <c r="E103" s="27"/>
      <c r="F103" s="28"/>
      <c r="G103" s="29"/>
      <c r="H103" s="30"/>
      <c r="I103" s="31"/>
      <c r="J103" s="32"/>
      <c r="K103" s="33"/>
      <c r="L103" s="47"/>
      <c r="M103" s="18">
        <f t="shared" si="1"/>
        <v>0</v>
      </c>
    </row>
    <row r="104" hidden="1">
      <c r="A104" s="41">
        <v>103.0</v>
      </c>
      <c r="B104" s="46"/>
      <c r="C104" s="46"/>
      <c r="D104" s="46"/>
      <c r="E104" s="38"/>
      <c r="F104" s="37"/>
      <c r="G104" s="29"/>
      <c r="H104" s="30"/>
      <c r="I104" s="31"/>
      <c r="J104" s="32"/>
      <c r="K104" s="33"/>
      <c r="L104" s="47"/>
      <c r="M104" s="18">
        <f t="shared" si="1"/>
        <v>0</v>
      </c>
    </row>
    <row r="105" hidden="1">
      <c r="A105" s="41">
        <v>104.0</v>
      </c>
      <c r="B105" s="46"/>
      <c r="C105" s="46"/>
      <c r="D105" s="46"/>
      <c r="E105" s="38"/>
      <c r="F105" s="28"/>
      <c r="G105" s="39"/>
      <c r="H105" s="30"/>
      <c r="I105" s="31"/>
      <c r="J105" s="35"/>
      <c r="K105" s="33"/>
      <c r="L105" s="47"/>
      <c r="M105" s="18">
        <f t="shared" si="1"/>
        <v>0</v>
      </c>
    </row>
    <row r="106" hidden="1">
      <c r="A106" s="41">
        <v>105.0</v>
      </c>
      <c r="B106" s="46"/>
      <c r="C106" s="46"/>
      <c r="D106" s="46"/>
      <c r="E106" s="27"/>
      <c r="F106" s="28"/>
      <c r="G106" s="29"/>
      <c r="H106" s="30"/>
      <c r="I106" s="31"/>
      <c r="J106" s="32"/>
      <c r="K106" s="33"/>
      <c r="L106" s="47"/>
      <c r="M106" s="18">
        <f t="shared" si="1"/>
        <v>0</v>
      </c>
    </row>
    <row r="107" hidden="1">
      <c r="A107" s="41">
        <v>106.0</v>
      </c>
      <c r="B107" s="46"/>
      <c r="C107" s="46"/>
      <c r="D107" s="46"/>
      <c r="E107" s="38"/>
      <c r="F107" s="37"/>
      <c r="G107" s="29"/>
      <c r="H107" s="30"/>
      <c r="I107" s="31"/>
      <c r="J107" s="32"/>
      <c r="K107" s="33"/>
      <c r="L107" s="47"/>
      <c r="M107" s="18">
        <f t="shared" si="1"/>
        <v>0</v>
      </c>
    </row>
    <row r="108" hidden="1">
      <c r="A108" s="41">
        <v>107.0</v>
      </c>
      <c r="B108" s="46"/>
      <c r="C108" s="46"/>
      <c r="D108" s="46"/>
      <c r="E108" s="27"/>
      <c r="F108" s="37"/>
      <c r="G108" s="29"/>
      <c r="H108" s="30"/>
      <c r="I108" s="31"/>
      <c r="J108" s="32"/>
      <c r="K108" s="33"/>
      <c r="L108" s="47"/>
      <c r="M108" s="18">
        <f t="shared" si="1"/>
        <v>0</v>
      </c>
    </row>
    <row r="109" hidden="1">
      <c r="A109" s="41">
        <v>108.0</v>
      </c>
      <c r="B109" s="46"/>
      <c r="C109" s="46"/>
      <c r="D109" s="46"/>
      <c r="E109" s="27"/>
      <c r="F109" s="37"/>
      <c r="G109" s="29"/>
      <c r="H109" s="30"/>
      <c r="I109" s="36"/>
      <c r="J109" s="32"/>
      <c r="K109" s="33"/>
      <c r="L109" s="47"/>
      <c r="M109" s="18">
        <f t="shared" si="1"/>
        <v>0</v>
      </c>
    </row>
    <row r="110" hidden="1">
      <c r="A110" s="41">
        <v>109.0</v>
      </c>
      <c r="B110" s="46"/>
      <c r="C110" s="46"/>
      <c r="D110" s="46"/>
      <c r="E110" s="27"/>
      <c r="F110" s="28"/>
      <c r="G110" s="29"/>
      <c r="H110" s="30"/>
      <c r="I110" s="36"/>
      <c r="J110" s="32"/>
      <c r="K110" s="33"/>
      <c r="L110" s="47"/>
      <c r="M110" s="18">
        <f t="shared" si="1"/>
        <v>0</v>
      </c>
    </row>
    <row r="111" hidden="1">
      <c r="A111" s="41">
        <v>110.0</v>
      </c>
      <c r="B111" s="46"/>
      <c r="C111" s="46"/>
      <c r="D111" s="46"/>
      <c r="E111" s="38"/>
      <c r="F111" s="37"/>
      <c r="G111" s="29"/>
      <c r="H111" s="30"/>
      <c r="I111" s="31"/>
      <c r="J111" s="32"/>
      <c r="K111" s="33"/>
      <c r="L111" s="47"/>
      <c r="M111" s="18">
        <f t="shared" si="1"/>
        <v>0</v>
      </c>
    </row>
    <row r="112" hidden="1">
      <c r="A112" s="41">
        <v>111.0</v>
      </c>
      <c r="B112" s="46"/>
      <c r="C112" s="46"/>
      <c r="D112" s="46"/>
      <c r="E112" s="27"/>
      <c r="F112" s="37"/>
      <c r="G112" s="29"/>
      <c r="H112" s="30"/>
      <c r="I112" s="31"/>
      <c r="J112" s="35"/>
      <c r="K112" s="33"/>
      <c r="L112" s="47"/>
      <c r="M112" s="18">
        <f t="shared" si="1"/>
        <v>0</v>
      </c>
    </row>
    <row r="113" hidden="1">
      <c r="A113" s="41">
        <v>112.0</v>
      </c>
      <c r="B113" s="46"/>
      <c r="C113" s="46"/>
      <c r="D113" s="46"/>
      <c r="E113" s="38"/>
      <c r="F113" s="28"/>
      <c r="G113" s="29"/>
      <c r="H113" s="30"/>
      <c r="I113" s="31"/>
      <c r="J113" s="32"/>
      <c r="K113" s="33"/>
      <c r="L113" s="47"/>
      <c r="M113" s="18">
        <f t="shared" si="1"/>
        <v>0</v>
      </c>
    </row>
    <row r="114" hidden="1">
      <c r="A114" s="41">
        <v>113.0</v>
      </c>
      <c r="B114" s="46"/>
      <c r="C114" s="46"/>
      <c r="D114" s="46"/>
      <c r="E114" s="38"/>
      <c r="F114" s="37"/>
      <c r="G114" s="29"/>
      <c r="H114" s="30"/>
      <c r="I114" s="31"/>
      <c r="J114" s="32"/>
      <c r="K114" s="33"/>
      <c r="L114" s="47"/>
      <c r="M114" s="18">
        <f t="shared" si="1"/>
        <v>0</v>
      </c>
    </row>
    <row r="115" hidden="1">
      <c r="A115" s="41">
        <v>114.0</v>
      </c>
      <c r="B115" s="46"/>
      <c r="C115" s="46"/>
      <c r="D115" s="46"/>
      <c r="E115" s="38"/>
      <c r="F115" s="37"/>
      <c r="G115" s="29"/>
      <c r="H115" s="30"/>
      <c r="I115" s="31"/>
      <c r="J115" s="35"/>
      <c r="K115" s="33"/>
      <c r="L115" s="47"/>
      <c r="M115" s="18">
        <f t="shared" si="1"/>
        <v>0</v>
      </c>
    </row>
    <row r="116" hidden="1">
      <c r="A116" s="41">
        <v>115.0</v>
      </c>
      <c r="B116" s="46"/>
      <c r="C116" s="46"/>
      <c r="D116" s="46"/>
      <c r="E116" s="27"/>
      <c r="F116" s="37"/>
      <c r="G116" s="29"/>
      <c r="H116" s="30"/>
      <c r="I116" s="31"/>
      <c r="J116" s="32"/>
      <c r="K116" s="33"/>
      <c r="L116" s="47"/>
      <c r="M116" s="18">
        <f t="shared" si="1"/>
        <v>0</v>
      </c>
    </row>
    <row r="117" hidden="1">
      <c r="A117" s="41">
        <v>116.0</v>
      </c>
      <c r="B117" s="46"/>
      <c r="C117" s="46"/>
      <c r="D117" s="46"/>
      <c r="E117" s="27"/>
      <c r="F117" s="37"/>
      <c r="G117" s="29"/>
      <c r="H117" s="30"/>
      <c r="I117" s="31"/>
      <c r="J117" s="32"/>
      <c r="K117" s="33"/>
      <c r="L117" s="47"/>
      <c r="M117" s="18">
        <f t="shared" si="1"/>
        <v>0</v>
      </c>
    </row>
    <row r="118" hidden="1">
      <c r="A118" s="41">
        <v>117.0</v>
      </c>
      <c r="B118" s="46"/>
      <c r="C118" s="46"/>
      <c r="D118" s="46"/>
      <c r="E118" s="27"/>
      <c r="F118" s="37"/>
      <c r="G118" s="29"/>
      <c r="H118" s="30"/>
      <c r="I118" s="31"/>
      <c r="J118" s="32"/>
      <c r="K118" s="33"/>
      <c r="L118" s="47"/>
      <c r="M118" s="18">
        <f t="shared" si="1"/>
        <v>0</v>
      </c>
    </row>
    <row r="119" hidden="1">
      <c r="A119" s="41">
        <v>118.0</v>
      </c>
      <c r="B119" s="46"/>
      <c r="C119" s="46"/>
      <c r="D119" s="46"/>
      <c r="E119" s="38"/>
      <c r="F119" s="37"/>
      <c r="G119" s="29"/>
      <c r="H119" s="30"/>
      <c r="I119" s="31"/>
      <c r="J119" s="32"/>
      <c r="K119" s="33"/>
      <c r="L119" s="47"/>
      <c r="M119" s="18">
        <f t="shared" si="1"/>
        <v>0</v>
      </c>
    </row>
    <row r="120" hidden="1">
      <c r="A120" s="41">
        <v>119.0</v>
      </c>
      <c r="B120" s="46"/>
      <c r="C120" s="46"/>
      <c r="D120" s="46"/>
      <c r="E120" s="27"/>
      <c r="F120" s="37"/>
      <c r="G120" s="29"/>
      <c r="H120" s="30"/>
      <c r="I120" s="31"/>
      <c r="J120" s="32"/>
      <c r="K120" s="33"/>
      <c r="L120" s="47"/>
      <c r="M120" s="18">
        <f t="shared" si="1"/>
        <v>0</v>
      </c>
    </row>
    <row r="121" hidden="1">
      <c r="A121" s="41">
        <v>120.0</v>
      </c>
      <c r="B121" s="46"/>
      <c r="C121" s="46"/>
      <c r="D121" s="46"/>
      <c r="E121" s="27"/>
      <c r="F121" s="37"/>
      <c r="G121" s="29"/>
      <c r="H121" s="30"/>
      <c r="I121" s="31"/>
      <c r="J121" s="32"/>
      <c r="K121" s="33"/>
      <c r="L121" s="47"/>
      <c r="M121" s="18">
        <f t="shared" si="1"/>
        <v>0</v>
      </c>
    </row>
    <row r="122" hidden="1">
      <c r="A122" s="41">
        <v>121.0</v>
      </c>
      <c r="B122" s="46"/>
      <c r="C122" s="46"/>
      <c r="D122" s="46"/>
      <c r="E122" s="27"/>
      <c r="F122" s="37"/>
      <c r="G122" s="39"/>
      <c r="H122" s="30"/>
      <c r="I122" s="31"/>
      <c r="J122" s="32"/>
      <c r="K122" s="33"/>
      <c r="L122" s="47"/>
      <c r="M122" s="18">
        <f t="shared" si="1"/>
        <v>0</v>
      </c>
    </row>
    <row r="123" hidden="1">
      <c r="A123" s="41">
        <v>122.0</v>
      </c>
      <c r="B123" s="46"/>
      <c r="C123" s="46"/>
      <c r="D123" s="46"/>
      <c r="E123" s="27"/>
      <c r="F123" s="28"/>
      <c r="G123" s="29"/>
      <c r="H123" s="30"/>
      <c r="I123" s="31"/>
      <c r="J123" s="32"/>
      <c r="K123" s="33"/>
      <c r="L123" s="47"/>
      <c r="M123" s="18">
        <f t="shared" si="1"/>
        <v>0</v>
      </c>
    </row>
    <row r="124" hidden="1">
      <c r="A124" s="41">
        <v>123.0</v>
      </c>
      <c r="B124" s="46"/>
      <c r="C124" s="46"/>
      <c r="D124" s="46"/>
      <c r="E124" s="38"/>
      <c r="F124" s="28"/>
      <c r="G124" s="29"/>
      <c r="H124" s="30"/>
      <c r="I124" s="31"/>
      <c r="J124" s="32"/>
      <c r="K124" s="33"/>
      <c r="L124" s="47"/>
      <c r="M124" s="18">
        <f t="shared" si="1"/>
        <v>0</v>
      </c>
    </row>
    <row r="125" hidden="1">
      <c r="A125" s="41">
        <v>124.0</v>
      </c>
      <c r="B125" s="46"/>
      <c r="C125" s="46"/>
      <c r="D125" s="46"/>
      <c r="E125" s="27"/>
      <c r="F125" s="28"/>
      <c r="G125" s="39"/>
      <c r="H125" s="30"/>
      <c r="I125" s="31"/>
      <c r="J125" s="35"/>
      <c r="K125" s="33"/>
      <c r="L125" s="47"/>
      <c r="M125" s="18">
        <f t="shared" si="1"/>
        <v>0</v>
      </c>
    </row>
    <row r="126" hidden="1">
      <c r="A126" s="41">
        <v>125.0</v>
      </c>
      <c r="B126" s="46"/>
      <c r="C126" s="46"/>
      <c r="D126" s="46"/>
      <c r="E126" s="27"/>
      <c r="F126" s="28"/>
      <c r="G126" s="39"/>
      <c r="H126" s="30"/>
      <c r="I126" s="31"/>
      <c r="J126" s="32"/>
      <c r="K126" s="33"/>
      <c r="L126" s="47"/>
      <c r="M126" s="18">
        <f t="shared" si="1"/>
        <v>0</v>
      </c>
    </row>
    <row r="127" hidden="1">
      <c r="A127" s="41">
        <v>126.0</v>
      </c>
      <c r="B127" s="46"/>
      <c r="C127" s="46"/>
      <c r="D127" s="46"/>
      <c r="E127" s="27"/>
      <c r="F127" s="28"/>
      <c r="G127" s="39"/>
      <c r="H127" s="30"/>
      <c r="I127" s="31"/>
      <c r="J127" s="32"/>
      <c r="K127" s="33"/>
      <c r="L127" s="47"/>
      <c r="M127" s="18">
        <f t="shared" si="1"/>
        <v>0</v>
      </c>
    </row>
    <row r="128" hidden="1">
      <c r="A128" s="41">
        <v>127.0</v>
      </c>
      <c r="B128" s="46"/>
      <c r="C128" s="46"/>
      <c r="D128" s="46"/>
      <c r="E128" s="27"/>
      <c r="F128" s="28"/>
      <c r="G128" s="39"/>
      <c r="H128" s="30"/>
      <c r="I128" s="31"/>
      <c r="J128" s="32"/>
      <c r="K128" s="33"/>
      <c r="L128" s="47"/>
      <c r="M128" s="18">
        <f t="shared" si="1"/>
        <v>0</v>
      </c>
    </row>
    <row r="129" hidden="1">
      <c r="A129" s="41">
        <v>128.0</v>
      </c>
      <c r="B129" s="46"/>
      <c r="C129" s="46"/>
      <c r="D129" s="46"/>
      <c r="E129" s="27"/>
      <c r="F129" s="28"/>
      <c r="G129" s="39"/>
      <c r="H129" s="30"/>
      <c r="I129" s="31"/>
      <c r="J129" s="35"/>
      <c r="K129" s="33"/>
      <c r="L129" s="47"/>
      <c r="M129" s="18">
        <f t="shared" si="1"/>
        <v>0</v>
      </c>
    </row>
    <row r="130" hidden="1">
      <c r="A130" s="41">
        <v>129.0</v>
      </c>
      <c r="B130" s="46"/>
      <c r="C130" s="46"/>
      <c r="D130" s="46"/>
      <c r="E130" s="27"/>
      <c r="F130" s="28"/>
      <c r="G130" s="29"/>
      <c r="H130" s="30"/>
      <c r="I130" s="31"/>
      <c r="J130" s="35"/>
      <c r="K130" s="33"/>
      <c r="L130" s="47"/>
      <c r="M130" s="18">
        <f t="shared" si="1"/>
        <v>0</v>
      </c>
    </row>
    <row r="131" hidden="1">
      <c r="A131" s="41">
        <v>130.0</v>
      </c>
      <c r="B131" s="46"/>
      <c r="C131" s="46"/>
      <c r="D131" s="46"/>
      <c r="E131" s="27"/>
      <c r="F131" s="28"/>
      <c r="G131" s="29"/>
      <c r="H131" s="30"/>
      <c r="I131" s="31"/>
      <c r="J131" s="35"/>
      <c r="K131" s="33"/>
      <c r="L131" s="47"/>
      <c r="M131" s="18">
        <f t="shared" si="1"/>
        <v>0</v>
      </c>
    </row>
    <row r="132">
      <c r="A132" s="41"/>
      <c r="B132" s="45"/>
      <c r="C132" s="45"/>
      <c r="D132" s="44"/>
      <c r="E132" s="22">
        <f t="shared" ref="E132:L132" si="2">SUM(E5:E97)</f>
        <v>25431</v>
      </c>
      <c r="F132" s="22">
        <f t="shared" si="2"/>
        <v>90669</v>
      </c>
      <c r="G132" s="22">
        <f t="shared" si="2"/>
        <v>89300</v>
      </c>
      <c r="H132" s="22">
        <f t="shared" si="2"/>
        <v>502714</v>
      </c>
      <c r="I132" s="22">
        <f t="shared" si="2"/>
        <v>158678</v>
      </c>
      <c r="J132" s="22">
        <f t="shared" si="2"/>
        <v>1553</v>
      </c>
      <c r="K132" s="22">
        <f t="shared" si="2"/>
        <v>0</v>
      </c>
      <c r="L132" s="22">
        <f t="shared" si="2"/>
        <v>868345</v>
      </c>
      <c r="M132" s="18">
        <f>SUM(M5:M131)</f>
        <v>0</v>
      </c>
    </row>
    <row r="133">
      <c r="A133" s="23"/>
      <c r="B133" s="23"/>
      <c r="C133" s="23"/>
      <c r="D133" s="23"/>
      <c r="E133" s="24">
        <f>SUM(K132:M132)</f>
        <v>868345</v>
      </c>
      <c r="F133" s="6"/>
      <c r="G133" s="6"/>
      <c r="H133" s="6"/>
      <c r="I133" s="6"/>
      <c r="J133" s="6"/>
      <c r="K133" s="7"/>
      <c r="L133" s="25"/>
      <c r="M133" s="23"/>
    </row>
    <row r="134">
      <c r="L134" s="40" t="s">
        <v>254</v>
      </c>
    </row>
  </sheetData>
  <mergeCells count="14">
    <mergeCell ref="F3:G3"/>
    <mergeCell ref="H3:I3"/>
    <mergeCell ref="J3:J4"/>
    <mergeCell ref="K3:K4"/>
    <mergeCell ref="E133:K133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5"/>
    <col customWidth="1" min="2" max="2" width="24.75"/>
    <col customWidth="1" min="4" max="4" width="43.25"/>
    <col customWidth="1" min="5" max="5" width="9.5"/>
  </cols>
  <sheetData>
    <row r="1">
      <c r="A1" s="1" t="s">
        <v>2603</v>
      </c>
    </row>
    <row r="2">
      <c r="A2" s="2" t="s">
        <v>1</v>
      </c>
      <c r="B2" s="3" t="s">
        <v>2</v>
      </c>
      <c r="C2" s="2" t="s">
        <v>3</v>
      </c>
      <c r="D2" s="4" t="s">
        <v>4</v>
      </c>
      <c r="E2" s="5" t="s">
        <v>5</v>
      </c>
      <c r="F2" s="6"/>
      <c r="G2" s="6"/>
      <c r="H2" s="6"/>
      <c r="I2" s="6"/>
      <c r="J2" s="6"/>
      <c r="K2" s="6"/>
      <c r="L2" s="6"/>
      <c r="M2" s="7"/>
    </row>
    <row r="3">
      <c r="A3" s="8"/>
      <c r="B3" s="8"/>
      <c r="C3" s="8"/>
      <c r="D3" s="8"/>
      <c r="E3" s="2" t="s">
        <v>6</v>
      </c>
      <c r="F3" s="5" t="s">
        <v>7</v>
      </c>
      <c r="G3" s="7"/>
      <c r="H3" s="5" t="s">
        <v>8</v>
      </c>
      <c r="I3" s="7"/>
      <c r="J3" s="2" t="s">
        <v>9</v>
      </c>
      <c r="K3" s="4" t="s">
        <v>10</v>
      </c>
      <c r="L3" s="2" t="s">
        <v>11</v>
      </c>
      <c r="M3" s="2" t="s">
        <v>12</v>
      </c>
    </row>
    <row r="4">
      <c r="A4" s="9"/>
      <c r="B4" s="9"/>
      <c r="C4" s="9"/>
      <c r="D4" s="9"/>
      <c r="E4" s="9"/>
      <c r="F4" s="10" t="s">
        <v>13</v>
      </c>
      <c r="G4" s="10" t="s">
        <v>14</v>
      </c>
      <c r="H4" s="10" t="s">
        <v>15</v>
      </c>
      <c r="I4" s="11" t="s">
        <v>16</v>
      </c>
      <c r="J4" s="9"/>
      <c r="K4" s="9"/>
      <c r="L4" s="9"/>
      <c r="M4" s="9"/>
    </row>
    <row r="5">
      <c r="A5" s="41">
        <v>1.0</v>
      </c>
      <c r="B5" s="26" t="s">
        <v>2604</v>
      </c>
      <c r="C5" s="26">
        <v>40433.0</v>
      </c>
      <c r="D5" s="26" t="s">
        <v>2021</v>
      </c>
      <c r="E5" s="38">
        <v>1250.0</v>
      </c>
      <c r="F5" s="28"/>
      <c r="G5" s="29"/>
      <c r="H5" s="30"/>
      <c r="I5" s="31"/>
      <c r="J5" s="32"/>
      <c r="K5" s="33"/>
      <c r="L5" s="17">
        <v>1250.0</v>
      </c>
      <c r="M5" s="18">
        <f t="shared" ref="M5:M131" si="1">SUM(E5+F5+G5+H5+I5+J5+K5-L5)</f>
        <v>0</v>
      </c>
    </row>
    <row r="6">
      <c r="A6" s="41">
        <v>2.0</v>
      </c>
      <c r="B6" s="26" t="s">
        <v>2605</v>
      </c>
      <c r="C6" s="26">
        <v>10001.0</v>
      </c>
      <c r="D6" s="26" t="s">
        <v>218</v>
      </c>
      <c r="E6" s="38">
        <v>200.0</v>
      </c>
      <c r="F6" s="37"/>
      <c r="G6" s="29"/>
      <c r="H6" s="30"/>
      <c r="I6" s="31"/>
      <c r="J6" s="35"/>
      <c r="K6" s="33"/>
      <c r="L6" s="17">
        <v>200.0</v>
      </c>
      <c r="M6" s="18">
        <f t="shared" si="1"/>
        <v>0</v>
      </c>
    </row>
    <row r="7">
      <c r="A7" s="41">
        <v>3.0</v>
      </c>
      <c r="B7" s="26" t="s">
        <v>2606</v>
      </c>
      <c r="C7" s="26">
        <v>50871.0</v>
      </c>
      <c r="D7" s="26" t="s">
        <v>105</v>
      </c>
      <c r="E7" s="27"/>
      <c r="F7" s="37"/>
      <c r="G7" s="29"/>
      <c r="H7" s="30">
        <v>61250.0</v>
      </c>
      <c r="I7" s="31"/>
      <c r="J7" s="35"/>
      <c r="K7" s="33"/>
      <c r="L7" s="17">
        <v>61250.0</v>
      </c>
      <c r="M7" s="18">
        <f t="shared" si="1"/>
        <v>0</v>
      </c>
    </row>
    <row r="8">
      <c r="A8" s="41">
        <v>4.0</v>
      </c>
      <c r="B8" s="26" t="s">
        <v>2607</v>
      </c>
      <c r="C8" s="26">
        <v>29621.0</v>
      </c>
      <c r="D8" s="26" t="s">
        <v>174</v>
      </c>
      <c r="E8" s="27"/>
      <c r="F8" s="28"/>
      <c r="G8" s="29"/>
      <c r="H8" s="30"/>
      <c r="I8" s="31">
        <v>15000.0</v>
      </c>
      <c r="J8" s="35"/>
      <c r="K8" s="33"/>
      <c r="L8" s="17">
        <v>15000.0</v>
      </c>
      <c r="M8" s="18">
        <f t="shared" si="1"/>
        <v>0</v>
      </c>
    </row>
    <row r="9">
      <c r="A9" s="41">
        <v>5.0</v>
      </c>
      <c r="B9" s="26" t="s">
        <v>2608</v>
      </c>
      <c r="C9" s="26">
        <v>51876.0</v>
      </c>
      <c r="D9" s="26" t="s">
        <v>74</v>
      </c>
      <c r="E9" s="38"/>
      <c r="F9" s="28"/>
      <c r="G9" s="29"/>
      <c r="H9" s="30">
        <v>30000.0</v>
      </c>
      <c r="I9" s="31"/>
      <c r="J9" s="35"/>
      <c r="K9" s="33"/>
      <c r="L9" s="17">
        <v>30000.0</v>
      </c>
      <c r="M9" s="18">
        <f t="shared" si="1"/>
        <v>0</v>
      </c>
    </row>
    <row r="10">
      <c r="A10" s="41">
        <v>6.0</v>
      </c>
      <c r="B10" s="26" t="s">
        <v>2609</v>
      </c>
      <c r="C10" s="26">
        <v>10250.0</v>
      </c>
      <c r="D10" s="26" t="s">
        <v>107</v>
      </c>
      <c r="E10" s="38"/>
      <c r="F10" s="28"/>
      <c r="G10" s="29"/>
      <c r="H10" s="30">
        <v>350.0</v>
      </c>
      <c r="I10" s="31"/>
      <c r="J10" s="35"/>
      <c r="K10" s="33"/>
      <c r="L10" s="17">
        <v>350.0</v>
      </c>
      <c r="M10" s="18">
        <f t="shared" si="1"/>
        <v>0</v>
      </c>
    </row>
    <row r="11">
      <c r="A11" s="41">
        <v>7.0</v>
      </c>
      <c r="B11" s="26" t="s">
        <v>2610</v>
      </c>
      <c r="C11" s="26">
        <v>34920.0</v>
      </c>
      <c r="D11" s="26" t="s">
        <v>440</v>
      </c>
      <c r="E11" s="27"/>
      <c r="F11" s="28"/>
      <c r="G11" s="29"/>
      <c r="H11" s="30">
        <v>3600.0</v>
      </c>
      <c r="I11" s="31"/>
      <c r="J11" s="35"/>
      <c r="K11" s="33"/>
      <c r="L11" s="17">
        <v>3600.0</v>
      </c>
      <c r="M11" s="18">
        <f t="shared" si="1"/>
        <v>0</v>
      </c>
    </row>
    <row r="12">
      <c r="A12" s="41">
        <v>8.0</v>
      </c>
      <c r="B12" s="26" t="s">
        <v>2611</v>
      </c>
      <c r="C12" s="26">
        <v>45149.0</v>
      </c>
      <c r="D12" s="26" t="s">
        <v>2612</v>
      </c>
      <c r="E12" s="27"/>
      <c r="F12" s="28"/>
      <c r="G12" s="29"/>
      <c r="H12" s="30">
        <v>3600.0</v>
      </c>
      <c r="I12" s="31"/>
      <c r="J12" s="35"/>
      <c r="K12" s="33"/>
      <c r="L12" s="17">
        <v>3600.0</v>
      </c>
      <c r="M12" s="18">
        <f t="shared" si="1"/>
        <v>0</v>
      </c>
    </row>
    <row r="13">
      <c r="A13" s="41">
        <v>9.0</v>
      </c>
      <c r="B13" s="26" t="s">
        <v>2613</v>
      </c>
      <c r="C13" s="26">
        <v>47632.0</v>
      </c>
      <c r="D13" s="26" t="s">
        <v>2614</v>
      </c>
      <c r="E13" s="27"/>
      <c r="F13" s="28"/>
      <c r="G13" s="29"/>
      <c r="H13" s="30">
        <v>1850.0</v>
      </c>
      <c r="I13" s="31"/>
      <c r="J13" s="35"/>
      <c r="K13" s="33"/>
      <c r="L13" s="17">
        <v>1850.0</v>
      </c>
      <c r="M13" s="18">
        <f t="shared" si="1"/>
        <v>0</v>
      </c>
    </row>
    <row r="14">
      <c r="A14" s="41">
        <v>10.0</v>
      </c>
      <c r="B14" s="26" t="s">
        <v>2615</v>
      </c>
      <c r="C14" s="26">
        <v>47862.0</v>
      </c>
      <c r="D14" s="26" t="s">
        <v>940</v>
      </c>
      <c r="E14" s="27"/>
      <c r="F14" s="28"/>
      <c r="G14" s="29"/>
      <c r="H14" s="30">
        <v>5150.0</v>
      </c>
      <c r="I14" s="31"/>
      <c r="J14" s="35"/>
      <c r="K14" s="33"/>
      <c r="L14" s="17">
        <v>5150.0</v>
      </c>
      <c r="M14" s="18">
        <f t="shared" si="1"/>
        <v>0</v>
      </c>
    </row>
    <row r="15">
      <c r="A15" s="41">
        <v>11.0</v>
      </c>
      <c r="B15" s="26" t="s">
        <v>2616</v>
      </c>
      <c r="C15" s="26">
        <v>51797.0</v>
      </c>
      <c r="D15" s="26" t="s">
        <v>684</v>
      </c>
      <c r="E15" s="27"/>
      <c r="F15" s="28"/>
      <c r="G15" s="29"/>
      <c r="H15" s="30"/>
      <c r="I15" s="31">
        <v>5000.0</v>
      </c>
      <c r="J15" s="35"/>
      <c r="K15" s="33"/>
      <c r="L15" s="17">
        <v>5000.0</v>
      </c>
      <c r="M15" s="18">
        <f t="shared" si="1"/>
        <v>0</v>
      </c>
    </row>
    <row r="16">
      <c r="A16" s="41">
        <v>12.0</v>
      </c>
      <c r="B16" s="26" t="s">
        <v>2617</v>
      </c>
      <c r="C16" s="26">
        <v>51797.0</v>
      </c>
      <c r="D16" s="26" t="s">
        <v>684</v>
      </c>
      <c r="E16" s="27"/>
      <c r="F16" s="28"/>
      <c r="G16" s="29"/>
      <c r="H16" s="30"/>
      <c r="I16" s="31">
        <v>5000.0</v>
      </c>
      <c r="J16" s="35"/>
      <c r="K16" s="33"/>
      <c r="L16" s="17">
        <v>5000.0</v>
      </c>
      <c r="M16" s="18">
        <f t="shared" si="1"/>
        <v>0</v>
      </c>
    </row>
    <row r="17">
      <c r="A17" s="41">
        <v>13.0</v>
      </c>
      <c r="B17" s="26" t="s">
        <v>2618</v>
      </c>
      <c r="C17" s="26">
        <v>56995.0</v>
      </c>
      <c r="D17" s="26" t="s">
        <v>2619</v>
      </c>
      <c r="E17" s="27"/>
      <c r="F17" s="28"/>
      <c r="G17" s="29"/>
      <c r="H17" s="30">
        <v>300.0</v>
      </c>
      <c r="I17" s="31"/>
      <c r="J17" s="35"/>
      <c r="K17" s="33"/>
      <c r="L17" s="17">
        <v>300.0</v>
      </c>
      <c r="M17" s="18">
        <f t="shared" si="1"/>
        <v>0</v>
      </c>
    </row>
    <row r="18">
      <c r="A18" s="41">
        <v>14.0</v>
      </c>
      <c r="B18" s="26" t="s">
        <v>2620</v>
      </c>
      <c r="C18" s="26">
        <v>48910.0</v>
      </c>
      <c r="D18" s="26" t="s">
        <v>399</v>
      </c>
      <c r="E18" s="27"/>
      <c r="F18" s="28"/>
      <c r="G18" s="29"/>
      <c r="H18" s="30"/>
      <c r="I18" s="31">
        <v>2500.0</v>
      </c>
      <c r="J18" s="35"/>
      <c r="K18" s="33"/>
      <c r="L18" s="17">
        <v>2500.0</v>
      </c>
      <c r="M18" s="18">
        <f t="shared" si="1"/>
        <v>0</v>
      </c>
    </row>
    <row r="19">
      <c r="A19" s="41">
        <v>15.0</v>
      </c>
      <c r="B19" s="26" t="s">
        <v>2621</v>
      </c>
      <c r="C19" s="26">
        <v>50632.0</v>
      </c>
      <c r="D19" s="26" t="s">
        <v>2622</v>
      </c>
      <c r="E19" s="38"/>
      <c r="F19" s="37"/>
      <c r="G19" s="29"/>
      <c r="H19" s="30"/>
      <c r="I19" s="31">
        <v>3600.0</v>
      </c>
      <c r="J19" s="35"/>
      <c r="K19" s="33"/>
      <c r="L19" s="17">
        <v>3600.0</v>
      </c>
      <c r="M19" s="18">
        <f t="shared" si="1"/>
        <v>0</v>
      </c>
    </row>
    <row r="20">
      <c r="A20" s="41">
        <v>16.0</v>
      </c>
      <c r="B20" s="26" t="s">
        <v>2623</v>
      </c>
      <c r="C20" s="26">
        <v>48910.0</v>
      </c>
      <c r="D20" s="26" t="s">
        <v>399</v>
      </c>
      <c r="E20" s="27"/>
      <c r="F20" s="28"/>
      <c r="G20" s="29"/>
      <c r="H20" s="30"/>
      <c r="I20" s="31">
        <v>3600.0</v>
      </c>
      <c r="J20" s="35"/>
      <c r="K20" s="33"/>
      <c r="L20" s="17">
        <v>3600.0</v>
      </c>
      <c r="M20" s="18">
        <f t="shared" si="1"/>
        <v>0</v>
      </c>
    </row>
    <row r="21">
      <c r="A21" s="41">
        <v>17.0</v>
      </c>
      <c r="B21" s="26" t="s">
        <v>2624</v>
      </c>
      <c r="C21" s="26">
        <v>47787.0</v>
      </c>
      <c r="D21" s="26" t="s">
        <v>506</v>
      </c>
      <c r="E21" s="27"/>
      <c r="F21" s="37"/>
      <c r="G21" s="29"/>
      <c r="H21" s="30">
        <v>350.0</v>
      </c>
      <c r="I21" s="31"/>
      <c r="J21" s="35"/>
      <c r="K21" s="33"/>
      <c r="L21" s="17">
        <v>350.0</v>
      </c>
      <c r="M21" s="18">
        <f t="shared" si="1"/>
        <v>0</v>
      </c>
    </row>
    <row r="22">
      <c r="A22" s="41">
        <v>18.0</v>
      </c>
      <c r="B22" s="26" t="s">
        <v>2625</v>
      </c>
      <c r="C22" s="26">
        <v>56713.0</v>
      </c>
      <c r="D22" s="26" t="s">
        <v>2626</v>
      </c>
      <c r="E22" s="27"/>
      <c r="F22" s="37"/>
      <c r="G22" s="29"/>
      <c r="H22" s="30"/>
      <c r="I22" s="31">
        <v>300.0</v>
      </c>
      <c r="J22" s="35"/>
      <c r="K22" s="33"/>
      <c r="L22" s="17">
        <v>300.0</v>
      </c>
      <c r="M22" s="18">
        <f t="shared" si="1"/>
        <v>0</v>
      </c>
    </row>
    <row r="23">
      <c r="A23" s="41">
        <v>19.0</v>
      </c>
      <c r="B23" s="26" t="s">
        <v>2627</v>
      </c>
      <c r="C23" s="26">
        <v>36555.0</v>
      </c>
      <c r="D23" s="26" t="s">
        <v>172</v>
      </c>
      <c r="E23" s="27"/>
      <c r="F23" s="37"/>
      <c r="G23" s="29"/>
      <c r="H23" s="30">
        <v>10200.0</v>
      </c>
      <c r="I23" s="31"/>
      <c r="J23" s="35"/>
      <c r="K23" s="33"/>
      <c r="L23" s="17">
        <v>10200.0</v>
      </c>
      <c r="M23" s="18">
        <f t="shared" si="1"/>
        <v>0</v>
      </c>
    </row>
    <row r="24">
      <c r="A24" s="41">
        <v>20.0</v>
      </c>
      <c r="B24" s="26" t="s">
        <v>2628</v>
      </c>
      <c r="C24" s="26">
        <v>49864.0</v>
      </c>
      <c r="D24" s="26" t="s">
        <v>687</v>
      </c>
      <c r="E24" s="38"/>
      <c r="F24" s="28"/>
      <c r="G24" s="29"/>
      <c r="H24" s="30">
        <v>15000.0</v>
      </c>
      <c r="I24" s="31"/>
      <c r="J24" s="35"/>
      <c r="K24" s="33"/>
      <c r="L24" s="17">
        <v>15000.0</v>
      </c>
      <c r="M24" s="18">
        <f t="shared" si="1"/>
        <v>0</v>
      </c>
    </row>
    <row r="25">
      <c r="A25" s="41">
        <v>21.0</v>
      </c>
      <c r="B25" s="26" t="s">
        <v>2629</v>
      </c>
      <c r="C25" s="26">
        <v>45937.0</v>
      </c>
      <c r="D25" s="26" t="s">
        <v>337</v>
      </c>
      <c r="E25" s="38"/>
      <c r="F25" s="28"/>
      <c r="G25" s="29"/>
      <c r="H25" s="30">
        <v>2500.0</v>
      </c>
      <c r="I25" s="31"/>
      <c r="J25" s="35"/>
      <c r="K25" s="33"/>
      <c r="L25" s="17">
        <v>2500.0</v>
      </c>
      <c r="M25" s="18">
        <f t="shared" si="1"/>
        <v>0</v>
      </c>
    </row>
    <row r="26">
      <c r="A26" s="41">
        <v>22.0</v>
      </c>
      <c r="B26" s="26" t="s">
        <v>2630</v>
      </c>
      <c r="C26" s="26">
        <v>36690.0</v>
      </c>
      <c r="D26" s="26" t="s">
        <v>419</v>
      </c>
      <c r="E26" s="27"/>
      <c r="F26" s="37"/>
      <c r="G26" s="29"/>
      <c r="H26" s="30">
        <v>400.0</v>
      </c>
      <c r="I26" s="31"/>
      <c r="J26" s="35"/>
      <c r="K26" s="33"/>
      <c r="L26" s="17">
        <v>400.0</v>
      </c>
      <c r="M26" s="18">
        <f t="shared" si="1"/>
        <v>0</v>
      </c>
    </row>
    <row r="27">
      <c r="A27" s="41">
        <v>23.0</v>
      </c>
      <c r="B27" s="26" t="s">
        <v>2631</v>
      </c>
      <c r="C27" s="26">
        <v>39317.0</v>
      </c>
      <c r="D27" s="26" t="s">
        <v>84</v>
      </c>
      <c r="E27" s="38"/>
      <c r="F27" s="28"/>
      <c r="G27" s="29"/>
      <c r="H27" s="30"/>
      <c r="I27" s="31">
        <v>15000.0</v>
      </c>
      <c r="J27" s="35"/>
      <c r="K27" s="33"/>
      <c r="L27" s="17">
        <v>15000.0</v>
      </c>
      <c r="M27" s="18">
        <f t="shared" si="1"/>
        <v>0</v>
      </c>
    </row>
    <row r="28">
      <c r="A28" s="41">
        <v>24.0</v>
      </c>
      <c r="B28" s="26" t="s">
        <v>2632</v>
      </c>
      <c r="C28" s="26">
        <v>48053.0</v>
      </c>
      <c r="D28" s="26" t="s">
        <v>409</v>
      </c>
      <c r="E28" s="27"/>
      <c r="F28" s="37"/>
      <c r="G28" s="29"/>
      <c r="H28" s="30">
        <v>350.0</v>
      </c>
      <c r="I28" s="31"/>
      <c r="J28" s="35"/>
      <c r="K28" s="33"/>
      <c r="L28" s="17">
        <v>350.0</v>
      </c>
      <c r="M28" s="18">
        <f t="shared" si="1"/>
        <v>0</v>
      </c>
    </row>
    <row r="29">
      <c r="A29" s="41">
        <v>25.0</v>
      </c>
      <c r="B29" s="26" t="s">
        <v>2633</v>
      </c>
      <c r="C29" s="26">
        <v>39501.0</v>
      </c>
      <c r="D29" s="26" t="s">
        <v>272</v>
      </c>
      <c r="E29" s="27"/>
      <c r="F29" s="28"/>
      <c r="G29" s="29"/>
      <c r="H29" s="30">
        <v>5850.0</v>
      </c>
      <c r="I29" s="31"/>
      <c r="J29" s="35"/>
      <c r="K29" s="33"/>
      <c r="L29" s="17">
        <v>5850.0</v>
      </c>
      <c r="M29" s="18">
        <f t="shared" si="1"/>
        <v>0</v>
      </c>
    </row>
    <row r="30">
      <c r="A30" s="41">
        <v>26.0</v>
      </c>
      <c r="B30" s="26" t="s">
        <v>2634</v>
      </c>
      <c r="C30" s="26">
        <v>57209.0</v>
      </c>
      <c r="D30" s="26" t="s">
        <v>2635</v>
      </c>
      <c r="E30" s="27"/>
      <c r="F30" s="28"/>
      <c r="G30" s="29"/>
      <c r="H30" s="30">
        <v>3600.0</v>
      </c>
      <c r="I30" s="31"/>
      <c r="J30" s="35"/>
      <c r="K30" s="33"/>
      <c r="L30" s="17">
        <v>3600.0</v>
      </c>
      <c r="M30" s="18">
        <f t="shared" si="1"/>
        <v>0</v>
      </c>
    </row>
    <row r="31">
      <c r="A31" s="41">
        <v>27.0</v>
      </c>
      <c r="B31" s="26" t="s">
        <v>2636</v>
      </c>
      <c r="C31" s="26">
        <v>57843.0</v>
      </c>
      <c r="D31" s="26" t="s">
        <v>2637</v>
      </c>
      <c r="E31" s="27"/>
      <c r="F31" s="28"/>
      <c r="G31" s="29"/>
      <c r="H31" s="30"/>
      <c r="I31" s="31">
        <v>27000.0</v>
      </c>
      <c r="J31" s="35"/>
      <c r="K31" s="33"/>
      <c r="L31" s="17">
        <v>27000.0</v>
      </c>
      <c r="M31" s="18">
        <f t="shared" si="1"/>
        <v>0</v>
      </c>
    </row>
    <row r="32">
      <c r="A32" s="41">
        <v>28.0</v>
      </c>
      <c r="B32" s="26" t="s">
        <v>2638</v>
      </c>
      <c r="C32" s="26">
        <v>50119.0</v>
      </c>
      <c r="D32" s="26" t="s">
        <v>1036</v>
      </c>
      <c r="E32" s="27"/>
      <c r="F32" s="37"/>
      <c r="G32" s="29"/>
      <c r="H32" s="30"/>
      <c r="I32" s="31">
        <v>1427.0</v>
      </c>
      <c r="J32" s="35"/>
      <c r="K32" s="33"/>
      <c r="L32" s="17">
        <v>1427.0</v>
      </c>
      <c r="M32" s="18">
        <f t="shared" si="1"/>
        <v>0</v>
      </c>
    </row>
    <row r="33">
      <c r="A33" s="41">
        <v>29.0</v>
      </c>
      <c r="B33" s="26" t="s">
        <v>2639</v>
      </c>
      <c r="C33" s="26">
        <v>26831.0</v>
      </c>
      <c r="D33" s="26" t="s">
        <v>315</v>
      </c>
      <c r="E33" s="38"/>
      <c r="F33" s="28"/>
      <c r="G33" s="29"/>
      <c r="H33" s="30"/>
      <c r="I33" s="31">
        <v>8750.0</v>
      </c>
      <c r="J33" s="35"/>
      <c r="K33" s="33"/>
      <c r="L33" s="17">
        <v>8750.0</v>
      </c>
      <c r="M33" s="18">
        <f t="shared" si="1"/>
        <v>0</v>
      </c>
    </row>
    <row r="34">
      <c r="A34" s="41">
        <v>30.0</v>
      </c>
      <c r="B34" s="26" t="s">
        <v>2640</v>
      </c>
      <c r="C34" s="26">
        <v>31927.0</v>
      </c>
      <c r="D34" s="26" t="s">
        <v>183</v>
      </c>
      <c r="E34" s="27"/>
      <c r="F34" s="28"/>
      <c r="G34" s="29"/>
      <c r="H34" s="30">
        <v>2500.0</v>
      </c>
      <c r="I34" s="31"/>
      <c r="J34" s="35"/>
      <c r="K34" s="33"/>
      <c r="L34" s="17">
        <v>2500.0</v>
      </c>
      <c r="M34" s="18">
        <f t="shared" si="1"/>
        <v>0</v>
      </c>
    </row>
    <row r="35">
      <c r="A35" s="41">
        <v>31.0</v>
      </c>
      <c r="B35" s="26" t="s">
        <v>2641</v>
      </c>
      <c r="C35" s="26">
        <v>43381.0</v>
      </c>
      <c r="D35" s="26" t="s">
        <v>1730</v>
      </c>
      <c r="E35" s="27"/>
      <c r="F35" s="28"/>
      <c r="G35" s="29"/>
      <c r="H35" s="30">
        <v>15000.0</v>
      </c>
      <c r="I35" s="31"/>
      <c r="J35" s="32"/>
      <c r="K35" s="33"/>
      <c r="L35" s="17">
        <v>15000.0</v>
      </c>
      <c r="M35" s="18">
        <f t="shared" si="1"/>
        <v>0</v>
      </c>
    </row>
    <row r="36">
      <c r="A36" s="41">
        <v>32.0</v>
      </c>
      <c r="B36" s="26" t="s">
        <v>2642</v>
      </c>
      <c r="C36" s="26">
        <v>52032.0</v>
      </c>
      <c r="D36" s="26" t="s">
        <v>233</v>
      </c>
      <c r="E36" s="27"/>
      <c r="F36" s="28"/>
      <c r="G36" s="29"/>
      <c r="H36" s="30">
        <v>10350.0</v>
      </c>
      <c r="I36" s="31"/>
      <c r="J36" s="32"/>
      <c r="K36" s="33"/>
      <c r="L36" s="17">
        <v>10350.0</v>
      </c>
      <c r="M36" s="18">
        <f t="shared" si="1"/>
        <v>0</v>
      </c>
    </row>
    <row r="37">
      <c r="A37" s="41">
        <v>33.0</v>
      </c>
      <c r="B37" s="26" t="s">
        <v>2643</v>
      </c>
      <c r="C37" s="26">
        <v>45937.0</v>
      </c>
      <c r="D37" s="26" t="s">
        <v>337</v>
      </c>
      <c r="E37" s="27"/>
      <c r="F37" s="28"/>
      <c r="G37" s="29"/>
      <c r="H37" s="30">
        <v>5000.0</v>
      </c>
      <c r="I37" s="31"/>
      <c r="J37" s="32"/>
      <c r="K37" s="33"/>
      <c r="L37" s="17">
        <v>5000.0</v>
      </c>
      <c r="M37" s="18">
        <f t="shared" si="1"/>
        <v>0</v>
      </c>
    </row>
    <row r="38">
      <c r="A38" s="41">
        <v>34.0</v>
      </c>
      <c r="B38" s="26" t="s">
        <v>2644</v>
      </c>
      <c r="C38" s="26">
        <v>36555.0</v>
      </c>
      <c r="D38" s="26" t="s">
        <v>172</v>
      </c>
      <c r="E38" s="27"/>
      <c r="F38" s="37"/>
      <c r="G38" s="29"/>
      <c r="H38" s="30">
        <v>3900.0</v>
      </c>
      <c r="I38" s="31"/>
      <c r="J38" s="32"/>
      <c r="K38" s="33"/>
      <c r="L38" s="17">
        <v>3900.0</v>
      </c>
      <c r="M38" s="18">
        <f t="shared" si="1"/>
        <v>0</v>
      </c>
    </row>
    <row r="39">
      <c r="A39" s="41">
        <v>35.0</v>
      </c>
      <c r="B39" s="26" t="s">
        <v>2645</v>
      </c>
      <c r="C39" s="26">
        <v>50221.0</v>
      </c>
      <c r="D39" s="26" t="s">
        <v>252</v>
      </c>
      <c r="E39" s="38"/>
      <c r="F39" s="37"/>
      <c r="G39" s="29"/>
      <c r="H39" s="30">
        <v>223.0</v>
      </c>
      <c r="I39" s="31"/>
      <c r="J39" s="35"/>
      <c r="K39" s="33"/>
      <c r="L39" s="17">
        <v>223.0</v>
      </c>
      <c r="M39" s="18">
        <f t="shared" si="1"/>
        <v>0</v>
      </c>
    </row>
    <row r="40">
      <c r="A40" s="41">
        <v>36.0</v>
      </c>
      <c r="B40" s="26" t="s">
        <v>2646</v>
      </c>
      <c r="C40" s="26">
        <v>22332.0</v>
      </c>
      <c r="D40" s="26" t="s">
        <v>138</v>
      </c>
      <c r="E40" s="27"/>
      <c r="F40" s="37"/>
      <c r="G40" s="29"/>
      <c r="H40" s="30"/>
      <c r="I40" s="31">
        <v>10000.0</v>
      </c>
      <c r="J40" s="32"/>
      <c r="K40" s="33"/>
      <c r="L40" s="17">
        <v>10000.0</v>
      </c>
      <c r="M40" s="18">
        <f t="shared" si="1"/>
        <v>0</v>
      </c>
    </row>
    <row r="41">
      <c r="A41" s="41">
        <v>37.0</v>
      </c>
      <c r="B41" s="26" t="s">
        <v>2647</v>
      </c>
      <c r="C41" s="26">
        <v>44191.0</v>
      </c>
      <c r="D41" s="26" t="s">
        <v>2648</v>
      </c>
      <c r="E41" s="27"/>
      <c r="F41" s="28"/>
      <c r="G41" s="29"/>
      <c r="H41" s="30">
        <v>1200.0</v>
      </c>
      <c r="I41" s="31"/>
      <c r="J41" s="35"/>
      <c r="K41" s="33"/>
      <c r="L41" s="17">
        <v>1200.0</v>
      </c>
      <c r="M41" s="18">
        <f t="shared" si="1"/>
        <v>0</v>
      </c>
    </row>
    <row r="42">
      <c r="A42" s="41">
        <v>38.0</v>
      </c>
      <c r="B42" s="26" t="s">
        <v>2649</v>
      </c>
      <c r="C42" s="26">
        <v>41057.0</v>
      </c>
      <c r="D42" s="26" t="s">
        <v>2650</v>
      </c>
      <c r="E42" s="27"/>
      <c r="F42" s="28"/>
      <c r="G42" s="29"/>
      <c r="H42" s="30">
        <v>3600.0</v>
      </c>
      <c r="I42" s="31"/>
      <c r="J42" s="35"/>
      <c r="K42" s="33"/>
      <c r="L42" s="17">
        <v>3600.0</v>
      </c>
      <c r="M42" s="18">
        <f t="shared" si="1"/>
        <v>0</v>
      </c>
    </row>
    <row r="43">
      <c r="A43" s="41">
        <v>39.0</v>
      </c>
      <c r="B43" s="26" t="s">
        <v>2651</v>
      </c>
      <c r="C43" s="26">
        <v>39286.0</v>
      </c>
      <c r="D43" s="26" t="s">
        <v>1245</v>
      </c>
      <c r="E43" s="27"/>
      <c r="F43" s="37"/>
      <c r="G43" s="29"/>
      <c r="H43" s="30">
        <v>7900.0</v>
      </c>
      <c r="I43" s="36"/>
      <c r="J43" s="32"/>
      <c r="K43" s="33"/>
      <c r="L43" s="17">
        <v>7900.0</v>
      </c>
      <c r="M43" s="18">
        <f t="shared" si="1"/>
        <v>0</v>
      </c>
    </row>
    <row r="44">
      <c r="A44" s="41">
        <v>40.0</v>
      </c>
      <c r="B44" s="26" t="s">
        <v>2652</v>
      </c>
      <c r="C44" s="26">
        <v>39286.0</v>
      </c>
      <c r="D44" s="26" t="s">
        <v>1245</v>
      </c>
      <c r="E44" s="27"/>
      <c r="F44" s="37"/>
      <c r="G44" s="29"/>
      <c r="H44" s="30">
        <v>1200.0</v>
      </c>
      <c r="I44" s="31"/>
      <c r="J44" s="32"/>
      <c r="K44" s="33"/>
      <c r="L44" s="17">
        <v>1200.0</v>
      </c>
      <c r="M44" s="18">
        <f t="shared" si="1"/>
        <v>0</v>
      </c>
    </row>
    <row r="45">
      <c r="A45" s="41">
        <v>41.0</v>
      </c>
      <c r="B45" s="26" t="s">
        <v>2653</v>
      </c>
      <c r="C45" s="26">
        <v>29621.0</v>
      </c>
      <c r="D45" s="26" t="s">
        <v>174</v>
      </c>
      <c r="E45" s="27"/>
      <c r="F45" s="37"/>
      <c r="G45" s="29"/>
      <c r="H45" s="30"/>
      <c r="I45" s="31">
        <v>2650.0</v>
      </c>
      <c r="J45" s="32"/>
      <c r="K45" s="33"/>
      <c r="L45" s="17">
        <v>2650.0</v>
      </c>
      <c r="M45" s="18">
        <f t="shared" si="1"/>
        <v>0</v>
      </c>
    </row>
    <row r="46">
      <c r="A46" s="41">
        <v>42.0</v>
      </c>
      <c r="B46" s="26" t="s">
        <v>2654</v>
      </c>
      <c r="C46" s="26">
        <v>36690.0</v>
      </c>
      <c r="D46" s="26" t="s">
        <v>419</v>
      </c>
      <c r="E46" s="27"/>
      <c r="F46" s="37"/>
      <c r="G46" s="29"/>
      <c r="H46" s="30">
        <v>5000.0</v>
      </c>
      <c r="I46" s="31"/>
      <c r="J46" s="32"/>
      <c r="K46" s="33"/>
      <c r="L46" s="17">
        <v>5000.0</v>
      </c>
      <c r="M46" s="18">
        <f t="shared" si="1"/>
        <v>0</v>
      </c>
    </row>
    <row r="47">
      <c r="A47" s="41">
        <v>43.0</v>
      </c>
      <c r="B47" s="26" t="s">
        <v>2655</v>
      </c>
      <c r="C47" s="26">
        <v>36690.0</v>
      </c>
      <c r="D47" s="26" t="s">
        <v>419</v>
      </c>
      <c r="E47" s="27"/>
      <c r="F47" s="37"/>
      <c r="G47" s="29"/>
      <c r="H47" s="30">
        <v>5000.0</v>
      </c>
      <c r="I47" s="31"/>
      <c r="J47" s="32"/>
      <c r="K47" s="33"/>
      <c r="L47" s="17">
        <v>5000.0</v>
      </c>
      <c r="M47" s="18">
        <f t="shared" si="1"/>
        <v>0</v>
      </c>
    </row>
    <row r="48">
      <c r="A48" s="41">
        <v>44.0</v>
      </c>
      <c r="B48" s="26" t="s">
        <v>2656</v>
      </c>
      <c r="C48" s="26">
        <v>48657.0</v>
      </c>
      <c r="D48" s="26" t="s">
        <v>1663</v>
      </c>
      <c r="E48" s="27"/>
      <c r="F48" s="37"/>
      <c r="G48" s="29"/>
      <c r="H48" s="30">
        <v>2500.0</v>
      </c>
      <c r="I48" s="31"/>
      <c r="J48" s="32"/>
      <c r="K48" s="33"/>
      <c r="L48" s="17">
        <v>2500.0</v>
      </c>
      <c r="M48" s="18">
        <f t="shared" si="1"/>
        <v>0</v>
      </c>
    </row>
    <row r="49">
      <c r="A49" s="41">
        <v>45.0</v>
      </c>
      <c r="B49" s="26" t="s">
        <v>2657</v>
      </c>
      <c r="C49" s="26">
        <v>12102.0</v>
      </c>
      <c r="D49" s="26" t="s">
        <v>345</v>
      </c>
      <c r="E49" s="27"/>
      <c r="F49" s="37"/>
      <c r="G49" s="29"/>
      <c r="H49" s="30">
        <v>1380.0</v>
      </c>
      <c r="I49" s="31"/>
      <c r="J49" s="32"/>
      <c r="K49" s="33"/>
      <c r="L49" s="17">
        <v>1380.0</v>
      </c>
      <c r="M49" s="18">
        <f t="shared" si="1"/>
        <v>0</v>
      </c>
    </row>
    <row r="50">
      <c r="A50" s="41">
        <v>46.0</v>
      </c>
      <c r="B50" s="26" t="s">
        <v>2658</v>
      </c>
      <c r="C50" s="26">
        <v>49754.0</v>
      </c>
      <c r="D50" s="26" t="s">
        <v>2659</v>
      </c>
      <c r="E50" s="27"/>
      <c r="F50" s="37"/>
      <c r="G50" s="29"/>
      <c r="H50" s="30">
        <v>1400.0</v>
      </c>
      <c r="I50" s="31"/>
      <c r="J50" s="32"/>
      <c r="K50" s="33"/>
      <c r="L50" s="17">
        <v>1400.0</v>
      </c>
      <c r="M50" s="18">
        <f t="shared" si="1"/>
        <v>0</v>
      </c>
    </row>
    <row r="51">
      <c r="A51" s="41">
        <v>47.0</v>
      </c>
      <c r="B51" s="26" t="s">
        <v>2660</v>
      </c>
      <c r="C51" s="26">
        <v>31738.0</v>
      </c>
      <c r="D51" s="26" t="s">
        <v>154</v>
      </c>
      <c r="E51" s="27"/>
      <c r="F51" s="37"/>
      <c r="G51" s="29"/>
      <c r="H51" s="30">
        <v>7650.0</v>
      </c>
      <c r="I51" s="31"/>
      <c r="J51" s="32"/>
      <c r="K51" s="33"/>
      <c r="L51" s="17">
        <v>7650.0</v>
      </c>
      <c r="M51" s="18">
        <f t="shared" si="1"/>
        <v>0</v>
      </c>
    </row>
    <row r="52">
      <c r="A52" s="41">
        <v>48.0</v>
      </c>
      <c r="B52" s="26" t="s">
        <v>2661</v>
      </c>
      <c r="C52" s="26">
        <v>45448.0</v>
      </c>
      <c r="D52" s="26" t="s">
        <v>2662</v>
      </c>
      <c r="E52" s="27"/>
      <c r="F52" s="37"/>
      <c r="G52" s="29"/>
      <c r="H52" s="30"/>
      <c r="I52" s="31">
        <v>2250.0</v>
      </c>
      <c r="J52" s="32"/>
      <c r="K52" s="33"/>
      <c r="L52" s="17">
        <v>2250.0</v>
      </c>
      <c r="M52" s="18">
        <f t="shared" si="1"/>
        <v>0</v>
      </c>
    </row>
    <row r="53">
      <c r="A53" s="41">
        <v>49.0</v>
      </c>
      <c r="B53" s="26" t="s">
        <v>2663</v>
      </c>
      <c r="C53" s="26">
        <v>44810.0</v>
      </c>
      <c r="D53" s="26" t="s">
        <v>2664</v>
      </c>
      <c r="E53" s="27"/>
      <c r="F53" s="37"/>
      <c r="G53" s="29"/>
      <c r="H53" s="30"/>
      <c r="I53" s="31">
        <v>2850.0</v>
      </c>
      <c r="J53" s="32"/>
      <c r="K53" s="33"/>
      <c r="L53" s="17">
        <v>2850.0</v>
      </c>
      <c r="M53" s="18">
        <f t="shared" si="1"/>
        <v>0</v>
      </c>
    </row>
    <row r="54">
      <c r="A54" s="41">
        <v>50.0</v>
      </c>
      <c r="B54" s="26" t="s">
        <v>2665</v>
      </c>
      <c r="C54" s="26">
        <v>37242.0</v>
      </c>
      <c r="D54" s="26" t="s">
        <v>2666</v>
      </c>
      <c r="E54" s="27"/>
      <c r="F54" s="37"/>
      <c r="G54" s="29"/>
      <c r="H54" s="30"/>
      <c r="I54" s="31">
        <v>3700.0</v>
      </c>
      <c r="J54" s="32"/>
      <c r="K54" s="33"/>
      <c r="L54" s="17">
        <v>3700.0</v>
      </c>
      <c r="M54" s="18">
        <f t="shared" si="1"/>
        <v>0</v>
      </c>
    </row>
    <row r="55">
      <c r="A55" s="41">
        <v>51.0</v>
      </c>
      <c r="B55" s="26" t="s">
        <v>2667</v>
      </c>
      <c r="C55" s="26">
        <v>46210.0</v>
      </c>
      <c r="D55" s="26" t="s">
        <v>1764</v>
      </c>
      <c r="E55" s="27"/>
      <c r="F55" s="37"/>
      <c r="G55" s="29"/>
      <c r="H55" s="30">
        <v>1400.0</v>
      </c>
      <c r="I55" s="31"/>
      <c r="J55" s="32"/>
      <c r="K55" s="33"/>
      <c r="L55" s="17">
        <v>1400.0</v>
      </c>
      <c r="M55" s="18">
        <f t="shared" si="1"/>
        <v>0</v>
      </c>
    </row>
    <row r="56">
      <c r="A56" s="41">
        <v>52.0</v>
      </c>
      <c r="B56" s="26" t="s">
        <v>2668</v>
      </c>
      <c r="C56" s="26">
        <v>50596.0</v>
      </c>
      <c r="D56" s="26" t="s">
        <v>493</v>
      </c>
      <c r="E56" s="27"/>
      <c r="F56" s="37"/>
      <c r="G56" s="29"/>
      <c r="H56" s="30">
        <v>33350.0</v>
      </c>
      <c r="I56" s="31"/>
      <c r="J56" s="32"/>
      <c r="K56" s="33"/>
      <c r="L56" s="17">
        <v>33350.0</v>
      </c>
      <c r="M56" s="18">
        <f t="shared" si="1"/>
        <v>0</v>
      </c>
    </row>
    <row r="57">
      <c r="A57" s="41">
        <v>53.0</v>
      </c>
      <c r="B57" s="26" t="s">
        <v>2669</v>
      </c>
      <c r="C57" s="26">
        <v>50474.0</v>
      </c>
      <c r="D57" s="26" t="s">
        <v>179</v>
      </c>
      <c r="E57" s="27"/>
      <c r="F57" s="37"/>
      <c r="G57" s="29"/>
      <c r="H57" s="30">
        <v>30000.0</v>
      </c>
      <c r="I57" s="31"/>
      <c r="J57" s="32"/>
      <c r="K57" s="33"/>
      <c r="L57" s="17">
        <v>30000.0</v>
      </c>
      <c r="M57" s="18">
        <f t="shared" si="1"/>
        <v>0</v>
      </c>
    </row>
    <row r="58">
      <c r="A58" s="41">
        <v>54.0</v>
      </c>
      <c r="B58" s="26" t="s">
        <v>2670</v>
      </c>
      <c r="C58" s="26">
        <v>13781.0</v>
      </c>
      <c r="D58" s="26" t="s">
        <v>278</v>
      </c>
      <c r="E58" s="27"/>
      <c r="F58" s="37"/>
      <c r="G58" s="29"/>
      <c r="H58" s="30">
        <v>15900.0</v>
      </c>
      <c r="I58" s="31"/>
      <c r="J58" s="32"/>
      <c r="K58" s="33"/>
      <c r="L58" s="17">
        <v>15900.0</v>
      </c>
      <c r="M58" s="18">
        <f t="shared" si="1"/>
        <v>0</v>
      </c>
    </row>
    <row r="59">
      <c r="A59" s="41">
        <v>55.0</v>
      </c>
      <c r="B59" s="26" t="s">
        <v>2671</v>
      </c>
      <c r="C59" s="26">
        <v>39317.0</v>
      </c>
      <c r="D59" s="26" t="s">
        <v>84</v>
      </c>
      <c r="E59" s="27"/>
      <c r="F59" s="37"/>
      <c r="G59" s="29"/>
      <c r="H59" s="30"/>
      <c r="I59" s="31">
        <v>850.0</v>
      </c>
      <c r="J59" s="32"/>
      <c r="K59" s="33"/>
      <c r="L59" s="17">
        <v>850.0</v>
      </c>
      <c r="M59" s="18">
        <f t="shared" si="1"/>
        <v>0</v>
      </c>
    </row>
    <row r="60">
      <c r="A60" s="41">
        <v>56.0</v>
      </c>
      <c r="B60" s="26" t="s">
        <v>2672</v>
      </c>
      <c r="C60" s="26">
        <v>56713.0</v>
      </c>
      <c r="D60" s="26" t="s">
        <v>2626</v>
      </c>
      <c r="E60" s="27"/>
      <c r="F60" s="37"/>
      <c r="G60" s="29"/>
      <c r="H60" s="30"/>
      <c r="I60" s="31">
        <v>15000.0</v>
      </c>
      <c r="J60" s="32"/>
      <c r="K60" s="33"/>
      <c r="L60" s="17">
        <v>15000.0</v>
      </c>
      <c r="M60" s="18">
        <f t="shared" si="1"/>
        <v>0</v>
      </c>
    </row>
    <row r="61">
      <c r="A61" s="41">
        <v>57.0</v>
      </c>
      <c r="B61" s="26" t="s">
        <v>2673</v>
      </c>
      <c r="C61" s="26">
        <v>10001.0</v>
      </c>
      <c r="D61" s="26" t="s">
        <v>218</v>
      </c>
      <c r="E61" s="27"/>
      <c r="F61" s="37"/>
      <c r="G61" s="29"/>
      <c r="H61" s="30">
        <v>15000.0</v>
      </c>
      <c r="I61" s="31"/>
      <c r="J61" s="32"/>
      <c r="K61" s="33"/>
      <c r="L61" s="17">
        <v>15000.0</v>
      </c>
      <c r="M61" s="18">
        <f t="shared" si="1"/>
        <v>0</v>
      </c>
    </row>
    <row r="62">
      <c r="A62" s="41">
        <v>58.0</v>
      </c>
      <c r="B62" s="26" t="s">
        <v>2674</v>
      </c>
      <c r="C62" s="26">
        <v>30933.0</v>
      </c>
      <c r="D62" s="26" t="s">
        <v>976</v>
      </c>
      <c r="E62" s="38"/>
      <c r="F62" s="37"/>
      <c r="G62" s="29"/>
      <c r="H62" s="30">
        <v>136800.0</v>
      </c>
      <c r="I62" s="31"/>
      <c r="J62" s="32"/>
      <c r="K62" s="33"/>
      <c r="L62" s="17">
        <v>136800.0</v>
      </c>
      <c r="M62" s="18">
        <f t="shared" si="1"/>
        <v>0</v>
      </c>
    </row>
    <row r="63">
      <c r="A63" s="41">
        <v>59.0</v>
      </c>
      <c r="B63" s="26" t="s">
        <v>2675</v>
      </c>
      <c r="C63" s="26">
        <v>25541.0</v>
      </c>
      <c r="D63" s="26" t="s">
        <v>1042</v>
      </c>
      <c r="E63" s="27"/>
      <c r="F63" s="37">
        <v>2500.0</v>
      </c>
      <c r="G63" s="29"/>
      <c r="H63" s="30"/>
      <c r="I63" s="31"/>
      <c r="J63" s="32"/>
      <c r="K63" s="33"/>
      <c r="L63" s="17">
        <v>2500.0</v>
      </c>
      <c r="M63" s="18">
        <f t="shared" si="1"/>
        <v>0</v>
      </c>
    </row>
    <row r="64">
      <c r="A64" s="41">
        <v>60.0</v>
      </c>
      <c r="B64" s="26" t="s">
        <v>2676</v>
      </c>
      <c r="C64" s="26">
        <v>50557.0</v>
      </c>
      <c r="D64" s="26" t="s">
        <v>94</v>
      </c>
      <c r="E64" s="27"/>
      <c r="F64" s="37"/>
      <c r="G64" s="29"/>
      <c r="H64" s="30">
        <v>5000.0</v>
      </c>
      <c r="I64" s="31"/>
      <c r="J64" s="32"/>
      <c r="K64" s="33"/>
      <c r="L64" s="17">
        <v>5000.0</v>
      </c>
      <c r="M64" s="18">
        <f t="shared" si="1"/>
        <v>0</v>
      </c>
    </row>
    <row r="65">
      <c r="A65" s="41">
        <v>61.0</v>
      </c>
      <c r="B65" s="26" t="s">
        <v>2677</v>
      </c>
      <c r="C65" s="26">
        <v>24503.0</v>
      </c>
      <c r="D65" s="26" t="s">
        <v>2678</v>
      </c>
      <c r="E65" s="27"/>
      <c r="F65" s="37"/>
      <c r="G65" s="29"/>
      <c r="H65" s="30">
        <v>3600.0</v>
      </c>
      <c r="I65" s="31"/>
      <c r="J65" s="32"/>
      <c r="K65" s="33"/>
      <c r="L65" s="17">
        <v>3600.0</v>
      </c>
      <c r="M65" s="18">
        <f t="shared" si="1"/>
        <v>0</v>
      </c>
    </row>
    <row r="66">
      <c r="A66" s="41">
        <v>62.0</v>
      </c>
      <c r="B66" s="26" t="s">
        <v>2679</v>
      </c>
      <c r="C66" s="26">
        <v>56908.0</v>
      </c>
      <c r="D66" s="26" t="s">
        <v>1780</v>
      </c>
      <c r="E66" s="27"/>
      <c r="F66" s="37"/>
      <c r="G66" s="29"/>
      <c r="H66" s="30">
        <v>2450.0</v>
      </c>
      <c r="I66" s="31"/>
      <c r="J66" s="32"/>
      <c r="K66" s="33"/>
      <c r="L66" s="17">
        <v>2450.0</v>
      </c>
      <c r="M66" s="18">
        <f t="shared" si="1"/>
        <v>0</v>
      </c>
    </row>
    <row r="67">
      <c r="A67" s="41">
        <v>63.0</v>
      </c>
      <c r="B67" s="26" t="s">
        <v>2680</v>
      </c>
      <c r="C67" s="26">
        <v>22332.0</v>
      </c>
      <c r="D67" s="26" t="s">
        <v>138</v>
      </c>
      <c r="E67" s="27"/>
      <c r="F67" s="37"/>
      <c r="G67" s="29"/>
      <c r="H67" s="30">
        <v>2650.0</v>
      </c>
      <c r="I67" s="31"/>
      <c r="J67" s="32"/>
      <c r="K67" s="33"/>
      <c r="L67" s="17">
        <v>2650.0</v>
      </c>
      <c r="M67" s="18">
        <f t="shared" si="1"/>
        <v>0</v>
      </c>
    </row>
    <row r="68">
      <c r="A68" s="41">
        <v>64.0</v>
      </c>
      <c r="B68" s="26" t="s">
        <v>2681</v>
      </c>
      <c r="C68" s="26">
        <v>10001.0</v>
      </c>
      <c r="D68" s="26" t="s">
        <v>218</v>
      </c>
      <c r="E68" s="27"/>
      <c r="F68" s="37"/>
      <c r="G68" s="29"/>
      <c r="H68" s="30"/>
      <c r="I68" s="31">
        <v>25000.0</v>
      </c>
      <c r="J68" s="32"/>
      <c r="K68" s="33"/>
      <c r="L68" s="17">
        <v>25000.0</v>
      </c>
      <c r="M68" s="18">
        <f t="shared" si="1"/>
        <v>0</v>
      </c>
    </row>
    <row r="69">
      <c r="A69" s="41">
        <v>65.0</v>
      </c>
      <c r="B69" s="26" t="s">
        <v>2682</v>
      </c>
      <c r="C69" s="26">
        <v>57087.0</v>
      </c>
      <c r="D69" s="26" t="s">
        <v>2683</v>
      </c>
      <c r="E69" s="38">
        <v>27000.0</v>
      </c>
      <c r="F69" s="37"/>
      <c r="G69" s="29"/>
      <c r="H69" s="30"/>
      <c r="I69" s="31"/>
      <c r="J69" s="35"/>
      <c r="K69" s="33"/>
      <c r="L69" s="17">
        <v>27000.0</v>
      </c>
      <c r="M69" s="18">
        <f t="shared" si="1"/>
        <v>0</v>
      </c>
    </row>
    <row r="70">
      <c r="A70" s="41">
        <v>66.0</v>
      </c>
      <c r="B70" s="26" t="s">
        <v>2684</v>
      </c>
      <c r="C70" s="26">
        <v>22332.0</v>
      </c>
      <c r="D70" s="26" t="s">
        <v>138</v>
      </c>
      <c r="E70" s="27"/>
      <c r="F70" s="37"/>
      <c r="G70" s="29"/>
      <c r="H70" s="30">
        <v>1500.0</v>
      </c>
      <c r="I70" s="31"/>
      <c r="J70" s="32"/>
      <c r="K70" s="33"/>
      <c r="L70" s="17">
        <v>1500.0</v>
      </c>
      <c r="M70" s="18">
        <f t="shared" si="1"/>
        <v>0</v>
      </c>
    </row>
    <row r="71">
      <c r="A71" s="41">
        <v>67.0</v>
      </c>
      <c r="B71" s="26" t="s">
        <v>2685</v>
      </c>
      <c r="C71" s="26">
        <v>52669.0</v>
      </c>
      <c r="D71" s="26" t="s">
        <v>2479</v>
      </c>
      <c r="E71" s="27"/>
      <c r="F71" s="37"/>
      <c r="G71" s="29"/>
      <c r="H71" s="30">
        <v>3400.0</v>
      </c>
      <c r="I71" s="31"/>
      <c r="J71" s="32"/>
      <c r="K71" s="33"/>
      <c r="L71" s="17">
        <v>3400.0</v>
      </c>
      <c r="M71" s="18">
        <f t="shared" si="1"/>
        <v>0</v>
      </c>
    </row>
    <row r="72">
      <c r="A72" s="41">
        <v>68.0</v>
      </c>
      <c r="B72" s="26" t="s">
        <v>2686</v>
      </c>
      <c r="C72" s="26">
        <v>51743.0</v>
      </c>
      <c r="D72" s="26" t="s">
        <v>2058</v>
      </c>
      <c r="E72" s="27"/>
      <c r="F72" s="37"/>
      <c r="G72" s="29"/>
      <c r="H72" s="30"/>
      <c r="I72" s="31">
        <v>5000.0</v>
      </c>
      <c r="J72" s="32"/>
      <c r="K72" s="33"/>
      <c r="L72" s="17">
        <v>5000.0</v>
      </c>
      <c r="M72" s="18">
        <f t="shared" si="1"/>
        <v>0</v>
      </c>
    </row>
    <row r="73">
      <c r="A73" s="41">
        <v>69.0</v>
      </c>
      <c r="B73" s="26" t="s">
        <v>2687</v>
      </c>
      <c r="C73" s="26">
        <v>51976.0</v>
      </c>
      <c r="D73" s="26" t="s">
        <v>412</v>
      </c>
      <c r="E73" s="27"/>
      <c r="F73" s="37"/>
      <c r="G73" s="29"/>
      <c r="H73" s="30"/>
      <c r="I73" s="31">
        <v>5000.0</v>
      </c>
      <c r="J73" s="32"/>
      <c r="K73" s="33"/>
      <c r="L73" s="17">
        <v>5000.0</v>
      </c>
      <c r="M73" s="18">
        <f t="shared" si="1"/>
        <v>0</v>
      </c>
    </row>
    <row r="74">
      <c r="A74" s="41">
        <v>70.0</v>
      </c>
      <c r="B74" s="26" t="s">
        <v>2688</v>
      </c>
      <c r="C74" s="26">
        <v>53548.0</v>
      </c>
      <c r="D74" s="26" t="s">
        <v>2689</v>
      </c>
      <c r="E74" s="27"/>
      <c r="F74" s="37"/>
      <c r="G74" s="29"/>
      <c r="H74" s="30"/>
      <c r="I74" s="31">
        <v>5000.0</v>
      </c>
      <c r="J74" s="32"/>
      <c r="K74" s="33"/>
      <c r="L74" s="17">
        <v>5000.0</v>
      </c>
      <c r="M74" s="18">
        <f t="shared" si="1"/>
        <v>0</v>
      </c>
    </row>
    <row r="75">
      <c r="A75" s="41">
        <v>71.0</v>
      </c>
      <c r="B75" s="26" t="s">
        <v>2690</v>
      </c>
      <c r="C75" s="26">
        <v>57785.0</v>
      </c>
      <c r="D75" s="26" t="s">
        <v>2691</v>
      </c>
      <c r="E75" s="27"/>
      <c r="F75" s="37"/>
      <c r="G75" s="29"/>
      <c r="H75" s="30"/>
      <c r="I75" s="31">
        <v>27000.0</v>
      </c>
      <c r="J75" s="32"/>
      <c r="K75" s="33"/>
      <c r="L75" s="17">
        <v>27000.0</v>
      </c>
      <c r="M75" s="18">
        <f t="shared" si="1"/>
        <v>0</v>
      </c>
    </row>
    <row r="76">
      <c r="A76" s="41">
        <v>72.0</v>
      </c>
      <c r="B76" s="26" t="s">
        <v>2692</v>
      </c>
      <c r="C76" s="26">
        <v>42046.0</v>
      </c>
      <c r="D76" s="26" t="s">
        <v>24</v>
      </c>
      <c r="E76" s="27"/>
      <c r="F76" s="37"/>
      <c r="G76" s="29"/>
      <c r="H76" s="30">
        <v>10000.0</v>
      </c>
      <c r="I76" s="31"/>
      <c r="J76" s="32"/>
      <c r="K76" s="33"/>
      <c r="L76" s="17">
        <v>10000.0</v>
      </c>
      <c r="M76" s="18">
        <f t="shared" si="1"/>
        <v>0</v>
      </c>
    </row>
    <row r="77">
      <c r="A77" s="41">
        <v>73.0</v>
      </c>
      <c r="B77" s="26" t="s">
        <v>2693</v>
      </c>
      <c r="C77" s="26">
        <v>55886.0</v>
      </c>
      <c r="D77" s="26" t="s">
        <v>2694</v>
      </c>
      <c r="E77" s="27"/>
      <c r="F77" s="37"/>
      <c r="G77" s="29"/>
      <c r="H77" s="30">
        <v>150.0</v>
      </c>
      <c r="I77" s="31"/>
      <c r="J77" s="32"/>
      <c r="K77" s="33"/>
      <c r="L77" s="17">
        <v>150.0</v>
      </c>
      <c r="M77" s="18">
        <f t="shared" si="1"/>
        <v>0</v>
      </c>
    </row>
    <row r="78">
      <c r="A78" s="41">
        <v>74.0</v>
      </c>
      <c r="B78" s="26" t="s">
        <v>2695</v>
      </c>
      <c r="C78" s="26">
        <v>25541.0</v>
      </c>
      <c r="D78" s="26" t="s">
        <v>1042</v>
      </c>
      <c r="E78" s="27"/>
      <c r="F78" s="37">
        <v>8700.0</v>
      </c>
      <c r="G78" s="29"/>
      <c r="H78" s="30"/>
      <c r="I78" s="31"/>
      <c r="J78" s="32"/>
      <c r="K78" s="33"/>
      <c r="L78" s="17">
        <v>8700.0</v>
      </c>
      <c r="M78" s="18">
        <f t="shared" si="1"/>
        <v>0</v>
      </c>
    </row>
    <row r="79">
      <c r="A79" s="41">
        <v>75.0</v>
      </c>
      <c r="B79" s="26" t="s">
        <v>2696</v>
      </c>
      <c r="C79" s="26">
        <v>25541.0</v>
      </c>
      <c r="D79" s="26" t="s">
        <v>1042</v>
      </c>
      <c r="E79" s="27"/>
      <c r="F79" s="37">
        <v>29000.0</v>
      </c>
      <c r="G79" s="29"/>
      <c r="H79" s="30"/>
      <c r="I79" s="31"/>
      <c r="J79" s="32"/>
      <c r="K79" s="33"/>
      <c r="L79" s="17">
        <v>29000.0</v>
      </c>
      <c r="M79" s="18">
        <f t="shared" si="1"/>
        <v>0</v>
      </c>
    </row>
    <row r="80">
      <c r="A80" s="41">
        <v>76.0</v>
      </c>
      <c r="B80" s="26" t="s">
        <v>2697</v>
      </c>
      <c r="C80" s="26">
        <v>52993.0</v>
      </c>
      <c r="D80" s="26" t="s">
        <v>794</v>
      </c>
      <c r="E80" s="27"/>
      <c r="F80" s="37">
        <v>1200.0</v>
      </c>
      <c r="G80" s="29"/>
      <c r="H80" s="30"/>
      <c r="I80" s="31"/>
      <c r="J80" s="32"/>
      <c r="K80" s="33"/>
      <c r="L80" s="17">
        <v>1200.0</v>
      </c>
      <c r="M80" s="18">
        <f t="shared" si="1"/>
        <v>0</v>
      </c>
    </row>
    <row r="81">
      <c r="A81" s="41">
        <v>77.0</v>
      </c>
      <c r="B81" s="26" t="s">
        <v>2698</v>
      </c>
      <c r="C81" s="26">
        <v>46448.0</v>
      </c>
      <c r="D81" s="26" t="s">
        <v>2699</v>
      </c>
      <c r="E81" s="27"/>
      <c r="F81" s="37"/>
      <c r="G81" s="29"/>
      <c r="H81" s="30"/>
      <c r="I81" s="31">
        <v>3600.0</v>
      </c>
      <c r="J81" s="32"/>
      <c r="K81" s="33"/>
      <c r="L81" s="17">
        <v>3600.0</v>
      </c>
      <c r="M81" s="18">
        <f t="shared" si="1"/>
        <v>0</v>
      </c>
    </row>
    <row r="82">
      <c r="A82" s="41">
        <v>78.0</v>
      </c>
      <c r="B82" s="26" t="s">
        <v>2700</v>
      </c>
      <c r="C82" s="26">
        <v>10001.0</v>
      </c>
      <c r="D82" s="26" t="s">
        <v>218</v>
      </c>
      <c r="E82" s="27"/>
      <c r="F82" s="37"/>
      <c r="G82" s="29"/>
      <c r="H82" s="30">
        <v>10000.0</v>
      </c>
      <c r="I82" s="31"/>
      <c r="J82" s="32"/>
      <c r="K82" s="33"/>
      <c r="L82" s="17">
        <v>10000.0</v>
      </c>
      <c r="M82" s="18">
        <f t="shared" si="1"/>
        <v>0</v>
      </c>
    </row>
    <row r="83">
      <c r="A83" s="41">
        <v>79.0</v>
      </c>
      <c r="B83" s="26" t="s">
        <v>2701</v>
      </c>
      <c r="C83" s="26">
        <v>46447.0</v>
      </c>
      <c r="D83" s="26" t="s">
        <v>2702</v>
      </c>
      <c r="E83" s="27"/>
      <c r="F83" s="37"/>
      <c r="G83" s="29"/>
      <c r="H83" s="30"/>
      <c r="I83" s="31">
        <v>3600.0</v>
      </c>
      <c r="J83" s="32"/>
      <c r="K83" s="33"/>
      <c r="L83" s="17">
        <v>3600.0</v>
      </c>
      <c r="M83" s="18">
        <f t="shared" si="1"/>
        <v>0</v>
      </c>
    </row>
    <row r="84">
      <c r="A84" s="41">
        <v>80.0</v>
      </c>
      <c r="B84" s="26" t="s">
        <v>2703</v>
      </c>
      <c r="C84" s="26">
        <v>55854.0</v>
      </c>
      <c r="D84" s="26" t="s">
        <v>1932</v>
      </c>
      <c r="E84" s="27"/>
      <c r="F84" s="37"/>
      <c r="G84" s="29"/>
      <c r="H84" s="30">
        <v>1400.0</v>
      </c>
      <c r="I84" s="31"/>
      <c r="J84" s="32"/>
      <c r="K84" s="33"/>
      <c r="L84" s="17">
        <v>1400.0</v>
      </c>
      <c r="M84" s="18">
        <f t="shared" si="1"/>
        <v>0</v>
      </c>
    </row>
    <row r="85">
      <c r="A85" s="41">
        <v>81.0</v>
      </c>
      <c r="B85" s="26" t="s">
        <v>2704</v>
      </c>
      <c r="C85" s="26">
        <v>55969.0</v>
      </c>
      <c r="D85" s="26" t="s">
        <v>2705</v>
      </c>
      <c r="E85" s="27"/>
      <c r="F85" s="37"/>
      <c r="G85" s="29"/>
      <c r="H85" s="30">
        <v>42500.0</v>
      </c>
      <c r="I85" s="31"/>
      <c r="J85" s="32"/>
      <c r="K85" s="33"/>
      <c r="L85" s="17">
        <v>42500.0</v>
      </c>
      <c r="M85" s="18">
        <f t="shared" si="1"/>
        <v>0</v>
      </c>
    </row>
    <row r="86">
      <c r="A86" s="41">
        <v>82.0</v>
      </c>
      <c r="B86" s="26" t="s">
        <v>2706</v>
      </c>
      <c r="C86" s="26">
        <v>57845.0</v>
      </c>
      <c r="D86" s="26" t="s">
        <v>2707</v>
      </c>
      <c r="E86" s="27"/>
      <c r="F86" s="37"/>
      <c r="G86" s="29"/>
      <c r="H86" s="30">
        <v>27000.0</v>
      </c>
      <c r="I86" s="31"/>
      <c r="J86" s="32"/>
      <c r="K86" s="33"/>
      <c r="L86" s="17">
        <v>27000.0</v>
      </c>
      <c r="M86" s="18">
        <f t="shared" si="1"/>
        <v>0</v>
      </c>
    </row>
    <row r="87">
      <c r="A87" s="41">
        <v>83.0</v>
      </c>
      <c r="B87" s="26" t="s">
        <v>2708</v>
      </c>
      <c r="C87" s="26">
        <v>10008.0</v>
      </c>
      <c r="D87" s="26" t="s">
        <v>78</v>
      </c>
      <c r="E87" s="27"/>
      <c r="F87" s="37"/>
      <c r="G87" s="29"/>
      <c r="H87" s="30">
        <v>15300.0</v>
      </c>
      <c r="I87" s="31"/>
      <c r="J87" s="32"/>
      <c r="K87" s="33"/>
      <c r="L87" s="17">
        <v>15300.0</v>
      </c>
      <c r="M87" s="18">
        <f t="shared" si="1"/>
        <v>0</v>
      </c>
    </row>
    <row r="88">
      <c r="A88" s="41">
        <v>84.0</v>
      </c>
      <c r="B88" s="26" t="s">
        <v>2709</v>
      </c>
      <c r="C88" s="26">
        <v>51017.0</v>
      </c>
      <c r="D88" s="26" t="s">
        <v>659</v>
      </c>
      <c r="E88" s="27"/>
      <c r="F88" s="37"/>
      <c r="G88" s="39">
        <v>30000.0</v>
      </c>
      <c r="H88" s="30"/>
      <c r="I88" s="31"/>
      <c r="J88" s="32"/>
      <c r="K88" s="33"/>
      <c r="L88" s="17">
        <v>30000.0</v>
      </c>
      <c r="M88" s="18">
        <f t="shared" si="1"/>
        <v>0</v>
      </c>
    </row>
    <row r="89">
      <c r="A89" s="41">
        <v>85.0</v>
      </c>
      <c r="B89" s="26" t="s">
        <v>2710</v>
      </c>
      <c r="C89" s="26">
        <v>55179.0</v>
      </c>
      <c r="D89" s="26" t="s">
        <v>662</v>
      </c>
      <c r="E89" s="27"/>
      <c r="F89" s="37"/>
      <c r="G89" s="39">
        <v>30000.0</v>
      </c>
      <c r="H89" s="30"/>
      <c r="I89" s="31"/>
      <c r="J89" s="32"/>
      <c r="K89" s="33"/>
      <c r="L89" s="17">
        <v>30000.0</v>
      </c>
      <c r="M89" s="18">
        <f t="shared" si="1"/>
        <v>0</v>
      </c>
    </row>
    <row r="90">
      <c r="A90" s="41">
        <v>86.0</v>
      </c>
      <c r="B90" s="26" t="s">
        <v>2711</v>
      </c>
      <c r="C90" s="26">
        <v>50221.0</v>
      </c>
      <c r="D90" s="26" t="s">
        <v>252</v>
      </c>
      <c r="E90" s="38"/>
      <c r="F90" s="37"/>
      <c r="G90" s="39">
        <v>2500.0</v>
      </c>
      <c r="H90" s="30"/>
      <c r="I90" s="31"/>
      <c r="J90" s="32"/>
      <c r="K90" s="33"/>
      <c r="L90" s="17">
        <v>2500.0</v>
      </c>
      <c r="M90" s="18">
        <f t="shared" si="1"/>
        <v>0</v>
      </c>
    </row>
    <row r="91">
      <c r="A91" s="41">
        <v>87.0</v>
      </c>
      <c r="B91" s="26" t="s">
        <v>2712</v>
      </c>
      <c r="C91" s="26">
        <v>51802.0</v>
      </c>
      <c r="D91" s="26" t="s">
        <v>760</v>
      </c>
      <c r="E91" s="27"/>
      <c r="F91" s="37"/>
      <c r="G91" s="39">
        <v>850.0</v>
      </c>
      <c r="H91" s="30"/>
      <c r="I91" s="31"/>
      <c r="J91" s="32"/>
      <c r="K91" s="33"/>
      <c r="L91" s="17">
        <v>850.0</v>
      </c>
      <c r="M91" s="18">
        <f t="shared" si="1"/>
        <v>0</v>
      </c>
    </row>
    <row r="92">
      <c r="A92" s="41">
        <v>88.0</v>
      </c>
      <c r="B92" s="26" t="s">
        <v>2713</v>
      </c>
      <c r="C92" s="26">
        <v>50148.0</v>
      </c>
      <c r="D92" s="26" t="s">
        <v>244</v>
      </c>
      <c r="E92" s="27"/>
      <c r="F92" s="37"/>
      <c r="G92" s="39">
        <v>10000.0</v>
      </c>
      <c r="H92" s="30"/>
      <c r="I92" s="31"/>
      <c r="J92" s="32"/>
      <c r="K92" s="33"/>
      <c r="L92" s="17">
        <v>10000.0</v>
      </c>
      <c r="M92" s="18">
        <f t="shared" si="1"/>
        <v>0</v>
      </c>
    </row>
    <row r="93">
      <c r="A93" s="41">
        <v>89.0</v>
      </c>
      <c r="B93" s="26" t="s">
        <v>2714</v>
      </c>
      <c r="C93" s="26">
        <v>49918.0</v>
      </c>
      <c r="D93" s="26" t="s">
        <v>114</v>
      </c>
      <c r="E93" s="27"/>
      <c r="F93" s="37"/>
      <c r="G93" s="39">
        <v>1750.0</v>
      </c>
      <c r="H93" s="30"/>
      <c r="I93" s="31"/>
      <c r="J93" s="32"/>
      <c r="K93" s="33"/>
      <c r="L93" s="17">
        <v>1750.0</v>
      </c>
      <c r="M93" s="18">
        <f t="shared" si="1"/>
        <v>0</v>
      </c>
    </row>
    <row r="94" hidden="1">
      <c r="A94" s="41">
        <v>90.0</v>
      </c>
      <c r="B94" s="46"/>
      <c r="C94" s="46"/>
      <c r="D94" s="46"/>
      <c r="E94" s="27"/>
      <c r="F94" s="37"/>
      <c r="G94" s="29"/>
      <c r="H94" s="30"/>
      <c r="I94" s="31"/>
      <c r="J94" s="35"/>
      <c r="K94" s="33"/>
      <c r="L94" s="47"/>
      <c r="M94" s="18">
        <f t="shared" si="1"/>
        <v>0</v>
      </c>
    </row>
    <row r="95" hidden="1">
      <c r="A95" s="41">
        <v>91.0</v>
      </c>
      <c r="B95" s="46"/>
      <c r="C95" s="46"/>
      <c r="D95" s="46"/>
      <c r="E95" s="27"/>
      <c r="F95" s="37"/>
      <c r="G95" s="39"/>
      <c r="H95" s="30"/>
      <c r="I95" s="31"/>
      <c r="J95" s="32"/>
      <c r="K95" s="33"/>
      <c r="L95" s="47"/>
      <c r="M95" s="18">
        <f t="shared" si="1"/>
        <v>0</v>
      </c>
    </row>
    <row r="96" hidden="1">
      <c r="A96" s="41">
        <v>92.0</v>
      </c>
      <c r="B96" s="46"/>
      <c r="C96" s="46"/>
      <c r="D96" s="46"/>
      <c r="E96" s="27"/>
      <c r="F96" s="37"/>
      <c r="G96" s="39"/>
      <c r="H96" s="30"/>
      <c r="I96" s="31"/>
      <c r="J96" s="32"/>
      <c r="K96" s="33"/>
      <c r="L96" s="47"/>
      <c r="M96" s="18">
        <f t="shared" si="1"/>
        <v>0</v>
      </c>
    </row>
    <row r="97" hidden="1">
      <c r="A97" s="41">
        <v>93.0</v>
      </c>
      <c r="B97" s="46"/>
      <c r="C97" s="46"/>
      <c r="D97" s="46"/>
      <c r="E97" s="38"/>
      <c r="F97" s="28"/>
      <c r="G97" s="39"/>
      <c r="H97" s="30"/>
      <c r="I97" s="31"/>
      <c r="J97" s="32"/>
      <c r="K97" s="33"/>
      <c r="L97" s="47"/>
      <c r="M97" s="18">
        <f t="shared" si="1"/>
        <v>0</v>
      </c>
    </row>
    <row r="98" hidden="1">
      <c r="A98" s="41">
        <v>97.0</v>
      </c>
      <c r="B98" s="46"/>
      <c r="C98" s="46"/>
      <c r="D98" s="46"/>
      <c r="E98" s="27"/>
      <c r="F98" s="28"/>
      <c r="G98" s="29"/>
      <c r="H98" s="30"/>
      <c r="I98" s="31"/>
      <c r="J98" s="32"/>
      <c r="K98" s="33"/>
      <c r="L98" s="47"/>
      <c r="M98" s="18">
        <f t="shared" si="1"/>
        <v>0</v>
      </c>
    </row>
    <row r="99" hidden="1">
      <c r="A99" s="41">
        <v>98.0</v>
      </c>
      <c r="B99" s="46"/>
      <c r="C99" s="46"/>
      <c r="D99" s="46"/>
      <c r="E99" s="38"/>
      <c r="F99" s="28"/>
      <c r="G99" s="29"/>
      <c r="H99" s="30"/>
      <c r="I99" s="31"/>
      <c r="J99" s="32"/>
      <c r="K99" s="33"/>
      <c r="L99" s="47"/>
      <c r="M99" s="18">
        <f t="shared" si="1"/>
        <v>0</v>
      </c>
    </row>
    <row r="100" hidden="1">
      <c r="A100" s="41">
        <v>99.0</v>
      </c>
      <c r="B100" s="46"/>
      <c r="C100" s="46"/>
      <c r="D100" s="46"/>
      <c r="E100" s="27"/>
      <c r="F100" s="37"/>
      <c r="G100" s="29"/>
      <c r="H100" s="30"/>
      <c r="I100" s="31"/>
      <c r="J100" s="32"/>
      <c r="K100" s="33"/>
      <c r="L100" s="47"/>
      <c r="M100" s="18">
        <f t="shared" si="1"/>
        <v>0</v>
      </c>
    </row>
    <row r="101" hidden="1">
      <c r="A101" s="41">
        <v>100.0</v>
      </c>
      <c r="B101" s="46"/>
      <c r="C101" s="46"/>
      <c r="D101" s="46"/>
      <c r="E101" s="27"/>
      <c r="F101" s="28"/>
      <c r="G101" s="29"/>
      <c r="H101" s="30"/>
      <c r="I101" s="31"/>
      <c r="J101" s="32"/>
      <c r="K101" s="33"/>
      <c r="L101" s="47"/>
      <c r="M101" s="18">
        <f t="shared" si="1"/>
        <v>0</v>
      </c>
    </row>
    <row r="102" hidden="1">
      <c r="A102" s="41">
        <v>101.0</v>
      </c>
      <c r="B102" s="46"/>
      <c r="C102" s="46"/>
      <c r="D102" s="46"/>
      <c r="E102" s="27"/>
      <c r="F102" s="28"/>
      <c r="G102" s="29"/>
      <c r="H102" s="30"/>
      <c r="I102" s="31"/>
      <c r="J102" s="32"/>
      <c r="K102" s="33"/>
      <c r="L102" s="47"/>
      <c r="M102" s="18">
        <f t="shared" si="1"/>
        <v>0</v>
      </c>
    </row>
    <row r="103" hidden="1">
      <c r="A103" s="41">
        <v>102.0</v>
      </c>
      <c r="B103" s="46"/>
      <c r="C103" s="46"/>
      <c r="D103" s="46"/>
      <c r="E103" s="27"/>
      <c r="F103" s="28"/>
      <c r="G103" s="29"/>
      <c r="H103" s="30"/>
      <c r="I103" s="31"/>
      <c r="J103" s="32"/>
      <c r="K103" s="33"/>
      <c r="L103" s="47"/>
      <c r="M103" s="18">
        <f t="shared" si="1"/>
        <v>0</v>
      </c>
    </row>
    <row r="104" hidden="1">
      <c r="A104" s="41">
        <v>103.0</v>
      </c>
      <c r="B104" s="46"/>
      <c r="C104" s="46"/>
      <c r="D104" s="46"/>
      <c r="E104" s="38"/>
      <c r="F104" s="37"/>
      <c r="G104" s="29"/>
      <c r="H104" s="30"/>
      <c r="I104" s="31"/>
      <c r="J104" s="32"/>
      <c r="K104" s="33"/>
      <c r="L104" s="47"/>
      <c r="M104" s="18">
        <f t="shared" si="1"/>
        <v>0</v>
      </c>
    </row>
    <row r="105" hidden="1">
      <c r="A105" s="41">
        <v>104.0</v>
      </c>
      <c r="B105" s="46"/>
      <c r="C105" s="46"/>
      <c r="D105" s="46"/>
      <c r="E105" s="38"/>
      <c r="F105" s="28"/>
      <c r="G105" s="39"/>
      <c r="H105" s="30"/>
      <c r="I105" s="31"/>
      <c r="J105" s="35"/>
      <c r="K105" s="33"/>
      <c r="L105" s="47"/>
      <c r="M105" s="18">
        <f t="shared" si="1"/>
        <v>0</v>
      </c>
    </row>
    <row r="106" hidden="1">
      <c r="A106" s="41">
        <v>105.0</v>
      </c>
      <c r="B106" s="46"/>
      <c r="C106" s="46"/>
      <c r="D106" s="46"/>
      <c r="E106" s="27"/>
      <c r="F106" s="28"/>
      <c r="G106" s="29"/>
      <c r="H106" s="30"/>
      <c r="I106" s="31"/>
      <c r="J106" s="32"/>
      <c r="K106" s="33"/>
      <c r="L106" s="47"/>
      <c r="M106" s="18">
        <f t="shared" si="1"/>
        <v>0</v>
      </c>
    </row>
    <row r="107" hidden="1">
      <c r="A107" s="41">
        <v>106.0</v>
      </c>
      <c r="B107" s="46"/>
      <c r="C107" s="46"/>
      <c r="D107" s="46"/>
      <c r="E107" s="38"/>
      <c r="F107" s="37"/>
      <c r="G107" s="29"/>
      <c r="H107" s="30"/>
      <c r="I107" s="31"/>
      <c r="J107" s="32"/>
      <c r="K107" s="33"/>
      <c r="L107" s="47"/>
      <c r="M107" s="18">
        <f t="shared" si="1"/>
        <v>0</v>
      </c>
    </row>
    <row r="108" hidden="1">
      <c r="A108" s="41">
        <v>107.0</v>
      </c>
      <c r="B108" s="46"/>
      <c r="C108" s="46"/>
      <c r="D108" s="46"/>
      <c r="E108" s="27"/>
      <c r="F108" s="37"/>
      <c r="G108" s="29"/>
      <c r="H108" s="30"/>
      <c r="I108" s="31"/>
      <c r="J108" s="32"/>
      <c r="K108" s="33"/>
      <c r="L108" s="47"/>
      <c r="M108" s="18">
        <f t="shared" si="1"/>
        <v>0</v>
      </c>
    </row>
    <row r="109" hidden="1">
      <c r="A109" s="41">
        <v>108.0</v>
      </c>
      <c r="B109" s="46"/>
      <c r="C109" s="46"/>
      <c r="D109" s="46"/>
      <c r="E109" s="27"/>
      <c r="F109" s="37"/>
      <c r="G109" s="29"/>
      <c r="H109" s="30"/>
      <c r="I109" s="36"/>
      <c r="J109" s="32"/>
      <c r="K109" s="33"/>
      <c r="L109" s="47"/>
      <c r="M109" s="18">
        <f t="shared" si="1"/>
        <v>0</v>
      </c>
    </row>
    <row r="110" hidden="1">
      <c r="A110" s="41">
        <v>109.0</v>
      </c>
      <c r="B110" s="46"/>
      <c r="C110" s="46"/>
      <c r="D110" s="46"/>
      <c r="E110" s="27"/>
      <c r="F110" s="28"/>
      <c r="G110" s="29"/>
      <c r="H110" s="30"/>
      <c r="I110" s="36"/>
      <c r="J110" s="32"/>
      <c r="K110" s="33"/>
      <c r="L110" s="47"/>
      <c r="M110" s="18">
        <f t="shared" si="1"/>
        <v>0</v>
      </c>
    </row>
    <row r="111" hidden="1">
      <c r="A111" s="41">
        <v>110.0</v>
      </c>
      <c r="B111" s="46"/>
      <c r="C111" s="46"/>
      <c r="D111" s="46"/>
      <c r="E111" s="38"/>
      <c r="F111" s="37"/>
      <c r="G111" s="29"/>
      <c r="H111" s="30"/>
      <c r="I111" s="31"/>
      <c r="J111" s="32"/>
      <c r="K111" s="33"/>
      <c r="L111" s="47"/>
      <c r="M111" s="18">
        <f t="shared" si="1"/>
        <v>0</v>
      </c>
    </row>
    <row r="112" hidden="1">
      <c r="A112" s="41">
        <v>111.0</v>
      </c>
      <c r="B112" s="46"/>
      <c r="C112" s="46"/>
      <c r="D112" s="46"/>
      <c r="E112" s="27"/>
      <c r="F112" s="37"/>
      <c r="G112" s="29"/>
      <c r="H112" s="30"/>
      <c r="I112" s="31"/>
      <c r="J112" s="35"/>
      <c r="K112" s="33"/>
      <c r="L112" s="47"/>
      <c r="M112" s="18">
        <f t="shared" si="1"/>
        <v>0</v>
      </c>
    </row>
    <row r="113" hidden="1">
      <c r="A113" s="41">
        <v>112.0</v>
      </c>
      <c r="B113" s="46"/>
      <c r="C113" s="46"/>
      <c r="D113" s="46"/>
      <c r="E113" s="38"/>
      <c r="F113" s="28"/>
      <c r="G113" s="29"/>
      <c r="H113" s="30"/>
      <c r="I113" s="31"/>
      <c r="J113" s="32"/>
      <c r="K113" s="33"/>
      <c r="L113" s="47"/>
      <c r="M113" s="18">
        <f t="shared" si="1"/>
        <v>0</v>
      </c>
    </row>
    <row r="114" hidden="1">
      <c r="A114" s="41">
        <v>113.0</v>
      </c>
      <c r="B114" s="46"/>
      <c r="C114" s="46"/>
      <c r="D114" s="46"/>
      <c r="E114" s="38"/>
      <c r="F114" s="37"/>
      <c r="G114" s="29"/>
      <c r="H114" s="30"/>
      <c r="I114" s="31"/>
      <c r="J114" s="32"/>
      <c r="K114" s="33"/>
      <c r="L114" s="47"/>
      <c r="M114" s="18">
        <f t="shared" si="1"/>
        <v>0</v>
      </c>
    </row>
    <row r="115" hidden="1">
      <c r="A115" s="41">
        <v>114.0</v>
      </c>
      <c r="B115" s="46"/>
      <c r="C115" s="46"/>
      <c r="D115" s="46"/>
      <c r="E115" s="38"/>
      <c r="F115" s="37"/>
      <c r="G115" s="29"/>
      <c r="H115" s="30"/>
      <c r="I115" s="31"/>
      <c r="J115" s="35"/>
      <c r="K115" s="33"/>
      <c r="L115" s="47"/>
      <c r="M115" s="18">
        <f t="shared" si="1"/>
        <v>0</v>
      </c>
    </row>
    <row r="116" hidden="1">
      <c r="A116" s="41">
        <v>115.0</v>
      </c>
      <c r="B116" s="46"/>
      <c r="C116" s="46"/>
      <c r="D116" s="46"/>
      <c r="E116" s="27"/>
      <c r="F116" s="37"/>
      <c r="G116" s="29"/>
      <c r="H116" s="30"/>
      <c r="I116" s="31"/>
      <c r="J116" s="32"/>
      <c r="K116" s="33"/>
      <c r="L116" s="47"/>
      <c r="M116" s="18">
        <f t="shared" si="1"/>
        <v>0</v>
      </c>
    </row>
    <row r="117" hidden="1">
      <c r="A117" s="41">
        <v>116.0</v>
      </c>
      <c r="B117" s="46"/>
      <c r="C117" s="46"/>
      <c r="D117" s="46"/>
      <c r="E117" s="27"/>
      <c r="F117" s="37"/>
      <c r="G117" s="29"/>
      <c r="H117" s="30"/>
      <c r="I117" s="31"/>
      <c r="J117" s="32"/>
      <c r="K117" s="33"/>
      <c r="L117" s="47"/>
      <c r="M117" s="18">
        <f t="shared" si="1"/>
        <v>0</v>
      </c>
    </row>
    <row r="118" hidden="1">
      <c r="A118" s="41">
        <v>117.0</v>
      </c>
      <c r="B118" s="46"/>
      <c r="C118" s="46"/>
      <c r="D118" s="46"/>
      <c r="E118" s="27"/>
      <c r="F118" s="37"/>
      <c r="G118" s="29"/>
      <c r="H118" s="30"/>
      <c r="I118" s="31"/>
      <c r="J118" s="32"/>
      <c r="K118" s="33"/>
      <c r="L118" s="47"/>
      <c r="M118" s="18">
        <f t="shared" si="1"/>
        <v>0</v>
      </c>
    </row>
    <row r="119" hidden="1">
      <c r="A119" s="41">
        <v>118.0</v>
      </c>
      <c r="B119" s="46"/>
      <c r="C119" s="46"/>
      <c r="D119" s="46"/>
      <c r="E119" s="38"/>
      <c r="F119" s="37"/>
      <c r="G119" s="29"/>
      <c r="H119" s="30"/>
      <c r="I119" s="31"/>
      <c r="J119" s="32"/>
      <c r="K119" s="33"/>
      <c r="L119" s="47"/>
      <c r="M119" s="18">
        <f t="shared" si="1"/>
        <v>0</v>
      </c>
    </row>
    <row r="120" hidden="1">
      <c r="A120" s="41">
        <v>119.0</v>
      </c>
      <c r="B120" s="46"/>
      <c r="C120" s="46"/>
      <c r="D120" s="46"/>
      <c r="E120" s="27"/>
      <c r="F120" s="37"/>
      <c r="G120" s="29"/>
      <c r="H120" s="30"/>
      <c r="I120" s="31"/>
      <c r="J120" s="32"/>
      <c r="K120" s="33"/>
      <c r="L120" s="47"/>
      <c r="M120" s="18">
        <f t="shared" si="1"/>
        <v>0</v>
      </c>
    </row>
    <row r="121" hidden="1">
      <c r="A121" s="41">
        <v>120.0</v>
      </c>
      <c r="B121" s="46"/>
      <c r="C121" s="46"/>
      <c r="D121" s="46"/>
      <c r="E121" s="27"/>
      <c r="F121" s="37"/>
      <c r="G121" s="29"/>
      <c r="H121" s="30"/>
      <c r="I121" s="31"/>
      <c r="J121" s="32"/>
      <c r="K121" s="33"/>
      <c r="L121" s="47"/>
      <c r="M121" s="18">
        <f t="shared" si="1"/>
        <v>0</v>
      </c>
    </row>
    <row r="122" hidden="1">
      <c r="A122" s="41">
        <v>121.0</v>
      </c>
      <c r="B122" s="46"/>
      <c r="C122" s="46"/>
      <c r="D122" s="46"/>
      <c r="E122" s="27"/>
      <c r="F122" s="37"/>
      <c r="G122" s="39"/>
      <c r="H122" s="30"/>
      <c r="I122" s="31"/>
      <c r="J122" s="32"/>
      <c r="K122" s="33"/>
      <c r="L122" s="47"/>
      <c r="M122" s="18">
        <f t="shared" si="1"/>
        <v>0</v>
      </c>
    </row>
    <row r="123" hidden="1">
      <c r="A123" s="41">
        <v>122.0</v>
      </c>
      <c r="B123" s="46"/>
      <c r="C123" s="46"/>
      <c r="D123" s="46"/>
      <c r="E123" s="27"/>
      <c r="F123" s="28"/>
      <c r="G123" s="29"/>
      <c r="H123" s="30"/>
      <c r="I123" s="31"/>
      <c r="J123" s="32"/>
      <c r="K123" s="33"/>
      <c r="L123" s="47"/>
      <c r="M123" s="18">
        <f t="shared" si="1"/>
        <v>0</v>
      </c>
    </row>
    <row r="124" hidden="1">
      <c r="A124" s="41">
        <v>123.0</v>
      </c>
      <c r="B124" s="46"/>
      <c r="C124" s="46"/>
      <c r="D124" s="46"/>
      <c r="E124" s="38"/>
      <c r="F124" s="28"/>
      <c r="G124" s="29"/>
      <c r="H124" s="30"/>
      <c r="I124" s="31"/>
      <c r="J124" s="32"/>
      <c r="K124" s="33"/>
      <c r="L124" s="47"/>
      <c r="M124" s="18">
        <f t="shared" si="1"/>
        <v>0</v>
      </c>
    </row>
    <row r="125" hidden="1">
      <c r="A125" s="41">
        <v>124.0</v>
      </c>
      <c r="B125" s="46"/>
      <c r="C125" s="46"/>
      <c r="D125" s="46"/>
      <c r="E125" s="27"/>
      <c r="F125" s="28"/>
      <c r="G125" s="39"/>
      <c r="H125" s="30"/>
      <c r="I125" s="31"/>
      <c r="J125" s="35"/>
      <c r="K125" s="33"/>
      <c r="L125" s="47"/>
      <c r="M125" s="18">
        <f t="shared" si="1"/>
        <v>0</v>
      </c>
    </row>
    <row r="126" hidden="1">
      <c r="A126" s="41">
        <v>125.0</v>
      </c>
      <c r="B126" s="46"/>
      <c r="C126" s="46"/>
      <c r="D126" s="46"/>
      <c r="E126" s="27"/>
      <c r="F126" s="28"/>
      <c r="G126" s="39"/>
      <c r="H126" s="30"/>
      <c r="I126" s="31"/>
      <c r="J126" s="32"/>
      <c r="K126" s="33"/>
      <c r="L126" s="47"/>
      <c r="M126" s="18">
        <f t="shared" si="1"/>
        <v>0</v>
      </c>
    </row>
    <row r="127" hidden="1">
      <c r="A127" s="41">
        <v>126.0</v>
      </c>
      <c r="B127" s="46"/>
      <c r="C127" s="46"/>
      <c r="D127" s="46"/>
      <c r="E127" s="27"/>
      <c r="F127" s="28"/>
      <c r="G127" s="39"/>
      <c r="H127" s="30"/>
      <c r="I127" s="31"/>
      <c r="J127" s="32"/>
      <c r="K127" s="33"/>
      <c r="L127" s="47"/>
      <c r="M127" s="18">
        <f t="shared" si="1"/>
        <v>0</v>
      </c>
    </row>
    <row r="128" hidden="1">
      <c r="A128" s="41">
        <v>127.0</v>
      </c>
      <c r="B128" s="46"/>
      <c r="C128" s="46"/>
      <c r="D128" s="46"/>
      <c r="E128" s="27"/>
      <c r="F128" s="28"/>
      <c r="G128" s="39"/>
      <c r="H128" s="30"/>
      <c r="I128" s="31"/>
      <c r="J128" s="32"/>
      <c r="K128" s="33"/>
      <c r="L128" s="47"/>
      <c r="M128" s="18">
        <f t="shared" si="1"/>
        <v>0</v>
      </c>
    </row>
    <row r="129" hidden="1">
      <c r="A129" s="41">
        <v>128.0</v>
      </c>
      <c r="B129" s="46"/>
      <c r="C129" s="46"/>
      <c r="D129" s="46"/>
      <c r="E129" s="27"/>
      <c r="F129" s="28"/>
      <c r="G129" s="39"/>
      <c r="H129" s="30"/>
      <c r="I129" s="31"/>
      <c r="J129" s="35"/>
      <c r="K129" s="33"/>
      <c r="L129" s="47"/>
      <c r="M129" s="18">
        <f t="shared" si="1"/>
        <v>0</v>
      </c>
    </row>
    <row r="130" hidden="1">
      <c r="A130" s="41">
        <v>129.0</v>
      </c>
      <c r="B130" s="46"/>
      <c r="C130" s="46"/>
      <c r="D130" s="46"/>
      <c r="E130" s="27"/>
      <c r="F130" s="28"/>
      <c r="G130" s="29"/>
      <c r="H130" s="30"/>
      <c r="I130" s="31"/>
      <c r="J130" s="35"/>
      <c r="K130" s="33"/>
      <c r="L130" s="47"/>
      <c r="M130" s="18">
        <f t="shared" si="1"/>
        <v>0</v>
      </c>
    </row>
    <row r="131" hidden="1">
      <c r="A131" s="41">
        <v>130.0</v>
      </c>
      <c r="B131" s="46"/>
      <c r="C131" s="46"/>
      <c r="D131" s="46"/>
      <c r="E131" s="27"/>
      <c r="F131" s="28"/>
      <c r="G131" s="29"/>
      <c r="H131" s="30"/>
      <c r="I131" s="31"/>
      <c r="J131" s="35"/>
      <c r="K131" s="33"/>
      <c r="L131" s="47"/>
      <c r="M131" s="18">
        <f t="shared" si="1"/>
        <v>0</v>
      </c>
    </row>
    <row r="132">
      <c r="A132" s="41"/>
      <c r="B132" s="45"/>
      <c r="C132" s="45"/>
      <c r="D132" s="44"/>
      <c r="E132" s="22">
        <f t="shared" ref="E132:L132" si="2">SUM(E5:E97)</f>
        <v>28450</v>
      </c>
      <c r="F132" s="22">
        <f t="shared" si="2"/>
        <v>41400</v>
      </c>
      <c r="G132" s="22">
        <f t="shared" si="2"/>
        <v>75100</v>
      </c>
      <c r="H132" s="22">
        <f t="shared" si="2"/>
        <v>575553</v>
      </c>
      <c r="I132" s="22">
        <f t="shared" si="2"/>
        <v>198677</v>
      </c>
      <c r="J132" s="22">
        <f t="shared" si="2"/>
        <v>0</v>
      </c>
      <c r="K132" s="22">
        <f t="shared" si="2"/>
        <v>0</v>
      </c>
      <c r="L132" s="22">
        <f t="shared" si="2"/>
        <v>919180</v>
      </c>
      <c r="M132" s="18">
        <f>SUM(M5:M131)</f>
        <v>0</v>
      </c>
    </row>
    <row r="133">
      <c r="A133" s="23"/>
      <c r="B133" s="23"/>
      <c r="C133" s="23"/>
      <c r="D133" s="23"/>
      <c r="E133" s="24">
        <f>SUM(K132:M132)</f>
        <v>919180</v>
      </c>
      <c r="F133" s="6"/>
      <c r="G133" s="6"/>
      <c r="H133" s="6"/>
      <c r="I133" s="6"/>
      <c r="J133" s="6"/>
      <c r="K133" s="7"/>
      <c r="L133" s="25"/>
      <c r="M133" s="23"/>
    </row>
    <row r="134">
      <c r="L134" s="40" t="s">
        <v>254</v>
      </c>
    </row>
    <row r="138">
      <c r="K138" s="40" t="s">
        <v>1809</v>
      </c>
    </row>
  </sheetData>
  <mergeCells count="14">
    <mergeCell ref="F3:G3"/>
    <mergeCell ref="H3:I3"/>
    <mergeCell ref="J3:J4"/>
    <mergeCell ref="K3:K4"/>
    <mergeCell ref="E133:K133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5"/>
    <col customWidth="1" min="2" max="2" width="24.75"/>
    <col customWidth="1" min="4" max="4" width="43.25"/>
    <col customWidth="1" min="5" max="5" width="9.5"/>
  </cols>
  <sheetData>
    <row r="1">
      <c r="A1" s="1" t="s">
        <v>2715</v>
      </c>
    </row>
    <row r="2">
      <c r="A2" s="2" t="s">
        <v>1</v>
      </c>
      <c r="B2" s="3" t="s">
        <v>2</v>
      </c>
      <c r="C2" s="2" t="s">
        <v>3</v>
      </c>
      <c r="D2" s="4" t="s">
        <v>4</v>
      </c>
      <c r="E2" s="5" t="s">
        <v>5</v>
      </c>
      <c r="F2" s="6"/>
      <c r="G2" s="6"/>
      <c r="H2" s="6"/>
      <c r="I2" s="6"/>
      <c r="J2" s="6"/>
      <c r="K2" s="6"/>
      <c r="L2" s="6"/>
      <c r="M2" s="7"/>
    </row>
    <row r="3">
      <c r="A3" s="8"/>
      <c r="B3" s="8"/>
      <c r="C3" s="8"/>
      <c r="D3" s="8"/>
      <c r="E3" s="2" t="s">
        <v>6</v>
      </c>
      <c r="F3" s="5" t="s">
        <v>7</v>
      </c>
      <c r="G3" s="7"/>
      <c r="H3" s="5" t="s">
        <v>8</v>
      </c>
      <c r="I3" s="7"/>
      <c r="J3" s="2" t="s">
        <v>9</v>
      </c>
      <c r="K3" s="4" t="s">
        <v>10</v>
      </c>
      <c r="L3" s="2" t="s">
        <v>11</v>
      </c>
      <c r="M3" s="2" t="s">
        <v>12</v>
      </c>
    </row>
    <row r="4">
      <c r="A4" s="9"/>
      <c r="B4" s="9"/>
      <c r="C4" s="9"/>
      <c r="D4" s="9"/>
      <c r="E4" s="9"/>
      <c r="F4" s="10" t="s">
        <v>13</v>
      </c>
      <c r="G4" s="10" t="s">
        <v>14</v>
      </c>
      <c r="H4" s="10" t="s">
        <v>15</v>
      </c>
      <c r="I4" s="11" t="s">
        <v>16</v>
      </c>
      <c r="J4" s="9"/>
      <c r="K4" s="9"/>
      <c r="L4" s="9"/>
      <c r="M4" s="9"/>
    </row>
    <row r="5">
      <c r="A5" s="41">
        <v>1.0</v>
      </c>
      <c r="B5" s="46" t="s">
        <v>2716</v>
      </c>
      <c r="C5" s="46">
        <v>57841.0</v>
      </c>
      <c r="D5" s="46" t="s">
        <v>2717</v>
      </c>
      <c r="E5" s="38"/>
      <c r="F5" s="28"/>
      <c r="G5" s="29"/>
      <c r="H5" s="30">
        <v>27000.0</v>
      </c>
      <c r="I5" s="31"/>
      <c r="J5" s="32"/>
      <c r="K5" s="33"/>
      <c r="L5" s="47">
        <v>27000.0</v>
      </c>
      <c r="M5" s="18">
        <f t="shared" ref="M5:M119" si="1">SUM(E5+F5+G5+H5+I5+J5+K5-L5)</f>
        <v>0</v>
      </c>
    </row>
    <row r="6">
      <c r="A6" s="41">
        <v>2.0</v>
      </c>
      <c r="B6" s="46" t="s">
        <v>2718</v>
      </c>
      <c r="C6" s="46">
        <v>57842.0</v>
      </c>
      <c r="D6" s="46" t="s">
        <v>2719</v>
      </c>
      <c r="E6" s="38"/>
      <c r="F6" s="37"/>
      <c r="G6" s="29"/>
      <c r="H6" s="30">
        <v>27000.0</v>
      </c>
      <c r="I6" s="31"/>
      <c r="J6" s="35"/>
      <c r="K6" s="33"/>
      <c r="L6" s="47">
        <v>27000.0</v>
      </c>
      <c r="M6" s="18">
        <f t="shared" si="1"/>
        <v>0</v>
      </c>
    </row>
    <row r="7">
      <c r="A7" s="41">
        <v>3.0</v>
      </c>
      <c r="B7" s="46" t="s">
        <v>2720</v>
      </c>
      <c r="C7" s="46">
        <v>57844.0</v>
      </c>
      <c r="D7" s="46" t="s">
        <v>2721</v>
      </c>
      <c r="E7" s="27"/>
      <c r="F7" s="37"/>
      <c r="G7" s="29"/>
      <c r="H7" s="30">
        <v>27000.0</v>
      </c>
      <c r="I7" s="31"/>
      <c r="J7" s="35"/>
      <c r="K7" s="33"/>
      <c r="L7" s="47">
        <v>27000.0</v>
      </c>
      <c r="M7" s="18">
        <f t="shared" si="1"/>
        <v>0</v>
      </c>
    </row>
    <row r="8">
      <c r="A8" s="41">
        <v>4.0</v>
      </c>
      <c r="B8" s="46" t="s">
        <v>2722</v>
      </c>
      <c r="C8" s="46">
        <v>57252.0</v>
      </c>
      <c r="D8" s="46" t="s">
        <v>2723</v>
      </c>
      <c r="E8" s="27"/>
      <c r="F8" s="28"/>
      <c r="G8" s="29"/>
      <c r="H8" s="30"/>
      <c r="I8" s="31"/>
      <c r="J8" s="35">
        <v>0.0</v>
      </c>
      <c r="K8" s="33"/>
      <c r="L8" s="47">
        <v>1500.0</v>
      </c>
      <c r="M8" s="18">
        <f t="shared" si="1"/>
        <v>-1500</v>
      </c>
    </row>
    <row r="9">
      <c r="A9" s="41">
        <v>5.0</v>
      </c>
      <c r="B9" s="46" t="s">
        <v>2724</v>
      </c>
      <c r="C9" s="46">
        <v>57440.0</v>
      </c>
      <c r="D9" s="46" t="s">
        <v>2725</v>
      </c>
      <c r="E9" s="38"/>
      <c r="F9" s="28"/>
      <c r="G9" s="29"/>
      <c r="H9" s="30">
        <v>27000.0</v>
      </c>
      <c r="I9" s="31"/>
      <c r="J9" s="35"/>
      <c r="K9" s="33"/>
      <c r="L9" s="47">
        <v>27000.0</v>
      </c>
      <c r="M9" s="18">
        <f t="shared" si="1"/>
        <v>0</v>
      </c>
    </row>
    <row r="10">
      <c r="A10" s="41">
        <v>6.0</v>
      </c>
      <c r="B10" s="46" t="s">
        <v>2726</v>
      </c>
      <c r="C10" s="46">
        <v>50119.0</v>
      </c>
      <c r="D10" s="46" t="s">
        <v>1036</v>
      </c>
      <c r="E10" s="38"/>
      <c r="F10" s="28"/>
      <c r="G10" s="29"/>
      <c r="H10" s="30"/>
      <c r="I10" s="31">
        <v>883.0</v>
      </c>
      <c r="J10" s="35"/>
      <c r="K10" s="33"/>
      <c r="L10" s="47">
        <v>883.0</v>
      </c>
      <c r="M10" s="18">
        <f t="shared" si="1"/>
        <v>0</v>
      </c>
    </row>
    <row r="11">
      <c r="A11" s="41">
        <v>7.0</v>
      </c>
      <c r="B11" s="46" t="s">
        <v>2727</v>
      </c>
      <c r="C11" s="46">
        <v>55388.0</v>
      </c>
      <c r="D11" s="46" t="s">
        <v>111</v>
      </c>
      <c r="E11" s="27"/>
      <c r="F11" s="28"/>
      <c r="G11" s="29"/>
      <c r="H11" s="30">
        <v>5150.0</v>
      </c>
      <c r="I11" s="31"/>
      <c r="J11" s="35"/>
      <c r="K11" s="33"/>
      <c r="L11" s="47">
        <v>5150.0</v>
      </c>
      <c r="M11" s="18">
        <f t="shared" si="1"/>
        <v>0</v>
      </c>
    </row>
    <row r="12">
      <c r="A12" s="41">
        <v>8.0</v>
      </c>
      <c r="B12" s="46" t="s">
        <v>2728</v>
      </c>
      <c r="C12" s="46">
        <v>46778.0</v>
      </c>
      <c r="D12" s="46" t="s">
        <v>109</v>
      </c>
      <c r="E12" s="27"/>
      <c r="F12" s="28"/>
      <c r="G12" s="29"/>
      <c r="H12" s="30"/>
      <c r="I12" s="31">
        <v>5150.0</v>
      </c>
      <c r="J12" s="35"/>
      <c r="K12" s="33"/>
      <c r="L12" s="47">
        <v>5150.0</v>
      </c>
      <c r="M12" s="18">
        <f t="shared" si="1"/>
        <v>0</v>
      </c>
    </row>
    <row r="13">
      <c r="A13" s="41">
        <v>9.0</v>
      </c>
      <c r="B13" s="46" t="s">
        <v>2729</v>
      </c>
      <c r="C13" s="46">
        <v>55992.0</v>
      </c>
      <c r="D13" s="46" t="s">
        <v>2224</v>
      </c>
      <c r="E13" s="27"/>
      <c r="F13" s="37">
        <v>5000.0</v>
      </c>
      <c r="G13" s="29"/>
      <c r="H13" s="30"/>
      <c r="I13" s="31"/>
      <c r="J13" s="35"/>
      <c r="K13" s="33"/>
      <c r="L13" s="47">
        <v>5000.0</v>
      </c>
      <c r="M13" s="18">
        <f t="shared" si="1"/>
        <v>0</v>
      </c>
    </row>
    <row r="14">
      <c r="A14" s="41">
        <v>10.0</v>
      </c>
      <c r="B14" s="46" t="s">
        <v>2730</v>
      </c>
      <c r="C14" s="46">
        <v>55992.0</v>
      </c>
      <c r="D14" s="46" t="s">
        <v>2224</v>
      </c>
      <c r="E14" s="27"/>
      <c r="F14" s="37">
        <v>2850.0</v>
      </c>
      <c r="G14" s="29"/>
      <c r="H14" s="30"/>
      <c r="I14" s="31"/>
      <c r="J14" s="35"/>
      <c r="K14" s="33"/>
      <c r="L14" s="47">
        <v>2850.0</v>
      </c>
      <c r="M14" s="18">
        <f t="shared" si="1"/>
        <v>0</v>
      </c>
    </row>
    <row r="15">
      <c r="A15" s="41">
        <v>11.0</v>
      </c>
      <c r="B15" s="46" t="s">
        <v>2731</v>
      </c>
      <c r="C15" s="46">
        <v>19688.0</v>
      </c>
      <c r="D15" s="46" t="s">
        <v>679</v>
      </c>
      <c r="E15" s="27"/>
      <c r="F15" s="28"/>
      <c r="G15" s="29"/>
      <c r="H15" s="30"/>
      <c r="I15" s="31">
        <v>15000.0</v>
      </c>
      <c r="J15" s="35"/>
      <c r="K15" s="33"/>
      <c r="L15" s="47">
        <v>15000.0</v>
      </c>
      <c r="M15" s="18">
        <f t="shared" si="1"/>
        <v>0</v>
      </c>
    </row>
    <row r="16">
      <c r="A16" s="41">
        <v>12.0</v>
      </c>
      <c r="B16" s="46" t="s">
        <v>2732</v>
      </c>
      <c r="C16" s="46">
        <v>10250.0</v>
      </c>
      <c r="D16" s="46" t="s">
        <v>107</v>
      </c>
      <c r="E16" s="27"/>
      <c r="F16" s="28"/>
      <c r="G16" s="29"/>
      <c r="H16" s="30"/>
      <c r="I16" s="31">
        <v>1250.0</v>
      </c>
      <c r="J16" s="35"/>
      <c r="K16" s="33"/>
      <c r="L16" s="47">
        <v>1250.0</v>
      </c>
      <c r="M16" s="18">
        <f t="shared" si="1"/>
        <v>0</v>
      </c>
    </row>
    <row r="17">
      <c r="A17" s="41">
        <v>13.0</v>
      </c>
      <c r="B17" s="46" t="s">
        <v>2733</v>
      </c>
      <c r="C17" s="46">
        <v>35245.0</v>
      </c>
      <c r="D17" s="46" t="s">
        <v>34</v>
      </c>
      <c r="E17" s="27"/>
      <c r="F17" s="28"/>
      <c r="G17" s="29"/>
      <c r="H17" s="30">
        <v>5150.0</v>
      </c>
      <c r="I17" s="31"/>
      <c r="J17" s="35"/>
      <c r="K17" s="33"/>
      <c r="L17" s="47">
        <v>5150.0</v>
      </c>
      <c r="M17" s="18">
        <f t="shared" si="1"/>
        <v>0</v>
      </c>
    </row>
    <row r="18">
      <c r="A18" s="41">
        <v>14.0</v>
      </c>
      <c r="B18" s="46" t="s">
        <v>2734</v>
      </c>
      <c r="C18" s="46">
        <v>16295.0</v>
      </c>
      <c r="D18" s="46" t="s">
        <v>484</v>
      </c>
      <c r="E18" s="27"/>
      <c r="F18" s="28"/>
      <c r="G18" s="29"/>
      <c r="H18" s="30">
        <v>3900.0</v>
      </c>
      <c r="I18" s="31"/>
      <c r="J18" s="35"/>
      <c r="K18" s="33"/>
      <c r="L18" s="47">
        <v>3900.0</v>
      </c>
      <c r="M18" s="18">
        <f t="shared" si="1"/>
        <v>0</v>
      </c>
    </row>
    <row r="19">
      <c r="A19" s="41">
        <v>15.0</v>
      </c>
      <c r="B19" s="46" t="s">
        <v>2735</v>
      </c>
      <c r="C19" s="46">
        <v>50215.0</v>
      </c>
      <c r="D19" s="46" t="s">
        <v>2736</v>
      </c>
      <c r="E19" s="38"/>
      <c r="F19" s="37"/>
      <c r="G19" s="29"/>
      <c r="H19" s="30">
        <v>300.0</v>
      </c>
      <c r="I19" s="31"/>
      <c r="J19" s="35"/>
      <c r="K19" s="33"/>
      <c r="L19" s="47">
        <v>300.0</v>
      </c>
      <c r="M19" s="18">
        <f t="shared" si="1"/>
        <v>0</v>
      </c>
    </row>
    <row r="20">
      <c r="A20" s="41">
        <v>16.0</v>
      </c>
      <c r="B20" s="46" t="s">
        <v>2737</v>
      </c>
      <c r="C20" s="46">
        <v>36555.0</v>
      </c>
      <c r="D20" s="46" t="s">
        <v>172</v>
      </c>
      <c r="E20" s="27"/>
      <c r="F20" s="28"/>
      <c r="G20" s="29"/>
      <c r="H20" s="30">
        <v>16250.0</v>
      </c>
      <c r="I20" s="31"/>
      <c r="J20" s="35"/>
      <c r="K20" s="33"/>
      <c r="L20" s="47">
        <v>16250.0</v>
      </c>
      <c r="M20" s="18">
        <f t="shared" si="1"/>
        <v>0</v>
      </c>
    </row>
    <row r="21">
      <c r="A21" s="41">
        <v>17.0</v>
      </c>
      <c r="B21" s="46" t="s">
        <v>2738</v>
      </c>
      <c r="C21" s="46">
        <v>30525.0</v>
      </c>
      <c r="D21" s="46" t="s">
        <v>2739</v>
      </c>
      <c r="E21" s="27"/>
      <c r="F21" s="37"/>
      <c r="G21" s="29"/>
      <c r="H21" s="30"/>
      <c r="I21" s="31">
        <v>4650.0</v>
      </c>
      <c r="J21" s="35"/>
      <c r="K21" s="33"/>
      <c r="L21" s="47">
        <v>4650.0</v>
      </c>
      <c r="M21" s="18">
        <f t="shared" si="1"/>
        <v>0</v>
      </c>
    </row>
    <row r="22">
      <c r="A22" s="41">
        <v>18.0</v>
      </c>
      <c r="B22" s="46" t="s">
        <v>2740</v>
      </c>
      <c r="C22" s="46">
        <v>10001.0</v>
      </c>
      <c r="D22" s="46" t="s">
        <v>218</v>
      </c>
      <c r="E22" s="27"/>
      <c r="F22" s="37"/>
      <c r="G22" s="29"/>
      <c r="H22" s="30">
        <v>2650.0</v>
      </c>
      <c r="I22" s="31"/>
      <c r="J22" s="35"/>
      <c r="K22" s="33"/>
      <c r="L22" s="47">
        <v>2650.0</v>
      </c>
      <c r="M22" s="18">
        <f t="shared" si="1"/>
        <v>0</v>
      </c>
    </row>
    <row r="23">
      <c r="A23" s="41">
        <v>19.0</v>
      </c>
      <c r="B23" s="46" t="s">
        <v>2741</v>
      </c>
      <c r="C23" s="46">
        <v>50871.0</v>
      </c>
      <c r="D23" s="46" t="s">
        <v>105</v>
      </c>
      <c r="E23" s="27"/>
      <c r="F23" s="37"/>
      <c r="G23" s="29"/>
      <c r="H23" s="30">
        <v>57500.0</v>
      </c>
      <c r="I23" s="31"/>
      <c r="J23" s="35"/>
      <c r="K23" s="33"/>
      <c r="L23" s="47">
        <v>57500.0</v>
      </c>
      <c r="M23" s="18">
        <f t="shared" si="1"/>
        <v>0</v>
      </c>
    </row>
    <row r="24">
      <c r="A24" s="41">
        <v>20.0</v>
      </c>
      <c r="B24" s="46" t="s">
        <v>2742</v>
      </c>
      <c r="C24" s="46">
        <v>50967.0</v>
      </c>
      <c r="D24" s="46" t="s">
        <v>2743</v>
      </c>
      <c r="E24" s="38"/>
      <c r="F24" s="28"/>
      <c r="G24" s="29"/>
      <c r="H24" s="30">
        <v>2650.0</v>
      </c>
      <c r="I24" s="31"/>
      <c r="J24" s="35"/>
      <c r="K24" s="33"/>
      <c r="L24" s="47">
        <v>2650.0</v>
      </c>
      <c r="M24" s="18">
        <f t="shared" si="1"/>
        <v>0</v>
      </c>
    </row>
    <row r="25">
      <c r="A25" s="41">
        <v>21.0</v>
      </c>
      <c r="B25" s="46" t="s">
        <v>2744</v>
      </c>
      <c r="C25" s="46">
        <v>51876.0</v>
      </c>
      <c r="D25" s="46" t="s">
        <v>74</v>
      </c>
      <c r="E25" s="38"/>
      <c r="F25" s="28"/>
      <c r="G25" s="29"/>
      <c r="H25" s="30">
        <v>15000.0</v>
      </c>
      <c r="I25" s="31"/>
      <c r="J25" s="35"/>
      <c r="K25" s="33"/>
      <c r="L25" s="47">
        <v>15000.0</v>
      </c>
      <c r="M25" s="18">
        <f t="shared" si="1"/>
        <v>0</v>
      </c>
    </row>
    <row r="26">
      <c r="A26" s="41">
        <v>22.0</v>
      </c>
      <c r="B26" s="46" t="s">
        <v>2745</v>
      </c>
      <c r="C26" s="46">
        <v>13133.0</v>
      </c>
      <c r="D26" s="46" t="s">
        <v>490</v>
      </c>
      <c r="E26" s="27"/>
      <c r="F26" s="37"/>
      <c r="G26" s="29"/>
      <c r="H26" s="30"/>
      <c r="I26" s="31">
        <v>37500.0</v>
      </c>
      <c r="J26" s="35"/>
      <c r="K26" s="33"/>
      <c r="L26" s="47">
        <v>37500.0</v>
      </c>
      <c r="M26" s="18">
        <f t="shared" si="1"/>
        <v>0</v>
      </c>
    </row>
    <row r="27">
      <c r="A27" s="41">
        <v>23.0</v>
      </c>
      <c r="B27" s="46" t="s">
        <v>2746</v>
      </c>
      <c r="C27" s="46">
        <v>47787.0</v>
      </c>
      <c r="D27" s="46" t="s">
        <v>506</v>
      </c>
      <c r="E27" s="38"/>
      <c r="F27" s="28"/>
      <c r="G27" s="29"/>
      <c r="H27" s="30"/>
      <c r="I27" s="31">
        <v>1250.0</v>
      </c>
      <c r="J27" s="35"/>
      <c r="K27" s="33"/>
      <c r="L27" s="47">
        <v>1250.0</v>
      </c>
      <c r="M27" s="18">
        <f t="shared" si="1"/>
        <v>0</v>
      </c>
    </row>
    <row r="28">
      <c r="A28" s="41">
        <v>24.0</v>
      </c>
      <c r="B28" s="46" t="s">
        <v>2747</v>
      </c>
      <c r="C28" s="46">
        <v>52032.0</v>
      </c>
      <c r="D28" s="46" t="s">
        <v>233</v>
      </c>
      <c r="E28" s="27"/>
      <c r="F28" s="37"/>
      <c r="G28" s="29"/>
      <c r="H28" s="30">
        <v>350.0</v>
      </c>
      <c r="I28" s="31"/>
      <c r="J28" s="35"/>
      <c r="K28" s="33"/>
      <c r="L28" s="47">
        <v>350.0</v>
      </c>
      <c r="M28" s="18">
        <f t="shared" si="1"/>
        <v>0</v>
      </c>
    </row>
    <row r="29">
      <c r="A29" s="41">
        <v>25.0</v>
      </c>
      <c r="B29" s="46" t="s">
        <v>2748</v>
      </c>
      <c r="C29" s="46">
        <v>48631.0</v>
      </c>
      <c r="D29" s="46" t="s">
        <v>118</v>
      </c>
      <c r="E29" s="27"/>
      <c r="F29" s="28"/>
      <c r="G29" s="29"/>
      <c r="H29" s="30">
        <v>7350.0</v>
      </c>
      <c r="I29" s="31"/>
      <c r="J29" s="35"/>
      <c r="K29" s="33"/>
      <c r="L29" s="47">
        <v>7350.0</v>
      </c>
      <c r="M29" s="18">
        <f t="shared" si="1"/>
        <v>0</v>
      </c>
    </row>
    <row r="30">
      <c r="A30" s="41">
        <v>26.0</v>
      </c>
      <c r="B30" s="46" t="s">
        <v>2749</v>
      </c>
      <c r="C30" s="46">
        <v>37642.0</v>
      </c>
      <c r="D30" s="46" t="s">
        <v>482</v>
      </c>
      <c r="E30" s="27"/>
      <c r="F30" s="37">
        <v>17250.0</v>
      </c>
      <c r="G30" s="29"/>
      <c r="H30" s="30">
        <v>250.0</v>
      </c>
      <c r="I30" s="31"/>
      <c r="J30" s="35"/>
      <c r="K30" s="33"/>
      <c r="L30" s="47">
        <v>17500.0</v>
      </c>
      <c r="M30" s="18">
        <f t="shared" si="1"/>
        <v>0</v>
      </c>
    </row>
    <row r="31">
      <c r="A31" s="41">
        <v>27.0</v>
      </c>
      <c r="B31" s="46" t="s">
        <v>2750</v>
      </c>
      <c r="C31" s="46">
        <v>57754.0</v>
      </c>
      <c r="D31" s="46" t="s">
        <v>2019</v>
      </c>
      <c r="E31" s="27"/>
      <c r="F31" s="28"/>
      <c r="G31" s="29"/>
      <c r="H31" s="30">
        <v>580.0</v>
      </c>
      <c r="I31" s="31"/>
      <c r="J31" s="35"/>
      <c r="K31" s="33"/>
      <c r="L31" s="47">
        <v>580.0</v>
      </c>
      <c r="M31" s="18">
        <f t="shared" si="1"/>
        <v>0</v>
      </c>
    </row>
    <row r="32">
      <c r="A32" s="41">
        <v>28.0</v>
      </c>
      <c r="B32" s="46" t="s">
        <v>2751</v>
      </c>
      <c r="C32" s="46">
        <v>52647.0</v>
      </c>
      <c r="D32" s="46" t="s">
        <v>322</v>
      </c>
      <c r="E32" s="27"/>
      <c r="F32" s="37"/>
      <c r="G32" s="29"/>
      <c r="H32" s="30">
        <v>10350.0</v>
      </c>
      <c r="I32" s="31"/>
      <c r="J32" s="35"/>
      <c r="K32" s="33"/>
      <c r="L32" s="47">
        <v>10350.0</v>
      </c>
      <c r="M32" s="18">
        <f t="shared" si="1"/>
        <v>0</v>
      </c>
    </row>
    <row r="33">
      <c r="A33" s="41">
        <v>29.0</v>
      </c>
      <c r="B33" s="46" t="s">
        <v>2752</v>
      </c>
      <c r="C33" s="46">
        <v>19688.0</v>
      </c>
      <c r="D33" s="46" t="s">
        <v>679</v>
      </c>
      <c r="E33" s="38"/>
      <c r="F33" s="28"/>
      <c r="G33" s="29"/>
      <c r="H33" s="30">
        <v>15000.0</v>
      </c>
      <c r="I33" s="31"/>
      <c r="J33" s="35"/>
      <c r="K33" s="33"/>
      <c r="L33" s="47">
        <v>15000.0</v>
      </c>
      <c r="M33" s="18">
        <f t="shared" si="1"/>
        <v>0</v>
      </c>
    </row>
    <row r="34">
      <c r="A34" s="41">
        <v>30.0</v>
      </c>
      <c r="B34" s="46" t="s">
        <v>2753</v>
      </c>
      <c r="C34" s="46">
        <v>39588.0</v>
      </c>
      <c r="D34" s="46" t="s">
        <v>274</v>
      </c>
      <c r="E34" s="27"/>
      <c r="F34" s="28"/>
      <c r="G34" s="29"/>
      <c r="H34" s="30">
        <v>4500.0</v>
      </c>
      <c r="I34" s="31"/>
      <c r="J34" s="35"/>
      <c r="K34" s="33"/>
      <c r="L34" s="47">
        <v>4500.0</v>
      </c>
      <c r="M34" s="18">
        <f t="shared" si="1"/>
        <v>0</v>
      </c>
    </row>
    <row r="35">
      <c r="A35" s="41">
        <v>31.0</v>
      </c>
      <c r="B35" s="46" t="s">
        <v>2754</v>
      </c>
      <c r="C35" s="46">
        <v>48338.0</v>
      </c>
      <c r="D35" s="46" t="s">
        <v>836</v>
      </c>
      <c r="E35" s="27"/>
      <c r="F35" s="28"/>
      <c r="G35" s="29"/>
      <c r="H35" s="30">
        <v>10000.0</v>
      </c>
      <c r="I35" s="31"/>
      <c r="J35" s="32"/>
      <c r="K35" s="33"/>
      <c r="L35" s="47">
        <v>10000.0</v>
      </c>
      <c r="M35" s="18">
        <f t="shared" si="1"/>
        <v>0</v>
      </c>
    </row>
    <row r="36">
      <c r="A36" s="41">
        <v>32.0</v>
      </c>
      <c r="B36" s="46" t="s">
        <v>2755</v>
      </c>
      <c r="C36" s="46">
        <v>31927.0</v>
      </c>
      <c r="D36" s="46" t="s">
        <v>183</v>
      </c>
      <c r="E36" s="27"/>
      <c r="F36" s="28"/>
      <c r="G36" s="29"/>
      <c r="H36" s="30">
        <v>200.0</v>
      </c>
      <c r="I36" s="31"/>
      <c r="J36" s="32"/>
      <c r="K36" s="33"/>
      <c r="L36" s="47">
        <v>200.0</v>
      </c>
      <c r="M36" s="18">
        <f t="shared" si="1"/>
        <v>0</v>
      </c>
    </row>
    <row r="37">
      <c r="A37" s="41">
        <v>33.0</v>
      </c>
      <c r="B37" s="46" t="s">
        <v>2756</v>
      </c>
      <c r="C37" s="46">
        <v>15709.0</v>
      </c>
      <c r="D37" s="46" t="s">
        <v>1333</v>
      </c>
      <c r="E37" s="27"/>
      <c r="F37" s="28"/>
      <c r="G37" s="29"/>
      <c r="H37" s="30">
        <v>400.0</v>
      </c>
      <c r="I37" s="31"/>
      <c r="J37" s="32"/>
      <c r="K37" s="33"/>
      <c r="L37" s="47">
        <v>400.0</v>
      </c>
      <c r="M37" s="18">
        <f t="shared" si="1"/>
        <v>0</v>
      </c>
    </row>
    <row r="38">
      <c r="A38" s="41">
        <v>34.0</v>
      </c>
      <c r="B38" s="46" t="s">
        <v>2757</v>
      </c>
      <c r="C38" s="46">
        <v>54582.0</v>
      </c>
      <c r="D38" s="46" t="s">
        <v>2758</v>
      </c>
      <c r="E38" s="27"/>
      <c r="F38" s="37"/>
      <c r="G38" s="29"/>
      <c r="H38" s="30"/>
      <c r="I38" s="31">
        <v>15000.0</v>
      </c>
      <c r="J38" s="32"/>
      <c r="K38" s="33"/>
      <c r="L38" s="47">
        <v>15000.0</v>
      </c>
      <c r="M38" s="18">
        <f t="shared" si="1"/>
        <v>0</v>
      </c>
    </row>
    <row r="39">
      <c r="A39" s="41">
        <v>35.0</v>
      </c>
      <c r="B39" s="46" t="s">
        <v>2759</v>
      </c>
      <c r="C39" s="46">
        <v>16043.0</v>
      </c>
      <c r="D39" s="46" t="s">
        <v>2760</v>
      </c>
      <c r="E39" s="38"/>
      <c r="F39" s="37"/>
      <c r="G39" s="29"/>
      <c r="H39" s="30">
        <v>5000.0</v>
      </c>
      <c r="I39" s="31"/>
      <c r="J39" s="35"/>
      <c r="K39" s="33"/>
      <c r="L39" s="47">
        <v>5000.0</v>
      </c>
      <c r="M39" s="18">
        <f t="shared" si="1"/>
        <v>0</v>
      </c>
    </row>
    <row r="40">
      <c r="A40" s="41">
        <v>36.0</v>
      </c>
      <c r="B40" s="46" t="s">
        <v>2761</v>
      </c>
      <c r="C40" s="46">
        <v>52639.0</v>
      </c>
      <c r="D40" s="46" t="s">
        <v>2762</v>
      </c>
      <c r="E40" s="27"/>
      <c r="F40" s="37"/>
      <c r="G40" s="29"/>
      <c r="H40" s="30">
        <v>5000.0</v>
      </c>
      <c r="I40" s="31"/>
      <c r="J40" s="32"/>
      <c r="K40" s="33"/>
      <c r="L40" s="47">
        <v>5000.0</v>
      </c>
      <c r="M40" s="18">
        <f t="shared" si="1"/>
        <v>0</v>
      </c>
    </row>
    <row r="41">
      <c r="A41" s="41">
        <v>37.0</v>
      </c>
      <c r="B41" s="46" t="s">
        <v>2763</v>
      </c>
      <c r="C41" s="46">
        <v>15709.0</v>
      </c>
      <c r="D41" s="46" t="s">
        <v>1333</v>
      </c>
      <c r="E41" s="27"/>
      <c r="F41" s="28"/>
      <c r="G41" s="29"/>
      <c r="H41" s="30">
        <v>5000.0</v>
      </c>
      <c r="I41" s="31"/>
      <c r="J41" s="35"/>
      <c r="K41" s="33"/>
      <c r="L41" s="47">
        <v>5000.0</v>
      </c>
      <c r="M41" s="18">
        <f t="shared" si="1"/>
        <v>0</v>
      </c>
    </row>
    <row r="42">
      <c r="A42" s="41">
        <v>38.0</v>
      </c>
      <c r="B42" s="46" t="s">
        <v>2764</v>
      </c>
      <c r="C42" s="46">
        <v>22727.0</v>
      </c>
      <c r="D42" s="46" t="s">
        <v>162</v>
      </c>
      <c r="E42" s="27"/>
      <c r="F42" s="28"/>
      <c r="G42" s="29"/>
      <c r="H42" s="30">
        <v>25000.0</v>
      </c>
      <c r="I42" s="31"/>
      <c r="J42" s="35"/>
      <c r="K42" s="33"/>
      <c r="L42" s="47">
        <v>25000.0</v>
      </c>
      <c r="M42" s="18">
        <f t="shared" si="1"/>
        <v>0</v>
      </c>
    </row>
    <row r="43">
      <c r="A43" s="41">
        <v>39.0</v>
      </c>
      <c r="B43" s="46" t="s">
        <v>2765</v>
      </c>
      <c r="C43" s="46">
        <v>44117.0</v>
      </c>
      <c r="D43" s="46" t="s">
        <v>2766</v>
      </c>
      <c r="E43" s="27"/>
      <c r="F43" s="37"/>
      <c r="G43" s="29"/>
      <c r="H43" s="30">
        <v>3600.0</v>
      </c>
      <c r="I43" s="36"/>
      <c r="J43" s="32"/>
      <c r="K43" s="33"/>
      <c r="L43" s="47">
        <v>3600.0</v>
      </c>
      <c r="M43" s="18">
        <f t="shared" si="1"/>
        <v>0</v>
      </c>
    </row>
    <row r="44">
      <c r="A44" s="41">
        <v>40.0</v>
      </c>
      <c r="B44" s="46" t="s">
        <v>2767</v>
      </c>
      <c r="C44" s="46">
        <v>49825.0</v>
      </c>
      <c r="D44" s="46" t="s">
        <v>640</v>
      </c>
      <c r="E44" s="27"/>
      <c r="F44" s="37"/>
      <c r="G44" s="29"/>
      <c r="H44" s="30">
        <v>1250.0</v>
      </c>
      <c r="I44" s="31"/>
      <c r="J44" s="32"/>
      <c r="K44" s="33"/>
      <c r="L44" s="47">
        <v>1250.0</v>
      </c>
      <c r="M44" s="18">
        <f t="shared" si="1"/>
        <v>0</v>
      </c>
    </row>
    <row r="45">
      <c r="A45" s="41">
        <v>41.0</v>
      </c>
      <c r="B45" s="46" t="s">
        <v>2768</v>
      </c>
      <c r="C45" s="46">
        <v>46684.0</v>
      </c>
      <c r="D45" s="46" t="s">
        <v>2769</v>
      </c>
      <c r="E45" s="27"/>
      <c r="F45" s="37"/>
      <c r="G45" s="29"/>
      <c r="H45" s="30"/>
      <c r="I45" s="31">
        <v>5150.0</v>
      </c>
      <c r="J45" s="32"/>
      <c r="K45" s="33"/>
      <c r="L45" s="47">
        <v>5150.0</v>
      </c>
      <c r="M45" s="18">
        <f t="shared" si="1"/>
        <v>0</v>
      </c>
    </row>
    <row r="46">
      <c r="A46" s="41">
        <v>42.0</v>
      </c>
      <c r="B46" s="46" t="s">
        <v>2770</v>
      </c>
      <c r="C46" s="46">
        <v>51521.0</v>
      </c>
      <c r="D46" s="46" t="s">
        <v>2771</v>
      </c>
      <c r="E46" s="27"/>
      <c r="F46" s="37"/>
      <c r="G46" s="29"/>
      <c r="H46" s="30"/>
      <c r="I46" s="31">
        <v>5150.0</v>
      </c>
      <c r="J46" s="32"/>
      <c r="K46" s="33"/>
      <c r="L46" s="47">
        <v>5150.0</v>
      </c>
      <c r="M46" s="18">
        <f t="shared" si="1"/>
        <v>0</v>
      </c>
    </row>
    <row r="47">
      <c r="A47" s="41">
        <v>43.0</v>
      </c>
      <c r="B47" s="46" t="s">
        <v>2772</v>
      </c>
      <c r="C47" s="46">
        <v>48052.0</v>
      </c>
      <c r="D47" s="46" t="s">
        <v>796</v>
      </c>
      <c r="E47" s="27"/>
      <c r="F47" s="37"/>
      <c r="G47" s="29"/>
      <c r="H47" s="30">
        <v>1250.0</v>
      </c>
      <c r="I47" s="31"/>
      <c r="J47" s="32"/>
      <c r="K47" s="33"/>
      <c r="L47" s="47">
        <v>1250.0</v>
      </c>
      <c r="M47" s="18">
        <f t="shared" si="1"/>
        <v>0</v>
      </c>
    </row>
    <row r="48">
      <c r="A48" s="41">
        <v>44.0</v>
      </c>
      <c r="B48" s="46" t="s">
        <v>2773</v>
      </c>
      <c r="C48" s="46">
        <v>51225.0</v>
      </c>
      <c r="D48" s="46" t="s">
        <v>2774</v>
      </c>
      <c r="E48" s="27"/>
      <c r="F48" s="37"/>
      <c r="G48" s="29"/>
      <c r="H48" s="30"/>
      <c r="I48" s="31">
        <v>300.0</v>
      </c>
      <c r="J48" s="32"/>
      <c r="K48" s="33"/>
      <c r="L48" s="47">
        <v>300.0</v>
      </c>
      <c r="M48" s="18">
        <f t="shared" si="1"/>
        <v>0</v>
      </c>
    </row>
    <row r="49">
      <c r="A49" s="41">
        <v>45.0</v>
      </c>
      <c r="B49" s="46" t="s">
        <v>2775</v>
      </c>
      <c r="C49" s="46">
        <v>51406.0</v>
      </c>
      <c r="D49" s="46" t="s">
        <v>18</v>
      </c>
      <c r="E49" s="27"/>
      <c r="F49" s="37">
        <v>22100.0</v>
      </c>
      <c r="G49" s="29"/>
      <c r="H49" s="30"/>
      <c r="I49" s="31"/>
      <c r="J49" s="32"/>
      <c r="K49" s="33"/>
      <c r="L49" s="47">
        <v>22100.0</v>
      </c>
      <c r="M49" s="18">
        <f t="shared" si="1"/>
        <v>0</v>
      </c>
    </row>
    <row r="50">
      <c r="A50" s="41">
        <v>46.0</v>
      </c>
      <c r="B50" s="46" t="s">
        <v>2776</v>
      </c>
      <c r="C50" s="46">
        <v>10095.0</v>
      </c>
      <c r="D50" s="46" t="s">
        <v>2777</v>
      </c>
      <c r="E50" s="27"/>
      <c r="F50" s="37"/>
      <c r="G50" s="29"/>
      <c r="H50" s="30"/>
      <c r="I50" s="31">
        <v>4180.0</v>
      </c>
      <c r="J50" s="32"/>
      <c r="K50" s="33"/>
      <c r="L50" s="47">
        <v>4180.0</v>
      </c>
      <c r="M50" s="18">
        <f t="shared" si="1"/>
        <v>0</v>
      </c>
    </row>
    <row r="51">
      <c r="A51" s="41">
        <v>47.0</v>
      </c>
      <c r="B51" s="46" t="s">
        <v>2778</v>
      </c>
      <c r="C51" s="46">
        <v>53717.0</v>
      </c>
      <c r="D51" s="46" t="s">
        <v>1404</v>
      </c>
      <c r="E51" s="27"/>
      <c r="F51" s="37"/>
      <c r="G51" s="29"/>
      <c r="H51" s="30"/>
      <c r="I51" s="31">
        <v>5150.0</v>
      </c>
      <c r="J51" s="32"/>
      <c r="K51" s="33"/>
      <c r="L51" s="47">
        <v>5150.0</v>
      </c>
      <c r="M51" s="18">
        <f t="shared" si="1"/>
        <v>0</v>
      </c>
    </row>
    <row r="52">
      <c r="A52" s="41">
        <v>48.0</v>
      </c>
      <c r="B52" s="46" t="s">
        <v>2779</v>
      </c>
      <c r="C52" s="46">
        <v>50439.0</v>
      </c>
      <c r="D52" s="46" t="s">
        <v>2100</v>
      </c>
      <c r="E52" s="27"/>
      <c r="F52" s="37"/>
      <c r="G52" s="29"/>
      <c r="H52" s="30">
        <v>5000.0</v>
      </c>
      <c r="I52" s="31"/>
      <c r="J52" s="32"/>
      <c r="K52" s="33"/>
      <c r="L52" s="47">
        <v>5000.0</v>
      </c>
      <c r="M52" s="18">
        <f t="shared" si="1"/>
        <v>0</v>
      </c>
    </row>
    <row r="53">
      <c r="A53" s="41">
        <v>49.0</v>
      </c>
      <c r="B53" s="46" t="s">
        <v>2780</v>
      </c>
      <c r="C53" s="46">
        <v>50439.0</v>
      </c>
      <c r="D53" s="46" t="s">
        <v>2100</v>
      </c>
      <c r="E53" s="27"/>
      <c r="F53" s="37"/>
      <c r="G53" s="29"/>
      <c r="H53" s="30">
        <v>5000.0</v>
      </c>
      <c r="I53" s="31"/>
      <c r="J53" s="32"/>
      <c r="K53" s="33"/>
      <c r="L53" s="47">
        <v>5000.0</v>
      </c>
      <c r="M53" s="18">
        <f t="shared" si="1"/>
        <v>0</v>
      </c>
    </row>
    <row r="54">
      <c r="A54" s="41">
        <v>50.0</v>
      </c>
      <c r="B54" s="46" t="s">
        <v>2781</v>
      </c>
      <c r="C54" s="46">
        <v>48862.0</v>
      </c>
      <c r="D54" s="46" t="s">
        <v>2312</v>
      </c>
      <c r="E54" s="27"/>
      <c r="F54" s="37"/>
      <c r="G54" s="29"/>
      <c r="H54" s="30">
        <v>3200.0</v>
      </c>
      <c r="I54" s="31"/>
      <c r="J54" s="32"/>
      <c r="K54" s="33"/>
      <c r="L54" s="47">
        <v>3200.0</v>
      </c>
      <c r="M54" s="18">
        <f t="shared" si="1"/>
        <v>0</v>
      </c>
    </row>
    <row r="55">
      <c r="A55" s="41">
        <v>51.0</v>
      </c>
      <c r="B55" s="46" t="s">
        <v>2782</v>
      </c>
      <c r="C55" s="46">
        <v>53064.0</v>
      </c>
      <c r="D55" s="46" t="s">
        <v>168</v>
      </c>
      <c r="E55" s="27"/>
      <c r="F55" s="37"/>
      <c r="G55" s="29"/>
      <c r="H55" s="30"/>
      <c r="I55" s="31">
        <v>5150.0</v>
      </c>
      <c r="J55" s="32"/>
      <c r="K55" s="33"/>
      <c r="L55" s="47">
        <v>5150.0</v>
      </c>
      <c r="M55" s="18">
        <f t="shared" si="1"/>
        <v>0</v>
      </c>
    </row>
    <row r="56">
      <c r="A56" s="41">
        <v>52.0</v>
      </c>
      <c r="B56" s="46" t="s">
        <v>2783</v>
      </c>
      <c r="C56" s="46">
        <v>57125.0</v>
      </c>
      <c r="D56" s="46" t="s">
        <v>1769</v>
      </c>
      <c r="E56" s="27"/>
      <c r="F56" s="37"/>
      <c r="G56" s="29"/>
      <c r="H56" s="30">
        <v>2900.0</v>
      </c>
      <c r="I56" s="31"/>
      <c r="J56" s="32"/>
      <c r="K56" s="33"/>
      <c r="L56" s="47">
        <v>2900.0</v>
      </c>
      <c r="M56" s="18">
        <f t="shared" si="1"/>
        <v>0</v>
      </c>
    </row>
    <row r="57">
      <c r="A57" s="41">
        <v>53.0</v>
      </c>
      <c r="B57" s="46" t="s">
        <v>2784</v>
      </c>
      <c r="C57" s="46">
        <v>54226.0</v>
      </c>
      <c r="D57" s="46" t="s">
        <v>136</v>
      </c>
      <c r="E57" s="27"/>
      <c r="F57" s="37"/>
      <c r="G57" s="29"/>
      <c r="H57" s="30">
        <v>27000.0</v>
      </c>
      <c r="I57" s="31"/>
      <c r="J57" s="32"/>
      <c r="K57" s="33"/>
      <c r="L57" s="47">
        <v>27000.0</v>
      </c>
      <c r="M57" s="18">
        <f t="shared" si="1"/>
        <v>0</v>
      </c>
    </row>
    <row r="58">
      <c r="A58" s="41">
        <v>54.0</v>
      </c>
      <c r="B58" s="46" t="s">
        <v>2785</v>
      </c>
      <c r="C58" s="46">
        <v>22332.0</v>
      </c>
      <c r="D58" s="46" t="s">
        <v>138</v>
      </c>
      <c r="E58" s="27"/>
      <c r="F58" s="37"/>
      <c r="G58" s="29"/>
      <c r="H58" s="30">
        <v>5000.0</v>
      </c>
      <c r="I58" s="31"/>
      <c r="J58" s="32"/>
      <c r="K58" s="33"/>
      <c r="L58" s="47">
        <v>5000.0</v>
      </c>
      <c r="M58" s="18">
        <f t="shared" si="1"/>
        <v>0</v>
      </c>
    </row>
    <row r="59">
      <c r="A59" s="41">
        <v>55.0</v>
      </c>
      <c r="B59" s="46" t="s">
        <v>2786</v>
      </c>
      <c r="C59" s="46">
        <v>42071.0</v>
      </c>
      <c r="D59" s="46" t="s">
        <v>30</v>
      </c>
      <c r="E59" s="27"/>
      <c r="F59" s="37"/>
      <c r="G59" s="29"/>
      <c r="H59" s="30"/>
      <c r="I59" s="31">
        <v>1400.0</v>
      </c>
      <c r="J59" s="32"/>
      <c r="K59" s="33"/>
      <c r="L59" s="47">
        <v>1400.0</v>
      </c>
      <c r="M59" s="18">
        <f t="shared" si="1"/>
        <v>0</v>
      </c>
    </row>
    <row r="60">
      <c r="A60" s="41">
        <v>56.0</v>
      </c>
      <c r="B60" s="46" t="s">
        <v>2787</v>
      </c>
      <c r="C60" s="46">
        <v>52755.0</v>
      </c>
      <c r="D60" s="46" t="s">
        <v>1077</v>
      </c>
      <c r="E60" s="27"/>
      <c r="F60" s="37">
        <v>1250.0</v>
      </c>
      <c r="G60" s="29"/>
      <c r="H60" s="30"/>
      <c r="I60" s="31"/>
      <c r="J60" s="32"/>
      <c r="K60" s="33"/>
      <c r="L60" s="47">
        <v>1250.0</v>
      </c>
      <c r="M60" s="18">
        <f t="shared" si="1"/>
        <v>0</v>
      </c>
    </row>
    <row r="61">
      <c r="A61" s="41">
        <v>57.0</v>
      </c>
      <c r="B61" s="46" t="s">
        <v>2788</v>
      </c>
      <c r="C61" s="46">
        <v>19688.0</v>
      </c>
      <c r="D61" s="46" t="s">
        <v>679</v>
      </c>
      <c r="E61" s="27"/>
      <c r="F61" s="37"/>
      <c r="G61" s="29"/>
      <c r="H61" s="30"/>
      <c r="I61" s="31">
        <v>30000.0</v>
      </c>
      <c r="J61" s="32"/>
      <c r="K61" s="33"/>
      <c r="L61" s="47">
        <v>30000.0</v>
      </c>
      <c r="M61" s="18">
        <f t="shared" si="1"/>
        <v>0</v>
      </c>
    </row>
    <row r="62">
      <c r="A62" s="41">
        <v>58.0</v>
      </c>
      <c r="B62" s="46" t="s">
        <v>2789</v>
      </c>
      <c r="C62" s="46">
        <v>49864.0</v>
      </c>
      <c r="D62" s="46" t="s">
        <v>687</v>
      </c>
      <c r="E62" s="38"/>
      <c r="F62" s="37"/>
      <c r="G62" s="29"/>
      <c r="H62" s="30">
        <v>1427.0</v>
      </c>
      <c r="I62" s="31"/>
      <c r="J62" s="32"/>
      <c r="K62" s="33"/>
      <c r="L62" s="47">
        <v>1427.0</v>
      </c>
      <c r="M62" s="18">
        <f t="shared" si="1"/>
        <v>0</v>
      </c>
    </row>
    <row r="63">
      <c r="A63" s="41">
        <v>59.0</v>
      </c>
      <c r="B63" s="46" t="s">
        <v>2790</v>
      </c>
      <c r="C63" s="46">
        <v>57063.0</v>
      </c>
      <c r="D63" s="46" t="s">
        <v>2791</v>
      </c>
      <c r="E63" s="27"/>
      <c r="F63" s="37"/>
      <c r="G63" s="29"/>
      <c r="H63" s="30"/>
      <c r="I63" s="31">
        <v>300.0</v>
      </c>
      <c r="J63" s="32"/>
      <c r="K63" s="33"/>
      <c r="L63" s="47">
        <v>300.0</v>
      </c>
      <c r="M63" s="18">
        <f t="shared" si="1"/>
        <v>0</v>
      </c>
    </row>
    <row r="64">
      <c r="A64" s="41">
        <v>60.0</v>
      </c>
      <c r="B64" s="46" t="s">
        <v>2792</v>
      </c>
      <c r="C64" s="46">
        <v>19688.0</v>
      </c>
      <c r="D64" s="46" t="s">
        <v>679</v>
      </c>
      <c r="E64" s="27"/>
      <c r="F64" s="37"/>
      <c r="G64" s="29"/>
      <c r="H64" s="30"/>
      <c r="I64" s="31">
        <v>10000.0</v>
      </c>
      <c r="J64" s="32"/>
      <c r="K64" s="33"/>
      <c r="L64" s="47">
        <v>10000.0</v>
      </c>
      <c r="M64" s="18">
        <f t="shared" si="1"/>
        <v>0</v>
      </c>
    </row>
    <row r="65">
      <c r="A65" s="41">
        <v>61.0</v>
      </c>
      <c r="B65" s="46" t="s">
        <v>2793</v>
      </c>
      <c r="C65" s="46">
        <v>21818.0</v>
      </c>
      <c r="D65" s="46" t="s">
        <v>69</v>
      </c>
      <c r="E65" s="38">
        <v>37137.0</v>
      </c>
      <c r="F65" s="37"/>
      <c r="G65" s="29"/>
      <c r="H65" s="30"/>
      <c r="I65" s="31"/>
      <c r="J65" s="35">
        <v>713.0</v>
      </c>
      <c r="K65" s="33"/>
      <c r="L65" s="47">
        <v>37850.0</v>
      </c>
      <c r="M65" s="18">
        <f t="shared" si="1"/>
        <v>0</v>
      </c>
    </row>
    <row r="66">
      <c r="A66" s="41">
        <v>62.0</v>
      </c>
      <c r="B66" s="46" t="s">
        <v>2794</v>
      </c>
      <c r="C66" s="46">
        <v>21818.0</v>
      </c>
      <c r="D66" s="46" t="s">
        <v>69</v>
      </c>
      <c r="E66" s="38">
        <v>5500.0</v>
      </c>
      <c r="F66" s="37"/>
      <c r="G66" s="29"/>
      <c r="H66" s="30">
        <v>2500.0</v>
      </c>
      <c r="I66" s="31"/>
      <c r="J66" s="32"/>
      <c r="K66" s="33"/>
      <c r="L66" s="47">
        <v>8000.0</v>
      </c>
      <c r="M66" s="18">
        <f t="shared" si="1"/>
        <v>0</v>
      </c>
    </row>
    <row r="67">
      <c r="A67" s="41">
        <v>63.0</v>
      </c>
      <c r="B67" s="46" t="s">
        <v>2795</v>
      </c>
      <c r="C67" s="46">
        <v>57869.0</v>
      </c>
      <c r="D67" s="46" t="s">
        <v>2796</v>
      </c>
      <c r="E67" s="27"/>
      <c r="F67" s="37"/>
      <c r="G67" s="29"/>
      <c r="H67" s="30">
        <v>27000.0</v>
      </c>
      <c r="I67" s="31"/>
      <c r="J67" s="32"/>
      <c r="K67" s="33"/>
      <c r="L67" s="47">
        <v>27000.0</v>
      </c>
      <c r="M67" s="18">
        <f t="shared" si="1"/>
        <v>0</v>
      </c>
    </row>
    <row r="68">
      <c r="A68" s="41">
        <v>64.0</v>
      </c>
      <c r="B68" s="46" t="s">
        <v>2797</v>
      </c>
      <c r="C68" s="46">
        <v>57870.0</v>
      </c>
      <c r="D68" s="46" t="s">
        <v>2798</v>
      </c>
      <c r="E68" s="27"/>
      <c r="F68" s="37"/>
      <c r="G68" s="29"/>
      <c r="H68" s="30">
        <v>7250.0</v>
      </c>
      <c r="I68" s="31"/>
      <c r="J68" s="32"/>
      <c r="K68" s="33"/>
      <c r="L68" s="47">
        <v>7250.0</v>
      </c>
      <c r="M68" s="18">
        <f t="shared" si="1"/>
        <v>0</v>
      </c>
    </row>
    <row r="69">
      <c r="A69" s="41">
        <v>65.0</v>
      </c>
      <c r="B69" s="46" t="s">
        <v>2799</v>
      </c>
      <c r="C69" s="46">
        <v>57063.0</v>
      </c>
      <c r="D69" s="46" t="s">
        <v>2791</v>
      </c>
      <c r="E69" s="38"/>
      <c r="F69" s="37"/>
      <c r="G69" s="29"/>
      <c r="H69" s="30">
        <v>3350.0</v>
      </c>
      <c r="I69" s="31"/>
      <c r="J69" s="35"/>
      <c r="K69" s="33"/>
      <c r="L69" s="47">
        <v>3350.0</v>
      </c>
      <c r="M69" s="18">
        <f t="shared" si="1"/>
        <v>0</v>
      </c>
    </row>
    <row r="70">
      <c r="A70" s="41">
        <v>66.0</v>
      </c>
      <c r="B70" s="46" t="s">
        <v>2800</v>
      </c>
      <c r="C70" s="46">
        <v>13781.0</v>
      </c>
      <c r="D70" s="46" t="s">
        <v>278</v>
      </c>
      <c r="E70" s="27"/>
      <c r="F70" s="37"/>
      <c r="G70" s="29"/>
      <c r="H70" s="30">
        <v>2700.0</v>
      </c>
      <c r="I70" s="31"/>
      <c r="J70" s="32"/>
      <c r="K70" s="33"/>
      <c r="L70" s="47">
        <v>2700.0</v>
      </c>
      <c r="M70" s="18">
        <f t="shared" si="1"/>
        <v>0</v>
      </c>
    </row>
    <row r="71">
      <c r="A71" s="41">
        <v>67.0</v>
      </c>
      <c r="B71" s="46" t="s">
        <v>2801</v>
      </c>
      <c r="C71" s="46">
        <v>53074.0</v>
      </c>
      <c r="D71" s="46" t="s">
        <v>2802</v>
      </c>
      <c r="E71" s="27"/>
      <c r="F71" s="37"/>
      <c r="G71" s="29"/>
      <c r="H71" s="30"/>
      <c r="I71" s="31">
        <v>300.0</v>
      </c>
      <c r="J71" s="32"/>
      <c r="K71" s="33"/>
      <c r="L71" s="47">
        <v>300.0</v>
      </c>
      <c r="M71" s="18">
        <f t="shared" si="1"/>
        <v>0</v>
      </c>
    </row>
    <row r="72">
      <c r="A72" s="41">
        <v>68.0</v>
      </c>
      <c r="B72" s="46" t="s">
        <v>2803</v>
      </c>
      <c r="C72" s="46">
        <v>56433.0</v>
      </c>
      <c r="D72" s="46" t="s">
        <v>2170</v>
      </c>
      <c r="E72" s="27"/>
      <c r="F72" s="37"/>
      <c r="G72" s="29"/>
      <c r="H72" s="30"/>
      <c r="I72" s="31">
        <v>50000.0</v>
      </c>
      <c r="J72" s="32"/>
      <c r="K72" s="33"/>
      <c r="L72" s="47">
        <v>50000.0</v>
      </c>
      <c r="M72" s="18">
        <f t="shared" si="1"/>
        <v>0</v>
      </c>
    </row>
    <row r="73">
      <c r="A73" s="41">
        <v>69.0</v>
      </c>
      <c r="B73" s="46" t="s">
        <v>2804</v>
      </c>
      <c r="C73" s="46">
        <v>10697.0</v>
      </c>
      <c r="D73" s="46" t="s">
        <v>2805</v>
      </c>
      <c r="E73" s="27"/>
      <c r="F73" s="37"/>
      <c r="G73" s="29"/>
      <c r="H73" s="30">
        <v>2700.0</v>
      </c>
      <c r="I73" s="31"/>
      <c r="J73" s="32"/>
      <c r="K73" s="33"/>
      <c r="L73" s="47">
        <v>2700.0</v>
      </c>
      <c r="M73" s="18">
        <f t="shared" si="1"/>
        <v>0</v>
      </c>
    </row>
    <row r="74">
      <c r="A74" s="41">
        <v>70.0</v>
      </c>
      <c r="B74" s="46" t="s">
        <v>2806</v>
      </c>
      <c r="C74" s="46">
        <v>48372.0</v>
      </c>
      <c r="D74" s="46" t="s">
        <v>2807</v>
      </c>
      <c r="E74" s="27"/>
      <c r="F74" s="37"/>
      <c r="G74" s="29"/>
      <c r="H74" s="30"/>
      <c r="I74" s="31">
        <v>400.0</v>
      </c>
      <c r="J74" s="32"/>
      <c r="K74" s="33"/>
      <c r="L74" s="47">
        <v>400.0</v>
      </c>
      <c r="M74" s="18">
        <f t="shared" si="1"/>
        <v>0</v>
      </c>
    </row>
    <row r="75">
      <c r="A75" s="41">
        <v>71.0</v>
      </c>
      <c r="B75" s="46" t="s">
        <v>2808</v>
      </c>
      <c r="C75" s="46">
        <v>57558.0</v>
      </c>
      <c r="D75" s="46" t="s">
        <v>1281</v>
      </c>
      <c r="E75" s="27"/>
      <c r="F75" s="37"/>
      <c r="G75" s="29"/>
      <c r="H75" s="30"/>
      <c r="I75" s="31">
        <v>1285.0</v>
      </c>
      <c r="J75" s="32"/>
      <c r="K75" s="33"/>
      <c r="L75" s="47">
        <v>1285.0</v>
      </c>
      <c r="M75" s="18">
        <f t="shared" si="1"/>
        <v>0</v>
      </c>
    </row>
    <row r="76">
      <c r="A76" s="41">
        <v>72.0</v>
      </c>
      <c r="B76" s="46" t="s">
        <v>2809</v>
      </c>
      <c r="C76" s="46">
        <v>56361.0</v>
      </c>
      <c r="D76" s="46" t="s">
        <v>2810</v>
      </c>
      <c r="E76" s="27"/>
      <c r="F76" s="37"/>
      <c r="G76" s="29"/>
      <c r="H76" s="30">
        <v>5150.0</v>
      </c>
      <c r="I76" s="31"/>
      <c r="J76" s="32"/>
      <c r="K76" s="33"/>
      <c r="L76" s="47">
        <v>5150.0</v>
      </c>
      <c r="M76" s="18">
        <f t="shared" si="1"/>
        <v>0</v>
      </c>
    </row>
    <row r="77">
      <c r="A77" s="41">
        <v>73.0</v>
      </c>
      <c r="B77" s="46" t="s">
        <v>2811</v>
      </c>
      <c r="C77" s="46">
        <v>51017.0</v>
      </c>
      <c r="D77" s="46" t="s">
        <v>659</v>
      </c>
      <c r="E77" s="27"/>
      <c r="F77" s="37"/>
      <c r="G77" s="39">
        <v>30000.0</v>
      </c>
      <c r="H77" s="30"/>
      <c r="I77" s="31"/>
      <c r="J77" s="32"/>
      <c r="K77" s="33"/>
      <c r="L77" s="47">
        <v>30000.0</v>
      </c>
      <c r="M77" s="18">
        <f t="shared" si="1"/>
        <v>0</v>
      </c>
    </row>
    <row r="78">
      <c r="A78" s="41">
        <v>74.0</v>
      </c>
      <c r="B78" s="46" t="s">
        <v>2812</v>
      </c>
      <c r="C78" s="46">
        <v>50146.0</v>
      </c>
      <c r="D78" s="46" t="s">
        <v>129</v>
      </c>
      <c r="E78" s="27"/>
      <c r="F78" s="37"/>
      <c r="G78" s="39">
        <v>5000.0</v>
      </c>
      <c r="H78" s="30"/>
      <c r="I78" s="31"/>
      <c r="J78" s="32"/>
      <c r="K78" s="33"/>
      <c r="L78" s="47">
        <v>5000.0</v>
      </c>
      <c r="M78" s="18">
        <f t="shared" si="1"/>
        <v>0</v>
      </c>
    </row>
    <row r="79">
      <c r="A79" s="41">
        <v>75.0</v>
      </c>
      <c r="B79" s="46" t="s">
        <v>2813</v>
      </c>
      <c r="C79" s="46">
        <v>50593.0</v>
      </c>
      <c r="D79" s="46" t="s">
        <v>1048</v>
      </c>
      <c r="E79" s="27"/>
      <c r="F79" s="37"/>
      <c r="G79" s="39">
        <v>15000.0</v>
      </c>
      <c r="H79" s="30"/>
      <c r="I79" s="31"/>
      <c r="J79" s="32"/>
      <c r="K79" s="33"/>
      <c r="L79" s="47">
        <v>15000.0</v>
      </c>
      <c r="M79" s="18">
        <f t="shared" si="1"/>
        <v>0</v>
      </c>
    </row>
    <row r="80">
      <c r="A80" s="41">
        <v>76.0</v>
      </c>
      <c r="B80" s="46" t="s">
        <v>2814</v>
      </c>
      <c r="C80" s="46">
        <v>50593.0</v>
      </c>
      <c r="D80" s="46" t="s">
        <v>1048</v>
      </c>
      <c r="E80" s="27"/>
      <c r="F80" s="37"/>
      <c r="G80" s="39">
        <v>15000.0</v>
      </c>
      <c r="H80" s="30"/>
      <c r="I80" s="31"/>
      <c r="J80" s="32"/>
      <c r="K80" s="33"/>
      <c r="L80" s="47">
        <v>15000.0</v>
      </c>
      <c r="M80" s="18">
        <f t="shared" si="1"/>
        <v>0</v>
      </c>
    </row>
    <row r="81">
      <c r="A81" s="41">
        <v>77.0</v>
      </c>
      <c r="B81" s="46" t="s">
        <v>2815</v>
      </c>
      <c r="C81" s="46">
        <v>50593.0</v>
      </c>
      <c r="D81" s="46" t="s">
        <v>1048</v>
      </c>
      <c r="E81" s="27"/>
      <c r="F81" s="37"/>
      <c r="G81" s="39">
        <v>15000.0</v>
      </c>
      <c r="H81" s="30"/>
      <c r="I81" s="31"/>
      <c r="J81" s="32"/>
      <c r="K81" s="33"/>
      <c r="L81" s="47">
        <v>15000.0</v>
      </c>
      <c r="M81" s="18">
        <f t="shared" si="1"/>
        <v>0</v>
      </c>
    </row>
    <row r="82" hidden="1">
      <c r="A82" s="41">
        <v>90.0</v>
      </c>
      <c r="B82" s="46"/>
      <c r="C82" s="46"/>
      <c r="D82" s="46"/>
      <c r="E82" s="27"/>
      <c r="F82" s="37"/>
      <c r="G82" s="29"/>
      <c r="H82" s="30"/>
      <c r="I82" s="31"/>
      <c r="J82" s="35"/>
      <c r="K82" s="33"/>
      <c r="L82" s="47"/>
      <c r="M82" s="18">
        <f t="shared" si="1"/>
        <v>0</v>
      </c>
    </row>
    <row r="83" hidden="1">
      <c r="A83" s="41">
        <v>91.0</v>
      </c>
      <c r="B83" s="46"/>
      <c r="C83" s="46"/>
      <c r="D83" s="46"/>
      <c r="E83" s="27"/>
      <c r="F83" s="37"/>
      <c r="G83" s="39"/>
      <c r="H83" s="30"/>
      <c r="I83" s="31"/>
      <c r="J83" s="32"/>
      <c r="K83" s="33"/>
      <c r="L83" s="47"/>
      <c r="M83" s="18">
        <f t="shared" si="1"/>
        <v>0</v>
      </c>
    </row>
    <row r="84" hidden="1">
      <c r="A84" s="41">
        <v>92.0</v>
      </c>
      <c r="B84" s="46"/>
      <c r="C84" s="46"/>
      <c r="D84" s="46"/>
      <c r="E84" s="27"/>
      <c r="F84" s="37"/>
      <c r="G84" s="39"/>
      <c r="H84" s="30"/>
      <c r="I84" s="31"/>
      <c r="J84" s="32"/>
      <c r="K84" s="33"/>
      <c r="L84" s="47"/>
      <c r="M84" s="18">
        <f t="shared" si="1"/>
        <v>0</v>
      </c>
    </row>
    <row r="85" hidden="1">
      <c r="A85" s="41">
        <v>93.0</v>
      </c>
      <c r="B85" s="46"/>
      <c r="C85" s="46"/>
      <c r="D85" s="46"/>
      <c r="E85" s="38"/>
      <c r="F85" s="28"/>
      <c r="G85" s="39"/>
      <c r="H85" s="30"/>
      <c r="I85" s="31"/>
      <c r="J85" s="32"/>
      <c r="K85" s="33"/>
      <c r="L85" s="47"/>
      <c r="M85" s="18">
        <f t="shared" si="1"/>
        <v>0</v>
      </c>
    </row>
    <row r="86" hidden="1">
      <c r="A86" s="41">
        <v>97.0</v>
      </c>
      <c r="B86" s="46"/>
      <c r="C86" s="46"/>
      <c r="D86" s="46"/>
      <c r="E86" s="27"/>
      <c r="F86" s="28"/>
      <c r="G86" s="29"/>
      <c r="H86" s="30"/>
      <c r="I86" s="31"/>
      <c r="J86" s="32"/>
      <c r="K86" s="33"/>
      <c r="L86" s="47"/>
      <c r="M86" s="18">
        <f t="shared" si="1"/>
        <v>0</v>
      </c>
    </row>
    <row r="87" hidden="1">
      <c r="A87" s="41">
        <v>98.0</v>
      </c>
      <c r="B87" s="46"/>
      <c r="C87" s="46"/>
      <c r="D87" s="46"/>
      <c r="E87" s="38"/>
      <c r="F87" s="28"/>
      <c r="G87" s="29"/>
      <c r="H87" s="30"/>
      <c r="I87" s="31"/>
      <c r="J87" s="32"/>
      <c r="K87" s="33"/>
      <c r="L87" s="47"/>
      <c r="M87" s="18">
        <f t="shared" si="1"/>
        <v>0</v>
      </c>
    </row>
    <row r="88" hidden="1">
      <c r="A88" s="41">
        <v>99.0</v>
      </c>
      <c r="B88" s="46"/>
      <c r="C88" s="46"/>
      <c r="D88" s="46"/>
      <c r="E88" s="27"/>
      <c r="F88" s="37"/>
      <c r="G88" s="29"/>
      <c r="H88" s="30"/>
      <c r="I88" s="31"/>
      <c r="J88" s="32"/>
      <c r="K88" s="33"/>
      <c r="L88" s="47"/>
      <c r="M88" s="18">
        <f t="shared" si="1"/>
        <v>0</v>
      </c>
    </row>
    <row r="89" hidden="1">
      <c r="A89" s="41">
        <v>100.0</v>
      </c>
      <c r="B89" s="46"/>
      <c r="C89" s="46"/>
      <c r="D89" s="46"/>
      <c r="E89" s="27"/>
      <c r="F89" s="28"/>
      <c r="G89" s="29"/>
      <c r="H89" s="30"/>
      <c r="I89" s="31"/>
      <c r="J89" s="32"/>
      <c r="K89" s="33"/>
      <c r="L89" s="47"/>
      <c r="M89" s="18">
        <f t="shared" si="1"/>
        <v>0</v>
      </c>
    </row>
    <row r="90" hidden="1">
      <c r="A90" s="41">
        <v>101.0</v>
      </c>
      <c r="B90" s="46"/>
      <c r="C90" s="46"/>
      <c r="D90" s="46"/>
      <c r="E90" s="27"/>
      <c r="F90" s="28"/>
      <c r="G90" s="29"/>
      <c r="H90" s="30"/>
      <c r="I90" s="31"/>
      <c r="J90" s="32"/>
      <c r="K90" s="33"/>
      <c r="L90" s="47"/>
      <c r="M90" s="18">
        <f t="shared" si="1"/>
        <v>0</v>
      </c>
    </row>
    <row r="91" hidden="1">
      <c r="A91" s="41">
        <v>102.0</v>
      </c>
      <c r="B91" s="46"/>
      <c r="C91" s="46"/>
      <c r="D91" s="46"/>
      <c r="E91" s="27"/>
      <c r="F91" s="28"/>
      <c r="G91" s="29"/>
      <c r="H91" s="30"/>
      <c r="I91" s="31"/>
      <c r="J91" s="32"/>
      <c r="K91" s="33"/>
      <c r="L91" s="47"/>
      <c r="M91" s="18">
        <f t="shared" si="1"/>
        <v>0</v>
      </c>
    </row>
    <row r="92" hidden="1">
      <c r="A92" s="41">
        <v>103.0</v>
      </c>
      <c r="B92" s="46"/>
      <c r="C92" s="46"/>
      <c r="D92" s="46"/>
      <c r="E92" s="38"/>
      <c r="F92" s="37"/>
      <c r="G92" s="29"/>
      <c r="H92" s="30"/>
      <c r="I92" s="31"/>
      <c r="J92" s="32"/>
      <c r="K92" s="33"/>
      <c r="L92" s="47"/>
      <c r="M92" s="18">
        <f t="shared" si="1"/>
        <v>0</v>
      </c>
    </row>
    <row r="93" hidden="1">
      <c r="A93" s="41">
        <v>104.0</v>
      </c>
      <c r="B93" s="46"/>
      <c r="C93" s="46"/>
      <c r="D93" s="46"/>
      <c r="E93" s="38"/>
      <c r="F93" s="28"/>
      <c r="G93" s="39"/>
      <c r="H93" s="30"/>
      <c r="I93" s="31"/>
      <c r="J93" s="35"/>
      <c r="K93" s="33"/>
      <c r="L93" s="47"/>
      <c r="M93" s="18">
        <f t="shared" si="1"/>
        <v>0</v>
      </c>
    </row>
    <row r="94" hidden="1">
      <c r="A94" s="41">
        <v>105.0</v>
      </c>
      <c r="B94" s="46"/>
      <c r="C94" s="46"/>
      <c r="D94" s="46"/>
      <c r="E94" s="27"/>
      <c r="F94" s="28"/>
      <c r="G94" s="29"/>
      <c r="H94" s="30"/>
      <c r="I94" s="31"/>
      <c r="J94" s="32"/>
      <c r="K94" s="33"/>
      <c r="L94" s="47"/>
      <c r="M94" s="18">
        <f t="shared" si="1"/>
        <v>0</v>
      </c>
    </row>
    <row r="95" hidden="1">
      <c r="A95" s="41">
        <v>106.0</v>
      </c>
      <c r="B95" s="46"/>
      <c r="C95" s="46"/>
      <c r="D95" s="46"/>
      <c r="E95" s="38"/>
      <c r="F95" s="37"/>
      <c r="G95" s="29"/>
      <c r="H95" s="30"/>
      <c r="I95" s="31"/>
      <c r="J95" s="32"/>
      <c r="K95" s="33"/>
      <c r="L95" s="47"/>
      <c r="M95" s="18">
        <f t="shared" si="1"/>
        <v>0</v>
      </c>
    </row>
    <row r="96" hidden="1">
      <c r="A96" s="41">
        <v>107.0</v>
      </c>
      <c r="B96" s="46"/>
      <c r="C96" s="46"/>
      <c r="D96" s="46"/>
      <c r="E96" s="27"/>
      <c r="F96" s="37"/>
      <c r="G96" s="29"/>
      <c r="H96" s="30"/>
      <c r="I96" s="31"/>
      <c r="J96" s="32"/>
      <c r="K96" s="33"/>
      <c r="L96" s="47"/>
      <c r="M96" s="18">
        <f t="shared" si="1"/>
        <v>0</v>
      </c>
    </row>
    <row r="97" hidden="1">
      <c r="A97" s="41">
        <v>108.0</v>
      </c>
      <c r="B97" s="46"/>
      <c r="C97" s="46"/>
      <c r="D97" s="46"/>
      <c r="E97" s="27"/>
      <c r="F97" s="37"/>
      <c r="G97" s="29"/>
      <c r="H97" s="30"/>
      <c r="I97" s="36"/>
      <c r="J97" s="32"/>
      <c r="K97" s="33"/>
      <c r="L97" s="47"/>
      <c r="M97" s="18">
        <f t="shared" si="1"/>
        <v>0</v>
      </c>
    </row>
    <row r="98" hidden="1">
      <c r="A98" s="41">
        <v>109.0</v>
      </c>
      <c r="B98" s="46"/>
      <c r="C98" s="46"/>
      <c r="D98" s="46"/>
      <c r="E98" s="27"/>
      <c r="F98" s="28"/>
      <c r="G98" s="29"/>
      <c r="H98" s="30"/>
      <c r="I98" s="36"/>
      <c r="J98" s="32"/>
      <c r="K98" s="33"/>
      <c r="L98" s="47"/>
      <c r="M98" s="18">
        <f t="shared" si="1"/>
        <v>0</v>
      </c>
    </row>
    <row r="99" hidden="1">
      <c r="A99" s="41">
        <v>110.0</v>
      </c>
      <c r="B99" s="46"/>
      <c r="C99" s="46"/>
      <c r="D99" s="46"/>
      <c r="E99" s="38"/>
      <c r="F99" s="37"/>
      <c r="G99" s="29"/>
      <c r="H99" s="30"/>
      <c r="I99" s="31"/>
      <c r="J99" s="32"/>
      <c r="K99" s="33"/>
      <c r="L99" s="47"/>
      <c r="M99" s="18">
        <f t="shared" si="1"/>
        <v>0</v>
      </c>
    </row>
    <row r="100" hidden="1">
      <c r="A100" s="41">
        <v>111.0</v>
      </c>
      <c r="B100" s="46"/>
      <c r="C100" s="46"/>
      <c r="D100" s="46"/>
      <c r="E100" s="27"/>
      <c r="F100" s="37"/>
      <c r="G100" s="29"/>
      <c r="H100" s="30"/>
      <c r="I100" s="31"/>
      <c r="J100" s="35"/>
      <c r="K100" s="33"/>
      <c r="L100" s="47"/>
      <c r="M100" s="18">
        <f t="shared" si="1"/>
        <v>0</v>
      </c>
    </row>
    <row r="101" hidden="1">
      <c r="A101" s="41">
        <v>112.0</v>
      </c>
      <c r="B101" s="46"/>
      <c r="C101" s="46"/>
      <c r="D101" s="46"/>
      <c r="E101" s="38"/>
      <c r="F101" s="28"/>
      <c r="G101" s="29"/>
      <c r="H101" s="30"/>
      <c r="I101" s="31"/>
      <c r="J101" s="32"/>
      <c r="K101" s="33"/>
      <c r="L101" s="47"/>
      <c r="M101" s="18">
        <f t="shared" si="1"/>
        <v>0</v>
      </c>
    </row>
    <row r="102" hidden="1">
      <c r="A102" s="41">
        <v>113.0</v>
      </c>
      <c r="B102" s="46"/>
      <c r="C102" s="46"/>
      <c r="D102" s="46"/>
      <c r="E102" s="38"/>
      <c r="F102" s="37"/>
      <c r="G102" s="29"/>
      <c r="H102" s="30"/>
      <c r="I102" s="31"/>
      <c r="J102" s="32"/>
      <c r="K102" s="33"/>
      <c r="L102" s="47"/>
      <c r="M102" s="18">
        <f t="shared" si="1"/>
        <v>0</v>
      </c>
    </row>
    <row r="103" hidden="1">
      <c r="A103" s="41">
        <v>114.0</v>
      </c>
      <c r="B103" s="46"/>
      <c r="C103" s="46"/>
      <c r="D103" s="46"/>
      <c r="E103" s="38"/>
      <c r="F103" s="37"/>
      <c r="G103" s="29"/>
      <c r="H103" s="30"/>
      <c r="I103" s="31"/>
      <c r="J103" s="35"/>
      <c r="K103" s="33"/>
      <c r="L103" s="47"/>
      <c r="M103" s="18">
        <f t="shared" si="1"/>
        <v>0</v>
      </c>
    </row>
    <row r="104" hidden="1">
      <c r="A104" s="41">
        <v>115.0</v>
      </c>
      <c r="B104" s="46"/>
      <c r="C104" s="46"/>
      <c r="D104" s="46"/>
      <c r="E104" s="27"/>
      <c r="F104" s="37"/>
      <c r="G104" s="29"/>
      <c r="H104" s="30"/>
      <c r="I104" s="31"/>
      <c r="J104" s="32"/>
      <c r="K104" s="33"/>
      <c r="L104" s="47"/>
      <c r="M104" s="18">
        <f t="shared" si="1"/>
        <v>0</v>
      </c>
    </row>
    <row r="105" hidden="1">
      <c r="A105" s="41">
        <v>116.0</v>
      </c>
      <c r="B105" s="46"/>
      <c r="C105" s="46"/>
      <c r="D105" s="46"/>
      <c r="E105" s="27"/>
      <c r="F105" s="37"/>
      <c r="G105" s="29"/>
      <c r="H105" s="30"/>
      <c r="I105" s="31"/>
      <c r="J105" s="32"/>
      <c r="K105" s="33"/>
      <c r="L105" s="47"/>
      <c r="M105" s="18">
        <f t="shared" si="1"/>
        <v>0</v>
      </c>
    </row>
    <row r="106" hidden="1">
      <c r="A106" s="41">
        <v>117.0</v>
      </c>
      <c r="B106" s="46"/>
      <c r="C106" s="46"/>
      <c r="D106" s="46"/>
      <c r="E106" s="27"/>
      <c r="F106" s="37"/>
      <c r="G106" s="29"/>
      <c r="H106" s="30"/>
      <c r="I106" s="31"/>
      <c r="J106" s="32"/>
      <c r="K106" s="33"/>
      <c r="L106" s="47"/>
      <c r="M106" s="18">
        <f t="shared" si="1"/>
        <v>0</v>
      </c>
    </row>
    <row r="107" hidden="1">
      <c r="A107" s="41">
        <v>118.0</v>
      </c>
      <c r="B107" s="46"/>
      <c r="C107" s="46"/>
      <c r="D107" s="46"/>
      <c r="E107" s="38"/>
      <c r="F107" s="37"/>
      <c r="G107" s="29"/>
      <c r="H107" s="30"/>
      <c r="I107" s="31"/>
      <c r="J107" s="32"/>
      <c r="K107" s="33"/>
      <c r="L107" s="47"/>
      <c r="M107" s="18">
        <f t="shared" si="1"/>
        <v>0</v>
      </c>
    </row>
    <row r="108" hidden="1">
      <c r="A108" s="41">
        <v>119.0</v>
      </c>
      <c r="B108" s="46"/>
      <c r="C108" s="46"/>
      <c r="D108" s="46"/>
      <c r="E108" s="27"/>
      <c r="F108" s="37"/>
      <c r="G108" s="29"/>
      <c r="H108" s="30"/>
      <c r="I108" s="31"/>
      <c r="J108" s="32"/>
      <c r="K108" s="33"/>
      <c r="L108" s="47"/>
      <c r="M108" s="18">
        <f t="shared" si="1"/>
        <v>0</v>
      </c>
    </row>
    <row r="109" hidden="1">
      <c r="A109" s="41">
        <v>120.0</v>
      </c>
      <c r="B109" s="46"/>
      <c r="C109" s="46"/>
      <c r="D109" s="46"/>
      <c r="E109" s="27"/>
      <c r="F109" s="37"/>
      <c r="G109" s="29"/>
      <c r="H109" s="30"/>
      <c r="I109" s="31"/>
      <c r="J109" s="32"/>
      <c r="K109" s="33"/>
      <c r="L109" s="47"/>
      <c r="M109" s="18">
        <f t="shared" si="1"/>
        <v>0</v>
      </c>
    </row>
    <row r="110" hidden="1">
      <c r="A110" s="41">
        <v>121.0</v>
      </c>
      <c r="B110" s="46"/>
      <c r="C110" s="46"/>
      <c r="D110" s="46"/>
      <c r="E110" s="27"/>
      <c r="F110" s="37"/>
      <c r="G110" s="39"/>
      <c r="H110" s="30"/>
      <c r="I110" s="31"/>
      <c r="J110" s="32"/>
      <c r="K110" s="33"/>
      <c r="L110" s="47"/>
      <c r="M110" s="18">
        <f t="shared" si="1"/>
        <v>0</v>
      </c>
    </row>
    <row r="111" hidden="1">
      <c r="A111" s="41">
        <v>122.0</v>
      </c>
      <c r="B111" s="46"/>
      <c r="C111" s="46"/>
      <c r="D111" s="46"/>
      <c r="E111" s="27"/>
      <c r="F111" s="28"/>
      <c r="G111" s="29"/>
      <c r="H111" s="30"/>
      <c r="I111" s="31"/>
      <c r="J111" s="32"/>
      <c r="K111" s="33"/>
      <c r="L111" s="47"/>
      <c r="M111" s="18">
        <f t="shared" si="1"/>
        <v>0</v>
      </c>
    </row>
    <row r="112" hidden="1">
      <c r="A112" s="41">
        <v>123.0</v>
      </c>
      <c r="B112" s="46"/>
      <c r="C112" s="46"/>
      <c r="D112" s="46"/>
      <c r="E112" s="38"/>
      <c r="F112" s="28"/>
      <c r="G112" s="29"/>
      <c r="H112" s="30"/>
      <c r="I112" s="31"/>
      <c r="J112" s="32"/>
      <c r="K112" s="33"/>
      <c r="L112" s="47"/>
      <c r="M112" s="18">
        <f t="shared" si="1"/>
        <v>0</v>
      </c>
    </row>
    <row r="113" hidden="1">
      <c r="A113" s="41">
        <v>124.0</v>
      </c>
      <c r="B113" s="46"/>
      <c r="C113" s="46"/>
      <c r="D113" s="46"/>
      <c r="E113" s="27"/>
      <c r="F113" s="28"/>
      <c r="G113" s="39"/>
      <c r="H113" s="30"/>
      <c r="I113" s="31"/>
      <c r="J113" s="35"/>
      <c r="K113" s="33"/>
      <c r="L113" s="47"/>
      <c r="M113" s="18">
        <f t="shared" si="1"/>
        <v>0</v>
      </c>
    </row>
    <row r="114" hidden="1">
      <c r="A114" s="41">
        <v>125.0</v>
      </c>
      <c r="B114" s="46"/>
      <c r="C114" s="46"/>
      <c r="D114" s="46"/>
      <c r="E114" s="27"/>
      <c r="F114" s="28"/>
      <c r="G114" s="39"/>
      <c r="H114" s="30"/>
      <c r="I114" s="31"/>
      <c r="J114" s="32"/>
      <c r="K114" s="33"/>
      <c r="L114" s="47"/>
      <c r="M114" s="18">
        <f t="shared" si="1"/>
        <v>0</v>
      </c>
    </row>
    <row r="115" hidden="1">
      <c r="A115" s="41">
        <v>126.0</v>
      </c>
      <c r="B115" s="46"/>
      <c r="C115" s="46"/>
      <c r="D115" s="46"/>
      <c r="E115" s="27"/>
      <c r="F115" s="28"/>
      <c r="G115" s="39"/>
      <c r="H115" s="30"/>
      <c r="I115" s="31"/>
      <c r="J115" s="32"/>
      <c r="K115" s="33"/>
      <c r="L115" s="47"/>
      <c r="M115" s="18">
        <f t="shared" si="1"/>
        <v>0</v>
      </c>
    </row>
    <row r="116" hidden="1">
      <c r="A116" s="41">
        <v>127.0</v>
      </c>
      <c r="B116" s="46"/>
      <c r="C116" s="46"/>
      <c r="D116" s="46"/>
      <c r="E116" s="27"/>
      <c r="F116" s="28"/>
      <c r="G116" s="39"/>
      <c r="H116" s="30"/>
      <c r="I116" s="31"/>
      <c r="J116" s="32"/>
      <c r="K116" s="33"/>
      <c r="L116" s="47"/>
      <c r="M116" s="18">
        <f t="shared" si="1"/>
        <v>0</v>
      </c>
    </row>
    <row r="117" hidden="1">
      <c r="A117" s="41">
        <v>128.0</v>
      </c>
      <c r="B117" s="46"/>
      <c r="C117" s="46"/>
      <c r="D117" s="46"/>
      <c r="E117" s="27"/>
      <c r="F117" s="28"/>
      <c r="G117" s="39"/>
      <c r="H117" s="30"/>
      <c r="I117" s="31"/>
      <c r="J117" s="35"/>
      <c r="K117" s="33"/>
      <c r="L117" s="47"/>
      <c r="M117" s="18">
        <f t="shared" si="1"/>
        <v>0</v>
      </c>
    </row>
    <row r="118" hidden="1">
      <c r="A118" s="41">
        <v>129.0</v>
      </c>
      <c r="B118" s="46"/>
      <c r="C118" s="46"/>
      <c r="D118" s="46"/>
      <c r="E118" s="27"/>
      <c r="F118" s="28"/>
      <c r="G118" s="29"/>
      <c r="H118" s="30"/>
      <c r="I118" s="31"/>
      <c r="J118" s="35"/>
      <c r="K118" s="33"/>
      <c r="L118" s="47"/>
      <c r="M118" s="18">
        <f t="shared" si="1"/>
        <v>0</v>
      </c>
    </row>
    <row r="119" hidden="1">
      <c r="A119" s="41">
        <v>130.0</v>
      </c>
      <c r="B119" s="46"/>
      <c r="C119" s="46"/>
      <c r="D119" s="46"/>
      <c r="E119" s="27"/>
      <c r="F119" s="28"/>
      <c r="G119" s="29"/>
      <c r="H119" s="30"/>
      <c r="I119" s="31"/>
      <c r="J119" s="35"/>
      <c r="K119" s="33"/>
      <c r="L119" s="47"/>
      <c r="M119" s="18">
        <f t="shared" si="1"/>
        <v>0</v>
      </c>
    </row>
    <row r="120">
      <c r="A120" s="41"/>
      <c r="B120" s="45"/>
      <c r="C120" s="45"/>
      <c r="D120" s="44"/>
      <c r="E120" s="22">
        <f t="shared" ref="E120:L120" si="2">SUM(E5:E85)</f>
        <v>42637</v>
      </c>
      <c r="F120" s="22">
        <f t="shared" si="2"/>
        <v>48450</v>
      </c>
      <c r="G120" s="22">
        <f t="shared" si="2"/>
        <v>80000</v>
      </c>
      <c r="H120" s="22">
        <f t="shared" si="2"/>
        <v>411807</v>
      </c>
      <c r="I120" s="22">
        <f t="shared" si="2"/>
        <v>199448</v>
      </c>
      <c r="J120" s="22">
        <f t="shared" si="2"/>
        <v>713</v>
      </c>
      <c r="K120" s="22">
        <f t="shared" si="2"/>
        <v>0</v>
      </c>
      <c r="L120" s="22">
        <f t="shared" si="2"/>
        <v>784555</v>
      </c>
      <c r="M120" s="18">
        <f>SUM(M5:M119)</f>
        <v>-1500</v>
      </c>
    </row>
    <row r="121">
      <c r="A121" s="23"/>
      <c r="B121" s="23"/>
      <c r="C121" s="23"/>
      <c r="D121" s="23"/>
      <c r="E121" s="24">
        <f>SUM(K120:M120)</f>
        <v>783055</v>
      </c>
      <c r="F121" s="6"/>
      <c r="G121" s="6"/>
      <c r="H121" s="6"/>
      <c r="I121" s="6"/>
      <c r="J121" s="6"/>
      <c r="K121" s="7"/>
      <c r="L121" s="25"/>
      <c r="M121" s="23"/>
    </row>
    <row r="122">
      <c r="L122" s="40" t="s">
        <v>254</v>
      </c>
    </row>
    <row r="126">
      <c r="K126" s="40" t="s">
        <v>1809</v>
      </c>
    </row>
  </sheetData>
  <mergeCells count="14">
    <mergeCell ref="F3:G3"/>
    <mergeCell ref="H3:I3"/>
    <mergeCell ref="J3:J4"/>
    <mergeCell ref="K3:K4"/>
    <mergeCell ref="E121:K121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5"/>
    <col customWidth="1" min="2" max="2" width="24.75"/>
    <col customWidth="1" min="4" max="4" width="43.25"/>
    <col customWidth="1" min="5" max="5" width="9.5"/>
  </cols>
  <sheetData>
    <row r="1">
      <c r="A1" s="1" t="s">
        <v>2816</v>
      </c>
    </row>
    <row r="2">
      <c r="A2" s="2" t="s">
        <v>1</v>
      </c>
      <c r="B2" s="3" t="s">
        <v>2</v>
      </c>
      <c r="C2" s="2" t="s">
        <v>3</v>
      </c>
      <c r="D2" s="4" t="s">
        <v>4</v>
      </c>
      <c r="E2" s="5" t="s">
        <v>5</v>
      </c>
      <c r="F2" s="6"/>
      <c r="G2" s="6"/>
      <c r="H2" s="6"/>
      <c r="I2" s="6"/>
      <c r="J2" s="6"/>
      <c r="K2" s="6"/>
      <c r="L2" s="6"/>
      <c r="M2" s="7"/>
    </row>
    <row r="3">
      <c r="A3" s="8"/>
      <c r="B3" s="8"/>
      <c r="C3" s="8"/>
      <c r="D3" s="8"/>
      <c r="E3" s="2" t="s">
        <v>6</v>
      </c>
      <c r="F3" s="5" t="s">
        <v>7</v>
      </c>
      <c r="G3" s="7"/>
      <c r="H3" s="5" t="s">
        <v>8</v>
      </c>
      <c r="I3" s="7"/>
      <c r="J3" s="2" t="s">
        <v>9</v>
      </c>
      <c r="K3" s="4" t="s">
        <v>10</v>
      </c>
      <c r="L3" s="2" t="s">
        <v>11</v>
      </c>
      <c r="M3" s="2" t="s">
        <v>12</v>
      </c>
    </row>
    <row r="4">
      <c r="A4" s="9"/>
      <c r="B4" s="9"/>
      <c r="C4" s="9"/>
      <c r="D4" s="9"/>
      <c r="E4" s="9"/>
      <c r="F4" s="10" t="s">
        <v>13</v>
      </c>
      <c r="G4" s="10" t="s">
        <v>14</v>
      </c>
      <c r="H4" s="10" t="s">
        <v>15</v>
      </c>
      <c r="I4" s="11" t="s">
        <v>16</v>
      </c>
      <c r="J4" s="9"/>
      <c r="K4" s="9"/>
      <c r="L4" s="9"/>
      <c r="M4" s="9"/>
    </row>
    <row r="5">
      <c r="A5" s="41">
        <v>1.0</v>
      </c>
      <c r="B5" s="46" t="s">
        <v>2817</v>
      </c>
      <c r="C5" s="46">
        <v>50148.0</v>
      </c>
      <c r="D5" s="46" t="s">
        <v>244</v>
      </c>
      <c r="E5" s="38"/>
      <c r="F5" s="28"/>
      <c r="G5" s="29"/>
      <c r="H5" s="30"/>
      <c r="I5" s="31"/>
      <c r="J5" s="32"/>
      <c r="K5" s="50">
        <v>10000.0</v>
      </c>
      <c r="L5" s="47">
        <v>10000.0</v>
      </c>
      <c r="M5" s="18">
        <f t="shared" ref="M5:M123" si="1">SUM(E5+F5+G5+H5+I5+J5+K5-L5)</f>
        <v>0</v>
      </c>
    </row>
    <row r="6">
      <c r="A6" s="41">
        <v>2.0</v>
      </c>
      <c r="B6" s="46" t="s">
        <v>2818</v>
      </c>
      <c r="C6" s="46">
        <v>39317.0</v>
      </c>
      <c r="D6" s="46" t="s">
        <v>84</v>
      </c>
      <c r="E6" s="38"/>
      <c r="F6" s="37"/>
      <c r="G6" s="29"/>
      <c r="H6" s="30"/>
      <c r="I6" s="31">
        <v>10000.0</v>
      </c>
      <c r="J6" s="35"/>
      <c r="K6" s="33"/>
      <c r="L6" s="47">
        <v>10000.0</v>
      </c>
      <c r="M6" s="18">
        <f t="shared" si="1"/>
        <v>0</v>
      </c>
    </row>
    <row r="7">
      <c r="A7" s="41">
        <v>3.0</v>
      </c>
      <c r="B7" s="46" t="s">
        <v>2819</v>
      </c>
      <c r="C7" s="46">
        <v>50871.0</v>
      </c>
      <c r="D7" s="46" t="s">
        <v>105</v>
      </c>
      <c r="E7" s="27"/>
      <c r="F7" s="37"/>
      <c r="G7" s="29"/>
      <c r="H7" s="30">
        <v>53600.0</v>
      </c>
      <c r="I7" s="31"/>
      <c r="J7" s="35"/>
      <c r="K7" s="33"/>
      <c r="L7" s="47">
        <v>53600.0</v>
      </c>
      <c r="M7" s="18">
        <f t="shared" si="1"/>
        <v>0</v>
      </c>
    </row>
    <row r="8">
      <c r="A8" s="41">
        <v>4.0</v>
      </c>
      <c r="B8" s="46" t="s">
        <v>2820</v>
      </c>
      <c r="C8" s="46">
        <v>50871.0</v>
      </c>
      <c r="D8" s="46" t="s">
        <v>105</v>
      </c>
      <c r="E8" s="27"/>
      <c r="F8" s="28"/>
      <c r="G8" s="29"/>
      <c r="H8" s="30">
        <v>5650.0</v>
      </c>
      <c r="I8" s="31"/>
      <c r="J8" s="35"/>
      <c r="K8" s="33"/>
      <c r="L8" s="47">
        <v>5650.0</v>
      </c>
      <c r="M8" s="18">
        <f t="shared" si="1"/>
        <v>0</v>
      </c>
    </row>
    <row r="9">
      <c r="A9" s="41">
        <v>5.0</v>
      </c>
      <c r="B9" s="46" t="s">
        <v>2821</v>
      </c>
      <c r="C9" s="46">
        <v>46296.0</v>
      </c>
      <c r="D9" s="46" t="s">
        <v>2822</v>
      </c>
      <c r="E9" s="38"/>
      <c r="F9" s="28"/>
      <c r="G9" s="29"/>
      <c r="H9" s="30">
        <v>5150.0</v>
      </c>
      <c r="I9" s="31"/>
      <c r="J9" s="35"/>
      <c r="K9" s="33"/>
      <c r="L9" s="47">
        <v>5150.0</v>
      </c>
      <c r="M9" s="18">
        <f t="shared" si="1"/>
        <v>0</v>
      </c>
    </row>
    <row r="10">
      <c r="A10" s="41">
        <v>6.0</v>
      </c>
      <c r="B10" s="46" t="s">
        <v>2823</v>
      </c>
      <c r="C10" s="46">
        <v>57414.0</v>
      </c>
      <c r="D10" s="46" t="s">
        <v>2824</v>
      </c>
      <c r="E10" s="38"/>
      <c r="F10" s="28"/>
      <c r="G10" s="29"/>
      <c r="H10" s="30"/>
      <c r="I10" s="31">
        <v>2650.0</v>
      </c>
      <c r="J10" s="35"/>
      <c r="K10" s="33"/>
      <c r="L10" s="47">
        <v>2650.0</v>
      </c>
      <c r="M10" s="18">
        <f t="shared" si="1"/>
        <v>0</v>
      </c>
    </row>
    <row r="11">
      <c r="A11" s="41">
        <v>7.0</v>
      </c>
      <c r="B11" s="46" t="s">
        <v>2825</v>
      </c>
      <c r="C11" s="46">
        <v>39317.0</v>
      </c>
      <c r="D11" s="46" t="s">
        <v>84</v>
      </c>
      <c r="E11" s="27"/>
      <c r="F11" s="28"/>
      <c r="G11" s="29"/>
      <c r="H11" s="30">
        <v>15000.0</v>
      </c>
      <c r="I11" s="31"/>
      <c r="J11" s="35"/>
      <c r="K11" s="33"/>
      <c r="L11" s="47">
        <v>15000.0</v>
      </c>
      <c r="M11" s="18">
        <f t="shared" si="1"/>
        <v>0</v>
      </c>
    </row>
    <row r="12">
      <c r="A12" s="41">
        <v>8.0</v>
      </c>
      <c r="B12" s="46" t="s">
        <v>2826</v>
      </c>
      <c r="C12" s="46">
        <v>22332.0</v>
      </c>
      <c r="D12" s="46" t="s">
        <v>138</v>
      </c>
      <c r="E12" s="27"/>
      <c r="F12" s="28"/>
      <c r="G12" s="29"/>
      <c r="H12" s="30">
        <v>2650.0</v>
      </c>
      <c r="I12" s="31"/>
      <c r="J12" s="35"/>
      <c r="K12" s="33"/>
      <c r="L12" s="47">
        <v>2650.0</v>
      </c>
      <c r="M12" s="18">
        <f t="shared" si="1"/>
        <v>0</v>
      </c>
    </row>
    <row r="13">
      <c r="A13" s="41">
        <v>9.0</v>
      </c>
      <c r="B13" s="46" t="s">
        <v>2827</v>
      </c>
      <c r="C13" s="46">
        <v>44168.0</v>
      </c>
      <c r="D13" s="46" t="s">
        <v>55</v>
      </c>
      <c r="E13" s="27"/>
      <c r="F13" s="37"/>
      <c r="G13" s="29"/>
      <c r="H13" s="30">
        <v>1900.0</v>
      </c>
      <c r="I13" s="31"/>
      <c r="J13" s="35"/>
      <c r="K13" s="33"/>
      <c r="L13" s="47">
        <v>1900.0</v>
      </c>
      <c r="M13" s="18">
        <f t="shared" si="1"/>
        <v>0</v>
      </c>
    </row>
    <row r="14">
      <c r="A14" s="41">
        <v>10.0</v>
      </c>
      <c r="B14" s="46" t="s">
        <v>2828</v>
      </c>
      <c r="C14" s="46">
        <v>50596.0</v>
      </c>
      <c r="D14" s="46" t="s">
        <v>493</v>
      </c>
      <c r="E14" s="27"/>
      <c r="F14" s="37"/>
      <c r="G14" s="29"/>
      <c r="H14" s="30">
        <v>1250.0</v>
      </c>
      <c r="I14" s="31"/>
      <c r="J14" s="35"/>
      <c r="K14" s="33"/>
      <c r="L14" s="47">
        <v>1250.0</v>
      </c>
      <c r="M14" s="18">
        <f t="shared" si="1"/>
        <v>0</v>
      </c>
    </row>
    <row r="15">
      <c r="A15" s="41">
        <v>11.0</v>
      </c>
      <c r="B15" s="46" t="s">
        <v>2829</v>
      </c>
      <c r="C15" s="46">
        <v>19688.0</v>
      </c>
      <c r="D15" s="46" t="s">
        <v>679</v>
      </c>
      <c r="E15" s="27"/>
      <c r="F15" s="28"/>
      <c r="G15" s="29"/>
      <c r="H15" s="30">
        <v>15000.0</v>
      </c>
      <c r="I15" s="31"/>
      <c r="J15" s="35"/>
      <c r="K15" s="33"/>
      <c r="L15" s="47">
        <v>15000.0</v>
      </c>
      <c r="M15" s="18">
        <f t="shared" si="1"/>
        <v>0</v>
      </c>
    </row>
    <row r="16">
      <c r="A16" s="41">
        <v>12.0</v>
      </c>
      <c r="B16" s="46" t="s">
        <v>2830</v>
      </c>
      <c r="C16" s="46">
        <v>50072.0</v>
      </c>
      <c r="D16" s="46" t="s">
        <v>308</v>
      </c>
      <c r="E16" s="27"/>
      <c r="F16" s="28"/>
      <c r="G16" s="29"/>
      <c r="H16" s="30">
        <v>7250.0</v>
      </c>
      <c r="I16" s="31"/>
      <c r="J16" s="35"/>
      <c r="K16" s="33"/>
      <c r="L16" s="47">
        <v>7250.0</v>
      </c>
      <c r="M16" s="18">
        <f t="shared" si="1"/>
        <v>0</v>
      </c>
    </row>
    <row r="17">
      <c r="A17" s="41">
        <v>13.0</v>
      </c>
      <c r="B17" s="46" t="s">
        <v>2831</v>
      </c>
      <c r="C17" s="46">
        <v>26040.0</v>
      </c>
      <c r="D17" s="46" t="s">
        <v>2832</v>
      </c>
      <c r="E17" s="27"/>
      <c r="F17" s="28"/>
      <c r="G17" s="29"/>
      <c r="H17" s="30"/>
      <c r="I17" s="31">
        <v>5150.0</v>
      </c>
      <c r="J17" s="35"/>
      <c r="K17" s="33"/>
      <c r="L17" s="47">
        <v>5150.0</v>
      </c>
      <c r="M17" s="18">
        <f t="shared" si="1"/>
        <v>0</v>
      </c>
    </row>
    <row r="18">
      <c r="A18" s="41">
        <v>14.0</v>
      </c>
      <c r="B18" s="46" t="s">
        <v>2833</v>
      </c>
      <c r="C18" s="46">
        <v>53288.0</v>
      </c>
      <c r="D18" s="46" t="s">
        <v>2834</v>
      </c>
      <c r="E18" s="27"/>
      <c r="F18" s="28"/>
      <c r="G18" s="29"/>
      <c r="H18" s="30"/>
      <c r="I18" s="31">
        <v>3600.0</v>
      </c>
      <c r="J18" s="35"/>
      <c r="K18" s="33"/>
      <c r="L18" s="47">
        <v>3600.0</v>
      </c>
      <c r="M18" s="18">
        <f t="shared" si="1"/>
        <v>0</v>
      </c>
    </row>
    <row r="19">
      <c r="A19" s="41">
        <v>15.0</v>
      </c>
      <c r="B19" s="46" t="s">
        <v>2835</v>
      </c>
      <c r="C19" s="46">
        <v>52776.0</v>
      </c>
      <c r="D19" s="46" t="s">
        <v>2836</v>
      </c>
      <c r="E19" s="38"/>
      <c r="F19" s="37"/>
      <c r="G19" s="29"/>
      <c r="H19" s="30"/>
      <c r="I19" s="31">
        <v>7150.0</v>
      </c>
      <c r="J19" s="35"/>
      <c r="K19" s="33"/>
      <c r="L19" s="47">
        <v>7150.0</v>
      </c>
      <c r="M19" s="18">
        <f t="shared" si="1"/>
        <v>0</v>
      </c>
    </row>
    <row r="20">
      <c r="A20" s="41">
        <v>16.0</v>
      </c>
      <c r="B20" s="46" t="s">
        <v>2837</v>
      </c>
      <c r="C20" s="46">
        <v>50119.0</v>
      </c>
      <c r="D20" s="46" t="s">
        <v>1036</v>
      </c>
      <c r="E20" s="27"/>
      <c r="F20" s="28"/>
      <c r="G20" s="29"/>
      <c r="H20" s="30"/>
      <c r="I20" s="31">
        <v>2757.0</v>
      </c>
      <c r="J20" s="35"/>
      <c r="K20" s="33"/>
      <c r="L20" s="47">
        <v>2757.0</v>
      </c>
      <c r="M20" s="18">
        <f t="shared" si="1"/>
        <v>0</v>
      </c>
    </row>
    <row r="21">
      <c r="A21" s="41">
        <v>17.0</v>
      </c>
      <c r="B21" s="46" t="s">
        <v>2838</v>
      </c>
      <c r="C21" s="46">
        <v>42098.0</v>
      </c>
      <c r="D21" s="46" t="s">
        <v>96</v>
      </c>
      <c r="E21" s="27"/>
      <c r="F21" s="37"/>
      <c r="G21" s="29"/>
      <c r="H21" s="30">
        <v>8100.0</v>
      </c>
      <c r="I21" s="31"/>
      <c r="J21" s="35"/>
      <c r="K21" s="33"/>
      <c r="L21" s="47">
        <v>8100.0</v>
      </c>
      <c r="M21" s="18">
        <f t="shared" si="1"/>
        <v>0</v>
      </c>
    </row>
    <row r="22">
      <c r="A22" s="41">
        <v>18.0</v>
      </c>
      <c r="B22" s="46" t="s">
        <v>2839</v>
      </c>
      <c r="C22" s="46">
        <v>30855.0</v>
      </c>
      <c r="D22" s="46" t="s">
        <v>2840</v>
      </c>
      <c r="E22" s="27"/>
      <c r="F22" s="37"/>
      <c r="G22" s="29"/>
      <c r="H22" s="30"/>
      <c r="I22" s="31">
        <v>5000.0</v>
      </c>
      <c r="J22" s="35"/>
      <c r="K22" s="33"/>
      <c r="L22" s="47">
        <v>5000.0</v>
      </c>
      <c r="M22" s="18">
        <f t="shared" si="1"/>
        <v>0</v>
      </c>
    </row>
    <row r="23">
      <c r="A23" s="41">
        <v>19.0</v>
      </c>
      <c r="B23" s="46" t="s">
        <v>2841</v>
      </c>
      <c r="C23" s="46">
        <v>56182.0</v>
      </c>
      <c r="D23" s="46" t="s">
        <v>2842</v>
      </c>
      <c r="E23" s="27"/>
      <c r="F23" s="37"/>
      <c r="G23" s="29"/>
      <c r="H23" s="30"/>
      <c r="I23" s="31">
        <v>15000.0</v>
      </c>
      <c r="J23" s="35"/>
      <c r="K23" s="33"/>
      <c r="L23" s="47">
        <v>15000.0</v>
      </c>
      <c r="M23" s="18">
        <f t="shared" si="1"/>
        <v>0</v>
      </c>
    </row>
    <row r="24">
      <c r="A24" s="41">
        <v>20.0</v>
      </c>
      <c r="B24" s="46" t="s">
        <v>2843</v>
      </c>
      <c r="C24" s="46">
        <v>47574.0</v>
      </c>
      <c r="D24" s="46" t="s">
        <v>558</v>
      </c>
      <c r="E24" s="38"/>
      <c r="F24" s="28"/>
      <c r="G24" s="29"/>
      <c r="H24" s="30">
        <v>1250.0</v>
      </c>
      <c r="I24" s="31"/>
      <c r="J24" s="35"/>
      <c r="K24" s="33"/>
      <c r="L24" s="47">
        <v>1250.0</v>
      </c>
      <c r="M24" s="18">
        <f t="shared" si="1"/>
        <v>0</v>
      </c>
    </row>
    <row r="25">
      <c r="A25" s="41">
        <v>21.0</v>
      </c>
      <c r="B25" s="46" t="s">
        <v>2844</v>
      </c>
      <c r="C25" s="46">
        <v>50595.0</v>
      </c>
      <c r="D25" s="46" t="s">
        <v>158</v>
      </c>
      <c r="E25" s="38"/>
      <c r="F25" s="28"/>
      <c r="G25" s="29"/>
      <c r="H25" s="30">
        <v>25000.0</v>
      </c>
      <c r="I25" s="31"/>
      <c r="J25" s="35"/>
      <c r="K25" s="33"/>
      <c r="L25" s="47">
        <v>25000.0</v>
      </c>
      <c r="M25" s="18">
        <f t="shared" si="1"/>
        <v>0</v>
      </c>
    </row>
    <row r="26">
      <c r="A26" s="41">
        <v>22.0</v>
      </c>
      <c r="B26" s="46" t="s">
        <v>2845</v>
      </c>
      <c r="C26" s="46">
        <v>51965.0</v>
      </c>
      <c r="D26" s="46" t="s">
        <v>1208</v>
      </c>
      <c r="E26" s="27"/>
      <c r="F26" s="37"/>
      <c r="G26" s="29"/>
      <c r="H26" s="30">
        <v>8200.0</v>
      </c>
      <c r="I26" s="31"/>
      <c r="J26" s="35"/>
      <c r="K26" s="33"/>
      <c r="L26" s="47">
        <v>8200.0</v>
      </c>
      <c r="M26" s="18">
        <f t="shared" si="1"/>
        <v>0</v>
      </c>
    </row>
    <row r="27">
      <c r="A27" s="41">
        <v>23.0</v>
      </c>
      <c r="B27" s="46" t="s">
        <v>2846</v>
      </c>
      <c r="C27" s="46">
        <v>53717.0</v>
      </c>
      <c r="D27" s="46" t="s">
        <v>1404</v>
      </c>
      <c r="E27" s="38"/>
      <c r="F27" s="28"/>
      <c r="G27" s="29"/>
      <c r="H27" s="30"/>
      <c r="I27" s="31">
        <v>15000.0</v>
      </c>
      <c r="J27" s="35"/>
      <c r="K27" s="33"/>
      <c r="L27" s="47">
        <v>15000.0</v>
      </c>
      <c r="M27" s="18">
        <f t="shared" si="1"/>
        <v>0</v>
      </c>
    </row>
    <row r="28">
      <c r="A28" s="41">
        <v>24.0</v>
      </c>
      <c r="B28" s="46" t="s">
        <v>2847</v>
      </c>
      <c r="C28" s="46">
        <v>30895.0</v>
      </c>
      <c r="D28" s="46" t="s">
        <v>603</v>
      </c>
      <c r="E28" s="27"/>
      <c r="F28" s="37"/>
      <c r="G28" s="29"/>
      <c r="H28" s="30">
        <v>10000.0</v>
      </c>
      <c r="I28" s="31"/>
      <c r="J28" s="35"/>
      <c r="K28" s="33"/>
      <c r="L28" s="47">
        <v>10000.0</v>
      </c>
      <c r="M28" s="18">
        <f t="shared" si="1"/>
        <v>0</v>
      </c>
    </row>
    <row r="29">
      <c r="A29" s="41">
        <v>25.0</v>
      </c>
      <c r="B29" s="46" t="s">
        <v>2848</v>
      </c>
      <c r="C29" s="46">
        <v>51743.0</v>
      </c>
      <c r="D29" s="46" t="s">
        <v>2058</v>
      </c>
      <c r="E29" s="27"/>
      <c r="F29" s="28"/>
      <c r="G29" s="29"/>
      <c r="H29" s="30">
        <v>10000.0</v>
      </c>
      <c r="I29" s="31"/>
      <c r="J29" s="35"/>
      <c r="K29" s="33"/>
      <c r="L29" s="47">
        <v>10000.0</v>
      </c>
      <c r="M29" s="18">
        <f t="shared" si="1"/>
        <v>0</v>
      </c>
    </row>
    <row r="30">
      <c r="A30" s="41">
        <v>26.0</v>
      </c>
      <c r="B30" s="46" t="s">
        <v>2849</v>
      </c>
      <c r="C30" s="46">
        <v>48973.0</v>
      </c>
      <c r="D30" s="46" t="s">
        <v>716</v>
      </c>
      <c r="E30" s="27"/>
      <c r="F30" s="37"/>
      <c r="G30" s="29"/>
      <c r="H30" s="30">
        <v>300.0</v>
      </c>
      <c r="I30" s="31"/>
      <c r="J30" s="35"/>
      <c r="K30" s="33"/>
      <c r="L30" s="47">
        <v>300.0</v>
      </c>
      <c r="M30" s="18">
        <f t="shared" si="1"/>
        <v>0</v>
      </c>
    </row>
    <row r="31">
      <c r="A31" s="41">
        <v>27.0</v>
      </c>
      <c r="B31" s="46" t="s">
        <v>2850</v>
      </c>
      <c r="C31" s="46">
        <v>13781.0</v>
      </c>
      <c r="D31" s="46" t="s">
        <v>278</v>
      </c>
      <c r="E31" s="27"/>
      <c r="F31" s="28"/>
      <c r="G31" s="29"/>
      <c r="H31" s="30">
        <v>10000.0</v>
      </c>
      <c r="I31" s="31"/>
      <c r="J31" s="35"/>
      <c r="K31" s="33"/>
      <c r="L31" s="47">
        <v>10000.0</v>
      </c>
      <c r="M31" s="18">
        <f t="shared" si="1"/>
        <v>0</v>
      </c>
    </row>
    <row r="32">
      <c r="A32" s="41">
        <v>28.0</v>
      </c>
      <c r="B32" s="46" t="s">
        <v>2851</v>
      </c>
      <c r="C32" s="46">
        <v>29621.0</v>
      </c>
      <c r="D32" s="46" t="s">
        <v>174</v>
      </c>
      <c r="E32" s="27"/>
      <c r="F32" s="37"/>
      <c r="G32" s="29"/>
      <c r="H32" s="30"/>
      <c r="I32" s="31">
        <v>1700.0</v>
      </c>
      <c r="J32" s="35"/>
      <c r="K32" s="33"/>
      <c r="L32" s="47">
        <v>1700.0</v>
      </c>
      <c r="M32" s="18">
        <f t="shared" si="1"/>
        <v>0</v>
      </c>
    </row>
    <row r="33">
      <c r="A33" s="41">
        <v>29.0</v>
      </c>
      <c r="B33" s="46" t="s">
        <v>2852</v>
      </c>
      <c r="C33" s="46">
        <v>50871.0</v>
      </c>
      <c r="D33" s="46" t="s">
        <v>105</v>
      </c>
      <c r="E33" s="38"/>
      <c r="F33" s="28"/>
      <c r="G33" s="29"/>
      <c r="H33" s="30"/>
      <c r="I33" s="31">
        <v>27500.0</v>
      </c>
      <c r="J33" s="35"/>
      <c r="K33" s="33"/>
      <c r="L33" s="47">
        <v>27500.0</v>
      </c>
      <c r="M33" s="18">
        <f t="shared" si="1"/>
        <v>0</v>
      </c>
    </row>
    <row r="34">
      <c r="A34" s="41">
        <v>30.0</v>
      </c>
      <c r="B34" s="46" t="s">
        <v>2853</v>
      </c>
      <c r="C34" s="46">
        <v>50557.0</v>
      </c>
      <c r="D34" s="46" t="s">
        <v>94</v>
      </c>
      <c r="E34" s="27"/>
      <c r="F34" s="28"/>
      <c r="G34" s="29"/>
      <c r="H34" s="30">
        <v>3200.0</v>
      </c>
      <c r="I34" s="31"/>
      <c r="J34" s="35"/>
      <c r="K34" s="33"/>
      <c r="L34" s="47">
        <v>3200.0</v>
      </c>
      <c r="M34" s="18">
        <f t="shared" si="1"/>
        <v>0</v>
      </c>
    </row>
    <row r="35">
      <c r="A35" s="41">
        <v>31.0</v>
      </c>
      <c r="B35" s="46" t="s">
        <v>2854</v>
      </c>
      <c r="C35" s="46">
        <v>35222.0</v>
      </c>
      <c r="D35" s="46" t="s">
        <v>2855</v>
      </c>
      <c r="E35" s="27"/>
      <c r="F35" s="28"/>
      <c r="G35" s="29"/>
      <c r="H35" s="30">
        <v>7500.0</v>
      </c>
      <c r="I35" s="31"/>
      <c r="J35" s="32"/>
      <c r="K35" s="33"/>
      <c r="L35" s="47">
        <v>7500.0</v>
      </c>
      <c r="M35" s="18">
        <f t="shared" si="1"/>
        <v>0</v>
      </c>
    </row>
    <row r="36">
      <c r="A36" s="41">
        <v>32.0</v>
      </c>
      <c r="B36" s="46" t="s">
        <v>2856</v>
      </c>
      <c r="C36" s="46">
        <v>53457.0</v>
      </c>
      <c r="D36" s="46" t="s">
        <v>2857</v>
      </c>
      <c r="E36" s="27"/>
      <c r="F36" s="28"/>
      <c r="G36" s="29"/>
      <c r="H36" s="30">
        <v>5000.0</v>
      </c>
      <c r="I36" s="31"/>
      <c r="J36" s="32"/>
      <c r="K36" s="33"/>
      <c r="L36" s="47">
        <v>5000.0</v>
      </c>
      <c r="M36" s="18">
        <f t="shared" si="1"/>
        <v>0</v>
      </c>
    </row>
    <row r="37">
      <c r="A37" s="41">
        <v>33.0</v>
      </c>
      <c r="B37" s="46" t="s">
        <v>2858</v>
      </c>
      <c r="C37" s="46">
        <v>46927.0</v>
      </c>
      <c r="D37" s="46" t="s">
        <v>1868</v>
      </c>
      <c r="E37" s="27"/>
      <c r="F37" s="28"/>
      <c r="G37" s="29"/>
      <c r="H37" s="30">
        <v>3450.0</v>
      </c>
      <c r="I37" s="31"/>
      <c r="J37" s="32"/>
      <c r="K37" s="33"/>
      <c r="L37" s="47">
        <v>3450.0</v>
      </c>
      <c r="M37" s="18">
        <f t="shared" si="1"/>
        <v>0</v>
      </c>
    </row>
    <row r="38">
      <c r="A38" s="41">
        <v>34.0</v>
      </c>
      <c r="B38" s="46" t="s">
        <v>2859</v>
      </c>
      <c r="C38" s="46">
        <v>10001.0</v>
      </c>
      <c r="D38" s="46" t="s">
        <v>218</v>
      </c>
      <c r="E38" s="27"/>
      <c r="F38" s="37"/>
      <c r="G38" s="29"/>
      <c r="H38" s="30">
        <v>2500.0</v>
      </c>
      <c r="I38" s="31"/>
      <c r="J38" s="32"/>
      <c r="K38" s="33"/>
      <c r="L38" s="47">
        <v>2500.0</v>
      </c>
      <c r="M38" s="18">
        <f t="shared" si="1"/>
        <v>0</v>
      </c>
    </row>
    <row r="39">
      <c r="A39" s="41">
        <v>35.0</v>
      </c>
      <c r="B39" s="46" t="s">
        <v>2860</v>
      </c>
      <c r="C39" s="46">
        <v>19688.0</v>
      </c>
      <c r="D39" s="46" t="s">
        <v>679</v>
      </c>
      <c r="E39" s="38"/>
      <c r="F39" s="37"/>
      <c r="G39" s="29"/>
      <c r="H39" s="30"/>
      <c r="I39" s="31">
        <v>10000.0</v>
      </c>
      <c r="J39" s="35"/>
      <c r="K39" s="33"/>
      <c r="L39" s="47">
        <v>10000.0</v>
      </c>
      <c r="M39" s="18">
        <f t="shared" si="1"/>
        <v>0</v>
      </c>
    </row>
    <row r="40">
      <c r="A40" s="41">
        <v>36.0</v>
      </c>
      <c r="B40" s="46" t="s">
        <v>2861</v>
      </c>
      <c r="C40" s="46">
        <v>53942.0</v>
      </c>
      <c r="D40" s="46" t="s">
        <v>562</v>
      </c>
      <c r="E40" s="27"/>
      <c r="F40" s="37"/>
      <c r="G40" s="29"/>
      <c r="H40" s="30">
        <v>10000.0</v>
      </c>
      <c r="I40" s="31"/>
      <c r="J40" s="32"/>
      <c r="K40" s="33"/>
      <c r="L40" s="47">
        <v>10000.0</v>
      </c>
      <c r="M40" s="18">
        <f t="shared" si="1"/>
        <v>0</v>
      </c>
    </row>
    <row r="41">
      <c r="A41" s="41">
        <v>37.0</v>
      </c>
      <c r="B41" s="46" t="s">
        <v>2862</v>
      </c>
      <c r="C41" s="46">
        <v>22332.0</v>
      </c>
      <c r="D41" s="46" t="s">
        <v>138</v>
      </c>
      <c r="E41" s="27"/>
      <c r="F41" s="28"/>
      <c r="G41" s="29"/>
      <c r="H41" s="30">
        <v>4150.0</v>
      </c>
      <c r="I41" s="31"/>
      <c r="J41" s="35"/>
      <c r="K41" s="33"/>
      <c r="L41" s="47">
        <v>4150.0</v>
      </c>
      <c r="M41" s="18">
        <f t="shared" si="1"/>
        <v>0</v>
      </c>
    </row>
    <row r="42">
      <c r="A42" s="41">
        <v>38.0</v>
      </c>
      <c r="B42" s="46" t="s">
        <v>2863</v>
      </c>
      <c r="C42" s="46">
        <v>30933.0</v>
      </c>
      <c r="D42" s="46" t="s">
        <v>976</v>
      </c>
      <c r="E42" s="27"/>
      <c r="F42" s="28"/>
      <c r="G42" s="29"/>
      <c r="H42" s="30">
        <v>30000.0</v>
      </c>
      <c r="I42" s="31"/>
      <c r="J42" s="35"/>
      <c r="K42" s="33"/>
      <c r="L42" s="47">
        <v>30000.0</v>
      </c>
      <c r="M42" s="18">
        <f t="shared" si="1"/>
        <v>0</v>
      </c>
    </row>
    <row r="43">
      <c r="A43" s="41">
        <v>39.0</v>
      </c>
      <c r="B43" s="46" t="s">
        <v>2864</v>
      </c>
      <c r="C43" s="46">
        <v>42462.0</v>
      </c>
      <c r="D43" s="46" t="s">
        <v>142</v>
      </c>
      <c r="E43" s="27"/>
      <c r="F43" s="37"/>
      <c r="G43" s="29"/>
      <c r="H43" s="30">
        <v>5150.0</v>
      </c>
      <c r="I43" s="36"/>
      <c r="J43" s="32"/>
      <c r="K43" s="33"/>
      <c r="L43" s="47">
        <v>5150.0</v>
      </c>
      <c r="M43" s="18">
        <f t="shared" si="1"/>
        <v>0</v>
      </c>
    </row>
    <row r="44">
      <c r="A44" s="41">
        <v>40.0</v>
      </c>
      <c r="B44" s="46" t="s">
        <v>2865</v>
      </c>
      <c r="C44" s="46">
        <v>39588.0</v>
      </c>
      <c r="D44" s="46" t="s">
        <v>274</v>
      </c>
      <c r="E44" s="27"/>
      <c r="F44" s="37"/>
      <c r="G44" s="29"/>
      <c r="H44" s="30">
        <v>4500.0</v>
      </c>
      <c r="I44" s="31"/>
      <c r="J44" s="32"/>
      <c r="K44" s="33"/>
      <c r="L44" s="47">
        <v>4500.0</v>
      </c>
      <c r="M44" s="18">
        <f t="shared" si="1"/>
        <v>0</v>
      </c>
    </row>
    <row r="45">
      <c r="A45" s="41">
        <v>41.0</v>
      </c>
      <c r="B45" s="46" t="s">
        <v>2866</v>
      </c>
      <c r="C45" s="46">
        <v>30933.0</v>
      </c>
      <c r="D45" s="46" t="s">
        <v>976</v>
      </c>
      <c r="E45" s="27"/>
      <c r="F45" s="37"/>
      <c r="G45" s="29"/>
      <c r="H45" s="30">
        <v>15000.0</v>
      </c>
      <c r="I45" s="31"/>
      <c r="J45" s="32"/>
      <c r="K45" s="33"/>
      <c r="L45" s="47">
        <v>15000.0</v>
      </c>
      <c r="M45" s="18">
        <f t="shared" si="1"/>
        <v>0</v>
      </c>
    </row>
    <row r="46">
      <c r="A46" s="41">
        <v>42.0</v>
      </c>
      <c r="B46" s="46" t="s">
        <v>2867</v>
      </c>
      <c r="C46" s="46">
        <v>57440.0</v>
      </c>
      <c r="D46" s="46" t="s">
        <v>2725</v>
      </c>
      <c r="E46" s="27"/>
      <c r="F46" s="37"/>
      <c r="G46" s="29"/>
      <c r="H46" s="30">
        <v>300.0</v>
      </c>
      <c r="I46" s="31"/>
      <c r="J46" s="32"/>
      <c r="K46" s="33"/>
      <c r="L46" s="47">
        <v>300.0</v>
      </c>
      <c r="M46" s="18">
        <f t="shared" si="1"/>
        <v>0</v>
      </c>
    </row>
    <row r="47">
      <c r="A47" s="41">
        <v>43.0</v>
      </c>
      <c r="B47" s="46" t="s">
        <v>2868</v>
      </c>
      <c r="C47" s="46">
        <v>35453.0</v>
      </c>
      <c r="D47" s="46" t="s">
        <v>2869</v>
      </c>
      <c r="E47" s="27"/>
      <c r="F47" s="37"/>
      <c r="G47" s="29"/>
      <c r="H47" s="30">
        <v>300.0</v>
      </c>
      <c r="I47" s="31"/>
      <c r="J47" s="32"/>
      <c r="K47" s="33"/>
      <c r="L47" s="47">
        <v>300.0</v>
      </c>
      <c r="M47" s="18">
        <f t="shared" si="1"/>
        <v>0</v>
      </c>
    </row>
    <row r="48">
      <c r="A48" s="41">
        <v>44.0</v>
      </c>
      <c r="B48" s="46" t="s">
        <v>2870</v>
      </c>
      <c r="C48" s="46">
        <v>53073.0</v>
      </c>
      <c r="D48" s="46" t="s">
        <v>2871</v>
      </c>
      <c r="E48" s="27"/>
      <c r="F48" s="37"/>
      <c r="G48" s="29"/>
      <c r="H48" s="30"/>
      <c r="I48" s="31">
        <v>300.0</v>
      </c>
      <c r="J48" s="32"/>
      <c r="K48" s="33"/>
      <c r="L48" s="47">
        <v>300.0</v>
      </c>
      <c r="M48" s="18">
        <f t="shared" si="1"/>
        <v>0</v>
      </c>
    </row>
    <row r="49">
      <c r="A49" s="41">
        <v>45.0</v>
      </c>
      <c r="B49" s="46" t="s">
        <v>2872</v>
      </c>
      <c r="C49" s="46">
        <v>48295.0</v>
      </c>
      <c r="D49" s="46" t="s">
        <v>2873</v>
      </c>
      <c r="E49" s="27"/>
      <c r="F49" s="37"/>
      <c r="G49" s="29"/>
      <c r="H49" s="30"/>
      <c r="I49" s="31">
        <v>5000.0</v>
      </c>
      <c r="J49" s="32"/>
      <c r="K49" s="33"/>
      <c r="L49" s="47">
        <v>5000.0</v>
      </c>
      <c r="M49" s="18">
        <f t="shared" si="1"/>
        <v>0</v>
      </c>
    </row>
    <row r="50">
      <c r="A50" s="41">
        <v>46.0</v>
      </c>
      <c r="B50" s="46" t="s">
        <v>2874</v>
      </c>
      <c r="C50" s="46">
        <v>54573.0</v>
      </c>
      <c r="D50" s="46" t="s">
        <v>152</v>
      </c>
      <c r="E50" s="27"/>
      <c r="F50" s="37"/>
      <c r="G50" s="29"/>
      <c r="H50" s="30">
        <v>10000.0</v>
      </c>
      <c r="I50" s="31"/>
      <c r="J50" s="32"/>
      <c r="K50" s="33"/>
      <c r="L50" s="47">
        <v>10000.0</v>
      </c>
      <c r="M50" s="18">
        <f t="shared" si="1"/>
        <v>0</v>
      </c>
    </row>
    <row r="51">
      <c r="A51" s="41">
        <v>47.0</v>
      </c>
      <c r="B51" s="46" t="s">
        <v>2875</v>
      </c>
      <c r="C51" s="46">
        <v>54283.0</v>
      </c>
      <c r="D51" s="46" t="s">
        <v>2876</v>
      </c>
      <c r="E51" s="27"/>
      <c r="F51" s="37"/>
      <c r="G51" s="29"/>
      <c r="H51" s="30"/>
      <c r="I51" s="31">
        <v>600.0</v>
      </c>
      <c r="J51" s="32"/>
      <c r="K51" s="33"/>
      <c r="L51" s="47">
        <v>600.0</v>
      </c>
      <c r="M51" s="18">
        <f t="shared" si="1"/>
        <v>0</v>
      </c>
    </row>
    <row r="52">
      <c r="A52" s="41">
        <v>48.0</v>
      </c>
      <c r="B52" s="46" t="s">
        <v>2877</v>
      </c>
      <c r="C52" s="46">
        <v>50830.0</v>
      </c>
      <c r="D52" s="46" t="s">
        <v>2878</v>
      </c>
      <c r="E52" s="27"/>
      <c r="F52" s="37"/>
      <c r="G52" s="29"/>
      <c r="H52" s="30"/>
      <c r="I52" s="31">
        <v>300.0</v>
      </c>
      <c r="J52" s="32"/>
      <c r="K52" s="33"/>
      <c r="L52" s="47">
        <v>300.0</v>
      </c>
      <c r="M52" s="18">
        <f t="shared" si="1"/>
        <v>0</v>
      </c>
    </row>
    <row r="53">
      <c r="A53" s="41">
        <v>49.0</v>
      </c>
      <c r="B53" s="46" t="s">
        <v>2879</v>
      </c>
      <c r="C53" s="46">
        <v>40255.0</v>
      </c>
      <c r="D53" s="46" t="s">
        <v>2880</v>
      </c>
      <c r="E53" s="27"/>
      <c r="F53" s="37"/>
      <c r="G53" s="29"/>
      <c r="H53" s="30"/>
      <c r="I53" s="31">
        <v>300.0</v>
      </c>
      <c r="J53" s="32"/>
      <c r="K53" s="33"/>
      <c r="L53" s="47">
        <v>300.0</v>
      </c>
      <c r="M53" s="18">
        <f t="shared" si="1"/>
        <v>0</v>
      </c>
    </row>
    <row r="54">
      <c r="A54" s="41">
        <v>50.0</v>
      </c>
      <c r="B54" s="46" t="s">
        <v>2881</v>
      </c>
      <c r="C54" s="46">
        <v>10839.0</v>
      </c>
      <c r="D54" s="46" t="s">
        <v>1636</v>
      </c>
      <c r="E54" s="27"/>
      <c r="F54" s="37"/>
      <c r="G54" s="29"/>
      <c r="H54" s="30">
        <v>8950.0</v>
      </c>
      <c r="I54" s="31"/>
      <c r="J54" s="32"/>
      <c r="K54" s="33"/>
      <c r="L54" s="47">
        <v>8950.0</v>
      </c>
      <c r="M54" s="18">
        <f t="shared" si="1"/>
        <v>0</v>
      </c>
    </row>
    <row r="55">
      <c r="A55" s="41">
        <v>51.0</v>
      </c>
      <c r="B55" s="46" t="s">
        <v>2882</v>
      </c>
      <c r="C55" s="46">
        <v>10839.0</v>
      </c>
      <c r="D55" s="46" t="s">
        <v>1636</v>
      </c>
      <c r="E55" s="27"/>
      <c r="F55" s="37"/>
      <c r="G55" s="29"/>
      <c r="H55" s="30">
        <v>7500.0</v>
      </c>
      <c r="I55" s="31"/>
      <c r="J55" s="32"/>
      <c r="K55" s="33"/>
      <c r="L55" s="47">
        <v>7500.0</v>
      </c>
      <c r="M55" s="18">
        <f t="shared" si="1"/>
        <v>0</v>
      </c>
    </row>
    <row r="56">
      <c r="A56" s="41">
        <v>52.0</v>
      </c>
      <c r="B56" s="46" t="s">
        <v>2883</v>
      </c>
      <c r="C56" s="46">
        <v>35245.0</v>
      </c>
      <c r="D56" s="46" t="s">
        <v>34</v>
      </c>
      <c r="E56" s="27"/>
      <c r="F56" s="37"/>
      <c r="G56" s="29"/>
      <c r="H56" s="30"/>
      <c r="I56" s="31"/>
      <c r="J56" s="35">
        <v>850.0</v>
      </c>
      <c r="K56" s="33"/>
      <c r="L56" s="47">
        <v>850.0</v>
      </c>
      <c r="M56" s="18">
        <f t="shared" si="1"/>
        <v>0</v>
      </c>
    </row>
    <row r="57">
      <c r="A57" s="41">
        <v>53.0</v>
      </c>
      <c r="B57" s="46" t="s">
        <v>2884</v>
      </c>
      <c r="C57" s="46">
        <v>10839.0</v>
      </c>
      <c r="D57" s="46" t="s">
        <v>1636</v>
      </c>
      <c r="E57" s="27"/>
      <c r="F57" s="37"/>
      <c r="G57" s="29"/>
      <c r="H57" s="30">
        <v>7500.0</v>
      </c>
      <c r="I57" s="31"/>
      <c r="J57" s="32"/>
      <c r="K57" s="33"/>
      <c r="L57" s="47">
        <v>7500.0</v>
      </c>
      <c r="M57" s="18">
        <f t="shared" si="1"/>
        <v>0</v>
      </c>
    </row>
    <row r="58">
      <c r="A58" s="41">
        <v>54.0</v>
      </c>
      <c r="B58" s="46" t="s">
        <v>2885</v>
      </c>
      <c r="C58" s="46">
        <v>31987.0</v>
      </c>
      <c r="D58" s="46" t="s">
        <v>2886</v>
      </c>
      <c r="E58" s="27"/>
      <c r="F58" s="37"/>
      <c r="G58" s="29"/>
      <c r="H58" s="30">
        <v>5000.0</v>
      </c>
      <c r="I58" s="31"/>
      <c r="J58" s="32"/>
      <c r="K58" s="33"/>
      <c r="L58" s="47">
        <v>5000.0</v>
      </c>
      <c r="M58" s="18">
        <f t="shared" si="1"/>
        <v>0</v>
      </c>
    </row>
    <row r="59">
      <c r="A59" s="41">
        <v>55.0</v>
      </c>
      <c r="B59" s="46" t="s">
        <v>2887</v>
      </c>
      <c r="C59" s="46">
        <v>48657.0</v>
      </c>
      <c r="D59" s="46" t="s">
        <v>1663</v>
      </c>
      <c r="E59" s="27"/>
      <c r="F59" s="37"/>
      <c r="G59" s="29"/>
      <c r="H59" s="30">
        <v>5000.0</v>
      </c>
      <c r="I59" s="31"/>
      <c r="J59" s="32"/>
      <c r="K59" s="33"/>
      <c r="L59" s="47">
        <v>5000.0</v>
      </c>
      <c r="M59" s="18">
        <f t="shared" si="1"/>
        <v>0</v>
      </c>
    </row>
    <row r="60">
      <c r="A60" s="41">
        <v>56.0</v>
      </c>
      <c r="B60" s="46" t="s">
        <v>2888</v>
      </c>
      <c r="C60" s="46">
        <v>57593.0</v>
      </c>
      <c r="D60" s="46" t="s">
        <v>2889</v>
      </c>
      <c r="E60" s="27"/>
      <c r="F60" s="37"/>
      <c r="G60" s="29"/>
      <c r="H60" s="30">
        <v>27000.0</v>
      </c>
      <c r="I60" s="31"/>
      <c r="J60" s="32"/>
      <c r="K60" s="33"/>
      <c r="L60" s="47">
        <v>27000.0</v>
      </c>
      <c r="M60" s="18">
        <f t="shared" si="1"/>
        <v>0</v>
      </c>
    </row>
    <row r="61">
      <c r="A61" s="41">
        <v>57.0</v>
      </c>
      <c r="B61" s="46" t="s">
        <v>2890</v>
      </c>
      <c r="C61" s="46">
        <v>36918.0</v>
      </c>
      <c r="D61" s="46" t="s">
        <v>607</v>
      </c>
      <c r="E61" s="38">
        <v>9400.0</v>
      </c>
      <c r="F61" s="37"/>
      <c r="G61" s="29"/>
      <c r="H61" s="30">
        <v>5600.0</v>
      </c>
      <c r="I61" s="31"/>
      <c r="J61" s="32"/>
      <c r="K61" s="33"/>
      <c r="L61" s="47">
        <v>15000.0</v>
      </c>
      <c r="M61" s="18">
        <f t="shared" si="1"/>
        <v>0</v>
      </c>
    </row>
    <row r="62">
      <c r="A62" s="41">
        <v>58.0</v>
      </c>
      <c r="B62" s="46" t="s">
        <v>2891</v>
      </c>
      <c r="C62" s="46">
        <v>25650.0</v>
      </c>
      <c r="D62" s="46" t="s">
        <v>378</v>
      </c>
      <c r="E62" s="38"/>
      <c r="F62" s="37"/>
      <c r="G62" s="29"/>
      <c r="H62" s="30"/>
      <c r="I62" s="31">
        <v>8000.0</v>
      </c>
      <c r="J62" s="32"/>
      <c r="K62" s="33"/>
      <c r="L62" s="47">
        <v>8000.0</v>
      </c>
      <c r="M62" s="18">
        <f t="shared" si="1"/>
        <v>0</v>
      </c>
    </row>
    <row r="63">
      <c r="A63" s="41">
        <v>59.0</v>
      </c>
      <c r="B63" s="46" t="s">
        <v>2892</v>
      </c>
      <c r="C63" s="46">
        <v>50557.0</v>
      </c>
      <c r="D63" s="46" t="s">
        <v>94</v>
      </c>
      <c r="E63" s="27"/>
      <c r="F63" s="37"/>
      <c r="G63" s="29"/>
      <c r="H63" s="30"/>
      <c r="I63" s="31">
        <v>15000.0</v>
      </c>
      <c r="J63" s="32"/>
      <c r="K63" s="33"/>
      <c r="L63" s="47">
        <v>15000.0</v>
      </c>
      <c r="M63" s="18">
        <f t="shared" si="1"/>
        <v>0</v>
      </c>
    </row>
    <row r="64">
      <c r="A64" s="41">
        <v>60.0</v>
      </c>
      <c r="B64" s="46" t="s">
        <v>2893</v>
      </c>
      <c r="C64" s="46">
        <v>48631.0</v>
      </c>
      <c r="D64" s="46" t="s">
        <v>118</v>
      </c>
      <c r="E64" s="27"/>
      <c r="F64" s="37"/>
      <c r="G64" s="29"/>
      <c r="H64" s="30">
        <v>6250.0</v>
      </c>
      <c r="I64" s="31"/>
      <c r="J64" s="32"/>
      <c r="K64" s="33"/>
      <c r="L64" s="47">
        <v>6250.0</v>
      </c>
      <c r="M64" s="18">
        <f t="shared" si="1"/>
        <v>0</v>
      </c>
    </row>
    <row r="65">
      <c r="A65" s="41">
        <v>61.0</v>
      </c>
      <c r="B65" s="46" t="s">
        <v>2894</v>
      </c>
      <c r="C65" s="46">
        <v>52556.0</v>
      </c>
      <c r="D65" s="46" t="s">
        <v>1283</v>
      </c>
      <c r="E65" s="38"/>
      <c r="F65" s="37"/>
      <c r="G65" s="29"/>
      <c r="H65" s="30">
        <v>300.0</v>
      </c>
      <c r="I65" s="31"/>
      <c r="J65" s="35"/>
      <c r="K65" s="33"/>
      <c r="L65" s="47">
        <v>300.0</v>
      </c>
      <c r="M65" s="18">
        <f t="shared" si="1"/>
        <v>0</v>
      </c>
    </row>
    <row r="66">
      <c r="A66" s="41">
        <v>62.0</v>
      </c>
      <c r="B66" s="46" t="s">
        <v>2895</v>
      </c>
      <c r="C66" s="46">
        <v>56668.0</v>
      </c>
      <c r="D66" s="46" t="s">
        <v>2896</v>
      </c>
      <c r="E66" s="38"/>
      <c r="F66" s="37"/>
      <c r="G66" s="29"/>
      <c r="H66" s="30">
        <v>300.0</v>
      </c>
      <c r="I66" s="31"/>
      <c r="J66" s="32"/>
      <c r="K66" s="33"/>
      <c r="L66" s="47">
        <v>300.0</v>
      </c>
      <c r="M66" s="18">
        <f t="shared" si="1"/>
        <v>0</v>
      </c>
    </row>
    <row r="67">
      <c r="A67" s="41">
        <v>63.0</v>
      </c>
      <c r="B67" s="46" t="s">
        <v>2897</v>
      </c>
      <c r="C67" s="46">
        <v>52851.0</v>
      </c>
      <c r="D67" s="46" t="s">
        <v>1509</v>
      </c>
      <c r="E67" s="27"/>
      <c r="F67" s="37"/>
      <c r="G67" s="29"/>
      <c r="H67" s="30"/>
      <c r="I67" s="31">
        <v>10000.0</v>
      </c>
      <c r="J67" s="32"/>
      <c r="K67" s="33"/>
      <c r="L67" s="47">
        <v>10000.0</v>
      </c>
      <c r="M67" s="18">
        <f t="shared" si="1"/>
        <v>0</v>
      </c>
    </row>
    <row r="68">
      <c r="A68" s="41">
        <v>64.0</v>
      </c>
      <c r="B68" s="46" t="s">
        <v>2898</v>
      </c>
      <c r="C68" s="46">
        <v>53095.0</v>
      </c>
      <c r="D68" s="46" t="s">
        <v>334</v>
      </c>
      <c r="E68" s="27"/>
      <c r="F68" s="37"/>
      <c r="G68" s="29"/>
      <c r="H68" s="30"/>
      <c r="I68" s="31">
        <v>10350.0</v>
      </c>
      <c r="J68" s="32"/>
      <c r="K68" s="33"/>
      <c r="L68" s="47">
        <v>10350.0</v>
      </c>
      <c r="M68" s="18">
        <f t="shared" si="1"/>
        <v>0</v>
      </c>
    </row>
    <row r="69">
      <c r="A69" s="41">
        <v>65.0</v>
      </c>
      <c r="B69" s="46" t="s">
        <v>2899</v>
      </c>
      <c r="C69" s="46">
        <v>50436.0</v>
      </c>
      <c r="D69" s="46" t="s">
        <v>421</v>
      </c>
      <c r="E69" s="38"/>
      <c r="F69" s="37"/>
      <c r="G69" s="29"/>
      <c r="H69" s="30">
        <v>1200.0</v>
      </c>
      <c r="I69" s="31"/>
      <c r="J69" s="35"/>
      <c r="K69" s="33"/>
      <c r="L69" s="47">
        <v>1200.0</v>
      </c>
      <c r="M69" s="18">
        <f t="shared" si="1"/>
        <v>0</v>
      </c>
    </row>
    <row r="70">
      <c r="A70" s="41">
        <v>66.0</v>
      </c>
      <c r="B70" s="46" t="s">
        <v>2900</v>
      </c>
      <c r="C70" s="46">
        <v>37160.0</v>
      </c>
      <c r="D70" s="46" t="s">
        <v>2901</v>
      </c>
      <c r="E70" s="27"/>
      <c r="F70" s="37"/>
      <c r="G70" s="29"/>
      <c r="H70" s="30"/>
      <c r="I70" s="31">
        <v>300.0</v>
      </c>
      <c r="J70" s="32"/>
      <c r="K70" s="33"/>
      <c r="L70" s="47">
        <v>300.0</v>
      </c>
      <c r="M70" s="18">
        <f t="shared" si="1"/>
        <v>0</v>
      </c>
    </row>
    <row r="71">
      <c r="A71" s="41">
        <v>67.0</v>
      </c>
      <c r="B71" s="46" t="s">
        <v>2902</v>
      </c>
      <c r="C71" s="46">
        <v>50069.0</v>
      </c>
      <c r="D71" s="46" t="s">
        <v>2903</v>
      </c>
      <c r="E71" s="27"/>
      <c r="F71" s="37"/>
      <c r="G71" s="29"/>
      <c r="H71" s="30">
        <v>300.0</v>
      </c>
      <c r="I71" s="31"/>
      <c r="J71" s="32"/>
      <c r="K71" s="33"/>
      <c r="L71" s="47">
        <v>300.0</v>
      </c>
      <c r="M71" s="18">
        <f t="shared" si="1"/>
        <v>0</v>
      </c>
    </row>
    <row r="72">
      <c r="A72" s="41">
        <v>68.0</v>
      </c>
      <c r="B72" s="46" t="s">
        <v>2904</v>
      </c>
      <c r="C72" s="46">
        <v>24631.0</v>
      </c>
      <c r="D72" s="46" t="s">
        <v>2905</v>
      </c>
      <c r="E72" s="27"/>
      <c r="F72" s="37"/>
      <c r="G72" s="29"/>
      <c r="H72" s="30">
        <v>300.0</v>
      </c>
      <c r="I72" s="31"/>
      <c r="J72" s="32"/>
      <c r="K72" s="33"/>
      <c r="L72" s="47">
        <v>300.0</v>
      </c>
      <c r="M72" s="18">
        <f t="shared" si="1"/>
        <v>0</v>
      </c>
    </row>
    <row r="73">
      <c r="A73" s="41">
        <v>69.0</v>
      </c>
      <c r="B73" s="46" t="s">
        <v>2906</v>
      </c>
      <c r="C73" s="46">
        <v>53160.0</v>
      </c>
      <c r="D73" s="46" t="s">
        <v>2907</v>
      </c>
      <c r="E73" s="27"/>
      <c r="F73" s="37"/>
      <c r="G73" s="29"/>
      <c r="H73" s="30"/>
      <c r="I73" s="31">
        <v>300.0</v>
      </c>
      <c r="J73" s="32"/>
      <c r="K73" s="33"/>
      <c r="L73" s="47">
        <v>300.0</v>
      </c>
      <c r="M73" s="18">
        <f t="shared" si="1"/>
        <v>0</v>
      </c>
    </row>
    <row r="74">
      <c r="A74" s="41">
        <v>70.0</v>
      </c>
      <c r="B74" s="46" t="s">
        <v>2908</v>
      </c>
      <c r="C74" s="46">
        <v>33065.0</v>
      </c>
      <c r="D74" s="46" t="s">
        <v>36</v>
      </c>
      <c r="E74" s="27"/>
      <c r="F74" s="37"/>
      <c r="G74" s="29"/>
      <c r="H74" s="30">
        <v>10000.0</v>
      </c>
      <c r="I74" s="31"/>
      <c r="J74" s="32"/>
      <c r="K74" s="33"/>
      <c r="L74" s="47">
        <v>10000.0</v>
      </c>
      <c r="M74" s="18">
        <f t="shared" si="1"/>
        <v>0</v>
      </c>
    </row>
    <row r="75">
      <c r="A75" s="41">
        <v>71.0</v>
      </c>
      <c r="B75" s="46" t="s">
        <v>2909</v>
      </c>
      <c r="C75" s="46">
        <v>10320.0</v>
      </c>
      <c r="D75" s="46" t="s">
        <v>447</v>
      </c>
      <c r="E75" s="27"/>
      <c r="F75" s="37"/>
      <c r="G75" s="29"/>
      <c r="H75" s="30">
        <v>5000.0</v>
      </c>
      <c r="I75" s="31"/>
      <c r="J75" s="32"/>
      <c r="K75" s="33"/>
      <c r="L75" s="47">
        <v>5000.0</v>
      </c>
      <c r="M75" s="18">
        <f t="shared" si="1"/>
        <v>0</v>
      </c>
    </row>
    <row r="76">
      <c r="A76" s="41">
        <v>72.0</v>
      </c>
      <c r="B76" s="46" t="s">
        <v>2910</v>
      </c>
      <c r="C76" s="46">
        <v>43102.0</v>
      </c>
      <c r="D76" s="46" t="s">
        <v>2911</v>
      </c>
      <c r="E76" s="27"/>
      <c r="F76" s="37"/>
      <c r="G76" s="29"/>
      <c r="H76" s="30"/>
      <c r="I76" s="31">
        <v>2150.0</v>
      </c>
      <c r="J76" s="32"/>
      <c r="K76" s="33"/>
      <c r="L76" s="47">
        <v>2150.0</v>
      </c>
      <c r="M76" s="18">
        <f t="shared" si="1"/>
        <v>0</v>
      </c>
    </row>
    <row r="77">
      <c r="A77" s="41">
        <v>73.0</v>
      </c>
      <c r="B77" s="46" t="s">
        <v>2912</v>
      </c>
      <c r="C77" s="46">
        <v>33507.0</v>
      </c>
      <c r="D77" s="46" t="s">
        <v>2913</v>
      </c>
      <c r="E77" s="27"/>
      <c r="F77" s="37"/>
      <c r="G77" s="29"/>
      <c r="H77" s="30">
        <v>600.0</v>
      </c>
      <c r="I77" s="31"/>
      <c r="J77" s="32"/>
      <c r="K77" s="33"/>
      <c r="L77" s="47">
        <v>600.0</v>
      </c>
      <c r="M77" s="18">
        <f t="shared" si="1"/>
        <v>0</v>
      </c>
    </row>
    <row r="78">
      <c r="A78" s="41">
        <v>74.0</v>
      </c>
      <c r="B78" s="46" t="s">
        <v>2914</v>
      </c>
      <c r="C78" s="46">
        <v>33507.0</v>
      </c>
      <c r="D78" s="46" t="s">
        <v>2913</v>
      </c>
      <c r="E78" s="27"/>
      <c r="F78" s="37"/>
      <c r="G78" s="29"/>
      <c r="H78" s="30">
        <v>300.0</v>
      </c>
      <c r="I78" s="31"/>
      <c r="J78" s="32"/>
      <c r="K78" s="33"/>
      <c r="L78" s="47">
        <v>300.0</v>
      </c>
      <c r="M78" s="18">
        <f t="shared" si="1"/>
        <v>0</v>
      </c>
    </row>
    <row r="79">
      <c r="A79" s="41">
        <v>75.0</v>
      </c>
      <c r="B79" s="46" t="s">
        <v>2915</v>
      </c>
      <c r="C79" s="46">
        <v>44497.0</v>
      </c>
      <c r="D79" s="46" t="s">
        <v>2916</v>
      </c>
      <c r="E79" s="27"/>
      <c r="F79" s="37"/>
      <c r="G79" s="29"/>
      <c r="H79" s="30">
        <v>2950.0</v>
      </c>
      <c r="I79" s="31"/>
      <c r="J79" s="32"/>
      <c r="K79" s="33"/>
      <c r="L79" s="47">
        <v>2950.0</v>
      </c>
      <c r="M79" s="18">
        <f t="shared" si="1"/>
        <v>0</v>
      </c>
    </row>
    <row r="80">
      <c r="A80" s="41">
        <v>76.0</v>
      </c>
      <c r="B80" s="46" t="s">
        <v>2917</v>
      </c>
      <c r="C80" s="46">
        <v>10929.0</v>
      </c>
      <c r="D80" s="46" t="s">
        <v>2918</v>
      </c>
      <c r="E80" s="27"/>
      <c r="F80" s="37">
        <v>5300.0</v>
      </c>
      <c r="G80" s="29"/>
      <c r="H80" s="30"/>
      <c r="I80" s="31"/>
      <c r="J80" s="32"/>
      <c r="K80" s="33"/>
      <c r="L80" s="47">
        <v>5300.0</v>
      </c>
      <c r="M80" s="18">
        <f t="shared" si="1"/>
        <v>0</v>
      </c>
    </row>
    <row r="81">
      <c r="A81" s="41">
        <v>77.0</v>
      </c>
      <c r="B81" s="46" t="s">
        <v>2919</v>
      </c>
      <c r="C81" s="46">
        <v>50436.0</v>
      </c>
      <c r="D81" s="46" t="s">
        <v>421</v>
      </c>
      <c r="E81" s="27"/>
      <c r="F81" s="37"/>
      <c r="G81" s="39">
        <v>600.0</v>
      </c>
      <c r="H81" s="30"/>
      <c r="I81" s="31"/>
      <c r="J81" s="32"/>
      <c r="K81" s="33"/>
      <c r="L81" s="47">
        <v>600.0</v>
      </c>
      <c r="M81" s="18">
        <f t="shared" si="1"/>
        <v>0</v>
      </c>
    </row>
    <row r="82">
      <c r="A82" s="41">
        <v>78.0</v>
      </c>
      <c r="B82" s="46" t="s">
        <v>2920</v>
      </c>
      <c r="C82" s="46">
        <v>51017.0</v>
      </c>
      <c r="D82" s="46" t="s">
        <v>659</v>
      </c>
      <c r="E82" s="27"/>
      <c r="F82" s="37"/>
      <c r="G82" s="39">
        <v>30000.0</v>
      </c>
      <c r="H82" s="30"/>
      <c r="I82" s="31"/>
      <c r="J82" s="32"/>
      <c r="K82" s="33"/>
      <c r="L82" s="47">
        <v>30000.0</v>
      </c>
      <c r="M82" s="18">
        <f t="shared" si="1"/>
        <v>0</v>
      </c>
    </row>
    <row r="83">
      <c r="A83" s="41">
        <v>79.0</v>
      </c>
      <c r="B83" s="46" t="s">
        <v>2921</v>
      </c>
      <c r="C83" s="46">
        <v>51017.0</v>
      </c>
      <c r="D83" s="46" t="s">
        <v>659</v>
      </c>
      <c r="E83" s="27"/>
      <c r="F83" s="37"/>
      <c r="G83" s="39">
        <v>6750.0</v>
      </c>
      <c r="H83" s="30"/>
      <c r="I83" s="31"/>
      <c r="J83" s="32"/>
      <c r="K83" s="33"/>
      <c r="L83" s="47">
        <v>6750.0</v>
      </c>
      <c r="M83" s="18">
        <f t="shared" si="1"/>
        <v>0</v>
      </c>
    </row>
    <row r="84">
      <c r="A84" s="41">
        <v>80.0</v>
      </c>
      <c r="B84" s="46" t="s">
        <v>2922</v>
      </c>
      <c r="C84" s="46">
        <v>12102.0</v>
      </c>
      <c r="D84" s="46" t="s">
        <v>345</v>
      </c>
      <c r="E84" s="27"/>
      <c r="F84" s="37"/>
      <c r="G84" s="39">
        <v>51400.0</v>
      </c>
      <c r="H84" s="30"/>
      <c r="I84" s="31"/>
      <c r="J84" s="32"/>
      <c r="K84" s="33"/>
      <c r="L84" s="47">
        <v>51400.0</v>
      </c>
      <c r="M84" s="18">
        <f t="shared" si="1"/>
        <v>0</v>
      </c>
    </row>
    <row r="85">
      <c r="A85" s="41">
        <v>81.0</v>
      </c>
      <c r="B85" s="46" t="s">
        <v>2923</v>
      </c>
      <c r="C85" s="46">
        <v>49918.0</v>
      </c>
      <c r="D85" s="46" t="s">
        <v>114</v>
      </c>
      <c r="E85" s="27"/>
      <c r="F85" s="37"/>
      <c r="G85" s="39">
        <v>1750.0</v>
      </c>
      <c r="H85" s="30"/>
      <c r="I85" s="31"/>
      <c r="J85" s="32"/>
      <c r="K85" s="33"/>
      <c r="L85" s="47">
        <v>1750.0</v>
      </c>
      <c r="M85" s="18">
        <f t="shared" si="1"/>
        <v>0</v>
      </c>
    </row>
    <row r="86" hidden="1">
      <c r="A86" s="41">
        <v>90.0</v>
      </c>
      <c r="B86" s="46"/>
      <c r="C86" s="46"/>
      <c r="D86" s="46"/>
      <c r="E86" s="27"/>
      <c r="F86" s="37"/>
      <c r="G86" s="29"/>
      <c r="H86" s="30"/>
      <c r="I86" s="31"/>
      <c r="J86" s="35"/>
      <c r="K86" s="33"/>
      <c r="L86" s="47"/>
      <c r="M86" s="18">
        <f t="shared" si="1"/>
        <v>0</v>
      </c>
    </row>
    <row r="87" hidden="1">
      <c r="A87" s="41">
        <v>91.0</v>
      </c>
      <c r="B87" s="46"/>
      <c r="C87" s="46"/>
      <c r="D87" s="46"/>
      <c r="E87" s="27"/>
      <c r="F87" s="37"/>
      <c r="G87" s="39"/>
      <c r="H87" s="30"/>
      <c r="I87" s="31"/>
      <c r="J87" s="32"/>
      <c r="K87" s="33"/>
      <c r="L87" s="47"/>
      <c r="M87" s="18">
        <f t="shared" si="1"/>
        <v>0</v>
      </c>
    </row>
    <row r="88" hidden="1">
      <c r="A88" s="41">
        <v>92.0</v>
      </c>
      <c r="B88" s="46"/>
      <c r="C88" s="46"/>
      <c r="D88" s="46"/>
      <c r="E88" s="27"/>
      <c r="F88" s="37"/>
      <c r="G88" s="39"/>
      <c r="H88" s="30"/>
      <c r="I88" s="31"/>
      <c r="J88" s="32"/>
      <c r="K88" s="33"/>
      <c r="L88" s="47"/>
      <c r="M88" s="18">
        <f t="shared" si="1"/>
        <v>0</v>
      </c>
    </row>
    <row r="89" hidden="1">
      <c r="A89" s="41">
        <v>93.0</v>
      </c>
      <c r="B89" s="46"/>
      <c r="C89" s="46"/>
      <c r="D89" s="46"/>
      <c r="E89" s="38"/>
      <c r="F89" s="28"/>
      <c r="G89" s="39"/>
      <c r="H89" s="30"/>
      <c r="I89" s="31"/>
      <c r="J89" s="32"/>
      <c r="K89" s="33"/>
      <c r="L89" s="47"/>
      <c r="M89" s="18">
        <f t="shared" si="1"/>
        <v>0</v>
      </c>
    </row>
    <row r="90" hidden="1">
      <c r="A90" s="41">
        <v>97.0</v>
      </c>
      <c r="B90" s="46"/>
      <c r="C90" s="46"/>
      <c r="D90" s="46"/>
      <c r="E90" s="27"/>
      <c r="F90" s="28"/>
      <c r="G90" s="29"/>
      <c r="H90" s="30"/>
      <c r="I90" s="31"/>
      <c r="J90" s="32"/>
      <c r="K90" s="33"/>
      <c r="L90" s="47"/>
      <c r="M90" s="18">
        <f t="shared" si="1"/>
        <v>0</v>
      </c>
    </row>
    <row r="91" hidden="1">
      <c r="A91" s="41">
        <v>98.0</v>
      </c>
      <c r="B91" s="46"/>
      <c r="C91" s="46"/>
      <c r="D91" s="46"/>
      <c r="E91" s="38"/>
      <c r="F91" s="28"/>
      <c r="G91" s="29"/>
      <c r="H91" s="30"/>
      <c r="I91" s="31"/>
      <c r="J91" s="32"/>
      <c r="K91" s="33"/>
      <c r="L91" s="47"/>
      <c r="M91" s="18">
        <f t="shared" si="1"/>
        <v>0</v>
      </c>
    </row>
    <row r="92" hidden="1">
      <c r="A92" s="41">
        <v>99.0</v>
      </c>
      <c r="B92" s="46"/>
      <c r="C92" s="46"/>
      <c r="D92" s="46"/>
      <c r="E92" s="27"/>
      <c r="F92" s="37"/>
      <c r="G92" s="29"/>
      <c r="H92" s="30"/>
      <c r="I92" s="31"/>
      <c r="J92" s="32"/>
      <c r="K92" s="33"/>
      <c r="L92" s="47"/>
      <c r="M92" s="18">
        <f t="shared" si="1"/>
        <v>0</v>
      </c>
    </row>
    <row r="93" hidden="1">
      <c r="A93" s="41">
        <v>100.0</v>
      </c>
      <c r="B93" s="46"/>
      <c r="C93" s="46"/>
      <c r="D93" s="46"/>
      <c r="E93" s="27"/>
      <c r="F93" s="28"/>
      <c r="G93" s="29"/>
      <c r="H93" s="30"/>
      <c r="I93" s="31"/>
      <c r="J93" s="32"/>
      <c r="K93" s="33"/>
      <c r="L93" s="47"/>
      <c r="M93" s="18">
        <f t="shared" si="1"/>
        <v>0</v>
      </c>
    </row>
    <row r="94" hidden="1">
      <c r="A94" s="41">
        <v>101.0</v>
      </c>
      <c r="B94" s="46"/>
      <c r="C94" s="46"/>
      <c r="D94" s="46"/>
      <c r="E94" s="27"/>
      <c r="F94" s="28"/>
      <c r="G94" s="29"/>
      <c r="H94" s="30"/>
      <c r="I94" s="31"/>
      <c r="J94" s="32"/>
      <c r="K94" s="33"/>
      <c r="L94" s="47"/>
      <c r="M94" s="18">
        <f t="shared" si="1"/>
        <v>0</v>
      </c>
    </row>
    <row r="95" hidden="1">
      <c r="A95" s="41">
        <v>102.0</v>
      </c>
      <c r="B95" s="46"/>
      <c r="C95" s="46"/>
      <c r="D95" s="46"/>
      <c r="E95" s="27"/>
      <c r="F95" s="28"/>
      <c r="G95" s="29"/>
      <c r="H95" s="30"/>
      <c r="I95" s="31"/>
      <c r="J95" s="32"/>
      <c r="K95" s="33"/>
      <c r="L95" s="47"/>
      <c r="M95" s="18">
        <f t="shared" si="1"/>
        <v>0</v>
      </c>
    </row>
    <row r="96" hidden="1">
      <c r="A96" s="41">
        <v>103.0</v>
      </c>
      <c r="B96" s="46"/>
      <c r="C96" s="46"/>
      <c r="D96" s="46"/>
      <c r="E96" s="38"/>
      <c r="F96" s="37"/>
      <c r="G96" s="29"/>
      <c r="H96" s="30"/>
      <c r="I96" s="31"/>
      <c r="J96" s="32"/>
      <c r="K96" s="33"/>
      <c r="L96" s="47"/>
      <c r="M96" s="18">
        <f t="shared" si="1"/>
        <v>0</v>
      </c>
    </row>
    <row r="97" hidden="1">
      <c r="A97" s="41">
        <v>104.0</v>
      </c>
      <c r="B97" s="46"/>
      <c r="C97" s="46"/>
      <c r="D97" s="46"/>
      <c r="E97" s="38"/>
      <c r="F97" s="28"/>
      <c r="G97" s="39"/>
      <c r="H97" s="30"/>
      <c r="I97" s="31"/>
      <c r="J97" s="35"/>
      <c r="K97" s="33"/>
      <c r="L97" s="47"/>
      <c r="M97" s="18">
        <f t="shared" si="1"/>
        <v>0</v>
      </c>
    </row>
    <row r="98" hidden="1">
      <c r="A98" s="41">
        <v>105.0</v>
      </c>
      <c r="B98" s="46"/>
      <c r="C98" s="46"/>
      <c r="D98" s="46"/>
      <c r="E98" s="27"/>
      <c r="F98" s="28"/>
      <c r="G98" s="29"/>
      <c r="H98" s="30"/>
      <c r="I98" s="31"/>
      <c r="J98" s="32"/>
      <c r="K98" s="33"/>
      <c r="L98" s="47"/>
      <c r="M98" s="18">
        <f t="shared" si="1"/>
        <v>0</v>
      </c>
    </row>
    <row r="99" hidden="1">
      <c r="A99" s="41">
        <v>106.0</v>
      </c>
      <c r="B99" s="46"/>
      <c r="C99" s="46"/>
      <c r="D99" s="46"/>
      <c r="E99" s="38"/>
      <c r="F99" s="37"/>
      <c r="G99" s="29"/>
      <c r="H99" s="30"/>
      <c r="I99" s="31"/>
      <c r="J99" s="32"/>
      <c r="K99" s="33"/>
      <c r="L99" s="47"/>
      <c r="M99" s="18">
        <f t="shared" si="1"/>
        <v>0</v>
      </c>
    </row>
    <row r="100" hidden="1">
      <c r="A100" s="41">
        <v>107.0</v>
      </c>
      <c r="B100" s="46"/>
      <c r="C100" s="46"/>
      <c r="D100" s="46"/>
      <c r="E100" s="27"/>
      <c r="F100" s="37"/>
      <c r="G100" s="29"/>
      <c r="H100" s="30"/>
      <c r="I100" s="31"/>
      <c r="J100" s="32"/>
      <c r="K100" s="33"/>
      <c r="L100" s="47"/>
      <c r="M100" s="18">
        <f t="shared" si="1"/>
        <v>0</v>
      </c>
    </row>
    <row r="101" hidden="1">
      <c r="A101" s="41">
        <v>108.0</v>
      </c>
      <c r="B101" s="46"/>
      <c r="C101" s="46"/>
      <c r="D101" s="46"/>
      <c r="E101" s="27"/>
      <c r="F101" s="37"/>
      <c r="G101" s="29"/>
      <c r="H101" s="30"/>
      <c r="I101" s="36"/>
      <c r="J101" s="32"/>
      <c r="K101" s="33"/>
      <c r="L101" s="47"/>
      <c r="M101" s="18">
        <f t="shared" si="1"/>
        <v>0</v>
      </c>
    </row>
    <row r="102" hidden="1">
      <c r="A102" s="41">
        <v>109.0</v>
      </c>
      <c r="B102" s="46"/>
      <c r="C102" s="46"/>
      <c r="D102" s="46"/>
      <c r="E102" s="27"/>
      <c r="F102" s="28"/>
      <c r="G102" s="29"/>
      <c r="H102" s="30"/>
      <c r="I102" s="36"/>
      <c r="J102" s="32"/>
      <c r="K102" s="33"/>
      <c r="L102" s="47"/>
      <c r="M102" s="18">
        <f t="shared" si="1"/>
        <v>0</v>
      </c>
    </row>
    <row r="103" hidden="1">
      <c r="A103" s="41">
        <v>110.0</v>
      </c>
      <c r="B103" s="46"/>
      <c r="C103" s="46"/>
      <c r="D103" s="46"/>
      <c r="E103" s="38"/>
      <c r="F103" s="37"/>
      <c r="G103" s="29"/>
      <c r="H103" s="30"/>
      <c r="I103" s="31"/>
      <c r="J103" s="32"/>
      <c r="K103" s="33"/>
      <c r="L103" s="47"/>
      <c r="M103" s="18">
        <f t="shared" si="1"/>
        <v>0</v>
      </c>
    </row>
    <row r="104" hidden="1">
      <c r="A104" s="41">
        <v>111.0</v>
      </c>
      <c r="B104" s="46"/>
      <c r="C104" s="46"/>
      <c r="D104" s="46"/>
      <c r="E104" s="27"/>
      <c r="F104" s="37"/>
      <c r="G104" s="29"/>
      <c r="H104" s="30"/>
      <c r="I104" s="31"/>
      <c r="J104" s="35"/>
      <c r="K104" s="33"/>
      <c r="L104" s="47"/>
      <c r="M104" s="18">
        <f t="shared" si="1"/>
        <v>0</v>
      </c>
    </row>
    <row r="105" hidden="1">
      <c r="A105" s="41">
        <v>112.0</v>
      </c>
      <c r="B105" s="46"/>
      <c r="C105" s="46"/>
      <c r="D105" s="46"/>
      <c r="E105" s="38"/>
      <c r="F105" s="28"/>
      <c r="G105" s="29"/>
      <c r="H105" s="30"/>
      <c r="I105" s="31"/>
      <c r="J105" s="32"/>
      <c r="K105" s="33"/>
      <c r="L105" s="47"/>
      <c r="M105" s="18">
        <f t="shared" si="1"/>
        <v>0</v>
      </c>
    </row>
    <row r="106" hidden="1">
      <c r="A106" s="41">
        <v>113.0</v>
      </c>
      <c r="B106" s="46"/>
      <c r="C106" s="46"/>
      <c r="D106" s="46"/>
      <c r="E106" s="38"/>
      <c r="F106" s="37"/>
      <c r="G106" s="29"/>
      <c r="H106" s="30"/>
      <c r="I106" s="31"/>
      <c r="J106" s="32"/>
      <c r="K106" s="33"/>
      <c r="L106" s="47"/>
      <c r="M106" s="18">
        <f t="shared" si="1"/>
        <v>0</v>
      </c>
    </row>
    <row r="107" hidden="1">
      <c r="A107" s="41">
        <v>114.0</v>
      </c>
      <c r="B107" s="46"/>
      <c r="C107" s="46"/>
      <c r="D107" s="46"/>
      <c r="E107" s="38"/>
      <c r="F107" s="37"/>
      <c r="G107" s="29"/>
      <c r="H107" s="30"/>
      <c r="I107" s="31"/>
      <c r="J107" s="35"/>
      <c r="K107" s="33"/>
      <c r="L107" s="47"/>
      <c r="M107" s="18">
        <f t="shared" si="1"/>
        <v>0</v>
      </c>
    </row>
    <row r="108" hidden="1">
      <c r="A108" s="41">
        <v>115.0</v>
      </c>
      <c r="B108" s="46"/>
      <c r="C108" s="46"/>
      <c r="D108" s="46"/>
      <c r="E108" s="27"/>
      <c r="F108" s="37"/>
      <c r="G108" s="29"/>
      <c r="H108" s="30"/>
      <c r="I108" s="31"/>
      <c r="J108" s="32"/>
      <c r="K108" s="33"/>
      <c r="L108" s="47"/>
      <c r="M108" s="18">
        <f t="shared" si="1"/>
        <v>0</v>
      </c>
    </row>
    <row r="109" hidden="1">
      <c r="A109" s="41">
        <v>116.0</v>
      </c>
      <c r="B109" s="46"/>
      <c r="C109" s="46"/>
      <c r="D109" s="46"/>
      <c r="E109" s="27"/>
      <c r="F109" s="37"/>
      <c r="G109" s="29"/>
      <c r="H109" s="30"/>
      <c r="I109" s="31"/>
      <c r="J109" s="32"/>
      <c r="K109" s="33"/>
      <c r="L109" s="47"/>
      <c r="M109" s="18">
        <f t="shared" si="1"/>
        <v>0</v>
      </c>
    </row>
    <row r="110" hidden="1">
      <c r="A110" s="41">
        <v>117.0</v>
      </c>
      <c r="B110" s="46"/>
      <c r="C110" s="46"/>
      <c r="D110" s="46"/>
      <c r="E110" s="27"/>
      <c r="F110" s="37"/>
      <c r="G110" s="29"/>
      <c r="H110" s="30"/>
      <c r="I110" s="31"/>
      <c r="J110" s="32"/>
      <c r="K110" s="33"/>
      <c r="L110" s="47"/>
      <c r="M110" s="18">
        <f t="shared" si="1"/>
        <v>0</v>
      </c>
    </row>
    <row r="111" hidden="1">
      <c r="A111" s="41">
        <v>118.0</v>
      </c>
      <c r="B111" s="46"/>
      <c r="C111" s="46"/>
      <c r="D111" s="46"/>
      <c r="E111" s="38"/>
      <c r="F111" s="37"/>
      <c r="G111" s="29"/>
      <c r="H111" s="30"/>
      <c r="I111" s="31"/>
      <c r="J111" s="32"/>
      <c r="K111" s="33"/>
      <c r="L111" s="47"/>
      <c r="M111" s="18">
        <f t="shared" si="1"/>
        <v>0</v>
      </c>
    </row>
    <row r="112" hidden="1">
      <c r="A112" s="41">
        <v>119.0</v>
      </c>
      <c r="B112" s="46"/>
      <c r="C112" s="46"/>
      <c r="D112" s="46"/>
      <c r="E112" s="27"/>
      <c r="F112" s="37"/>
      <c r="G112" s="29"/>
      <c r="H112" s="30"/>
      <c r="I112" s="31"/>
      <c r="J112" s="32"/>
      <c r="K112" s="33"/>
      <c r="L112" s="47"/>
      <c r="M112" s="18">
        <f t="shared" si="1"/>
        <v>0</v>
      </c>
    </row>
    <row r="113" hidden="1">
      <c r="A113" s="41">
        <v>120.0</v>
      </c>
      <c r="B113" s="46"/>
      <c r="C113" s="46"/>
      <c r="D113" s="46"/>
      <c r="E113" s="27"/>
      <c r="F113" s="37"/>
      <c r="G113" s="29"/>
      <c r="H113" s="30"/>
      <c r="I113" s="31"/>
      <c r="J113" s="32"/>
      <c r="K113" s="33"/>
      <c r="L113" s="47"/>
      <c r="M113" s="18">
        <f t="shared" si="1"/>
        <v>0</v>
      </c>
    </row>
    <row r="114" hidden="1">
      <c r="A114" s="41">
        <v>121.0</v>
      </c>
      <c r="B114" s="46"/>
      <c r="C114" s="46"/>
      <c r="D114" s="46"/>
      <c r="E114" s="27"/>
      <c r="F114" s="37"/>
      <c r="G114" s="39"/>
      <c r="H114" s="30"/>
      <c r="I114" s="31"/>
      <c r="J114" s="32"/>
      <c r="K114" s="33"/>
      <c r="L114" s="47"/>
      <c r="M114" s="18">
        <f t="shared" si="1"/>
        <v>0</v>
      </c>
    </row>
    <row r="115" hidden="1">
      <c r="A115" s="41">
        <v>122.0</v>
      </c>
      <c r="B115" s="46"/>
      <c r="C115" s="46"/>
      <c r="D115" s="46"/>
      <c r="E115" s="27"/>
      <c r="F115" s="28"/>
      <c r="G115" s="29"/>
      <c r="H115" s="30"/>
      <c r="I115" s="31"/>
      <c r="J115" s="32"/>
      <c r="K115" s="33"/>
      <c r="L115" s="47"/>
      <c r="M115" s="18">
        <f t="shared" si="1"/>
        <v>0</v>
      </c>
    </row>
    <row r="116" hidden="1">
      <c r="A116" s="41">
        <v>123.0</v>
      </c>
      <c r="B116" s="46"/>
      <c r="C116" s="46"/>
      <c r="D116" s="46"/>
      <c r="E116" s="38"/>
      <c r="F116" s="28"/>
      <c r="G116" s="29"/>
      <c r="H116" s="30"/>
      <c r="I116" s="31"/>
      <c r="J116" s="32"/>
      <c r="K116" s="33"/>
      <c r="L116" s="47"/>
      <c r="M116" s="18">
        <f t="shared" si="1"/>
        <v>0</v>
      </c>
    </row>
    <row r="117" hidden="1">
      <c r="A117" s="41">
        <v>124.0</v>
      </c>
      <c r="B117" s="46"/>
      <c r="C117" s="46"/>
      <c r="D117" s="46"/>
      <c r="E117" s="27"/>
      <c r="F117" s="28"/>
      <c r="G117" s="39"/>
      <c r="H117" s="30"/>
      <c r="I117" s="31"/>
      <c r="J117" s="35"/>
      <c r="K117" s="33"/>
      <c r="L117" s="47"/>
      <c r="M117" s="18">
        <f t="shared" si="1"/>
        <v>0</v>
      </c>
    </row>
    <row r="118" hidden="1">
      <c r="A118" s="41">
        <v>125.0</v>
      </c>
      <c r="B118" s="46"/>
      <c r="C118" s="46"/>
      <c r="D118" s="46"/>
      <c r="E118" s="27"/>
      <c r="F118" s="28"/>
      <c r="G118" s="39"/>
      <c r="H118" s="30"/>
      <c r="I118" s="31"/>
      <c r="J118" s="32"/>
      <c r="K118" s="33"/>
      <c r="L118" s="47"/>
      <c r="M118" s="18">
        <f t="shared" si="1"/>
        <v>0</v>
      </c>
    </row>
    <row r="119" hidden="1">
      <c r="A119" s="41">
        <v>126.0</v>
      </c>
      <c r="B119" s="46"/>
      <c r="C119" s="46"/>
      <c r="D119" s="46"/>
      <c r="E119" s="27"/>
      <c r="F119" s="28"/>
      <c r="G119" s="39"/>
      <c r="H119" s="30"/>
      <c r="I119" s="31"/>
      <c r="J119" s="32"/>
      <c r="K119" s="33"/>
      <c r="L119" s="47"/>
      <c r="M119" s="18">
        <f t="shared" si="1"/>
        <v>0</v>
      </c>
    </row>
    <row r="120" hidden="1">
      <c r="A120" s="41">
        <v>127.0</v>
      </c>
      <c r="B120" s="46"/>
      <c r="C120" s="46"/>
      <c r="D120" s="46"/>
      <c r="E120" s="27"/>
      <c r="F120" s="28"/>
      <c r="G120" s="39"/>
      <c r="H120" s="30"/>
      <c r="I120" s="31"/>
      <c r="J120" s="32"/>
      <c r="K120" s="33"/>
      <c r="L120" s="47"/>
      <c r="M120" s="18">
        <f t="shared" si="1"/>
        <v>0</v>
      </c>
    </row>
    <row r="121" hidden="1">
      <c r="A121" s="41">
        <v>128.0</v>
      </c>
      <c r="B121" s="46"/>
      <c r="C121" s="46"/>
      <c r="D121" s="46"/>
      <c r="E121" s="27"/>
      <c r="F121" s="28"/>
      <c r="G121" s="39"/>
      <c r="H121" s="30"/>
      <c r="I121" s="31"/>
      <c r="J121" s="35"/>
      <c r="K121" s="33"/>
      <c r="L121" s="47"/>
      <c r="M121" s="18">
        <f t="shared" si="1"/>
        <v>0</v>
      </c>
    </row>
    <row r="122" hidden="1">
      <c r="A122" s="41">
        <v>129.0</v>
      </c>
      <c r="B122" s="46"/>
      <c r="C122" s="46"/>
      <c r="D122" s="46"/>
      <c r="E122" s="27"/>
      <c r="F122" s="28"/>
      <c r="G122" s="29"/>
      <c r="H122" s="30"/>
      <c r="I122" s="31"/>
      <c r="J122" s="35"/>
      <c r="K122" s="33"/>
      <c r="L122" s="47"/>
      <c r="M122" s="18">
        <f t="shared" si="1"/>
        <v>0</v>
      </c>
    </row>
    <row r="123" hidden="1">
      <c r="A123" s="41">
        <v>130.0</v>
      </c>
      <c r="B123" s="46"/>
      <c r="C123" s="46"/>
      <c r="D123" s="46"/>
      <c r="E123" s="27"/>
      <c r="F123" s="28"/>
      <c r="G123" s="29"/>
      <c r="H123" s="30"/>
      <c r="I123" s="31"/>
      <c r="J123" s="35"/>
      <c r="K123" s="33"/>
      <c r="L123" s="47"/>
      <c r="M123" s="18">
        <f t="shared" si="1"/>
        <v>0</v>
      </c>
    </row>
    <row r="124">
      <c r="A124" s="41"/>
      <c r="B124" s="45"/>
      <c r="C124" s="45"/>
      <c r="D124" s="44"/>
      <c r="E124" s="22">
        <f t="shared" ref="E124:L124" si="2">SUM(E5:E89)</f>
        <v>9400</v>
      </c>
      <c r="F124" s="22">
        <f t="shared" si="2"/>
        <v>5300</v>
      </c>
      <c r="G124" s="22">
        <f t="shared" si="2"/>
        <v>90500</v>
      </c>
      <c r="H124" s="22">
        <f t="shared" si="2"/>
        <v>375400</v>
      </c>
      <c r="I124" s="22">
        <f t="shared" si="2"/>
        <v>158107</v>
      </c>
      <c r="J124" s="22">
        <f t="shared" si="2"/>
        <v>850</v>
      </c>
      <c r="K124" s="22">
        <f t="shared" si="2"/>
        <v>10000</v>
      </c>
      <c r="L124" s="22">
        <f t="shared" si="2"/>
        <v>649557</v>
      </c>
      <c r="M124" s="18">
        <f>SUM(M5:M123)</f>
        <v>0</v>
      </c>
    </row>
    <row r="125">
      <c r="A125" s="23"/>
      <c r="B125" s="23"/>
      <c r="C125" s="23"/>
      <c r="D125" s="23"/>
      <c r="E125" s="24">
        <f>SUM(K124:M124)</f>
        <v>659557</v>
      </c>
      <c r="F125" s="6"/>
      <c r="G125" s="6"/>
      <c r="H125" s="6"/>
      <c r="I125" s="6"/>
      <c r="J125" s="6"/>
      <c r="K125" s="7"/>
      <c r="L125" s="25"/>
      <c r="M125" s="23"/>
    </row>
    <row r="126">
      <c r="L126" s="40" t="s">
        <v>254</v>
      </c>
    </row>
    <row r="130">
      <c r="K130" s="40" t="s">
        <v>1809</v>
      </c>
    </row>
  </sheetData>
  <mergeCells count="14">
    <mergeCell ref="F3:G3"/>
    <mergeCell ref="H3:I3"/>
    <mergeCell ref="J3:J4"/>
    <mergeCell ref="K3:K4"/>
    <mergeCell ref="E125:K125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5"/>
    <col customWidth="1" min="2" max="2" width="24.75"/>
    <col customWidth="1" min="4" max="4" width="43.25"/>
    <col customWidth="1" min="5" max="5" width="9.5"/>
  </cols>
  <sheetData>
    <row r="1">
      <c r="A1" s="1" t="s">
        <v>2924</v>
      </c>
    </row>
    <row r="2">
      <c r="A2" s="2" t="s">
        <v>1</v>
      </c>
      <c r="B2" s="3" t="s">
        <v>2</v>
      </c>
      <c r="C2" s="2" t="s">
        <v>3</v>
      </c>
      <c r="D2" s="4" t="s">
        <v>4</v>
      </c>
      <c r="E2" s="5" t="s">
        <v>5</v>
      </c>
      <c r="F2" s="6"/>
      <c r="G2" s="6"/>
      <c r="H2" s="6"/>
      <c r="I2" s="6"/>
      <c r="J2" s="6"/>
      <c r="K2" s="6"/>
      <c r="L2" s="6"/>
      <c r="M2" s="7"/>
    </row>
    <row r="3">
      <c r="A3" s="8"/>
      <c r="B3" s="8"/>
      <c r="C3" s="8"/>
      <c r="D3" s="8"/>
      <c r="E3" s="2" t="s">
        <v>6</v>
      </c>
      <c r="F3" s="5" t="s">
        <v>7</v>
      </c>
      <c r="G3" s="7"/>
      <c r="H3" s="5" t="s">
        <v>8</v>
      </c>
      <c r="I3" s="7"/>
      <c r="J3" s="2" t="s">
        <v>9</v>
      </c>
      <c r="K3" s="4" t="s">
        <v>10</v>
      </c>
      <c r="L3" s="2" t="s">
        <v>11</v>
      </c>
      <c r="M3" s="2" t="s">
        <v>12</v>
      </c>
    </row>
    <row r="4">
      <c r="A4" s="9"/>
      <c r="B4" s="9"/>
      <c r="C4" s="9"/>
      <c r="D4" s="9"/>
      <c r="E4" s="9"/>
      <c r="F4" s="10" t="s">
        <v>13</v>
      </c>
      <c r="G4" s="10" t="s">
        <v>14</v>
      </c>
      <c r="H4" s="10" t="s">
        <v>15</v>
      </c>
      <c r="I4" s="11" t="s">
        <v>16</v>
      </c>
      <c r="J4" s="9"/>
      <c r="K4" s="9"/>
      <c r="L4" s="9"/>
      <c r="M4" s="9"/>
    </row>
    <row r="5">
      <c r="A5" s="41">
        <v>1.0</v>
      </c>
      <c r="B5" s="46" t="s">
        <v>2925</v>
      </c>
      <c r="C5" s="46">
        <v>56683.0</v>
      </c>
      <c r="D5" s="46" t="s">
        <v>403</v>
      </c>
      <c r="E5" s="38"/>
      <c r="F5" s="28"/>
      <c r="G5" s="29"/>
      <c r="H5" s="30">
        <v>350.0</v>
      </c>
      <c r="I5" s="31"/>
      <c r="J5" s="32"/>
      <c r="K5" s="50"/>
      <c r="L5" s="47">
        <v>350.0</v>
      </c>
      <c r="M5" s="18">
        <f t="shared" ref="M5:M109" si="1">SUM(E5+F5+G5+H5+I5+J5+K5-L5)</f>
        <v>0</v>
      </c>
    </row>
    <row r="6">
      <c r="A6" s="41">
        <v>2.0</v>
      </c>
      <c r="B6" s="46" t="s">
        <v>2926</v>
      </c>
      <c r="C6" s="46">
        <v>50909.0</v>
      </c>
      <c r="D6" s="46" t="s">
        <v>770</v>
      </c>
      <c r="E6" s="38"/>
      <c r="F6" s="37"/>
      <c r="G6" s="29"/>
      <c r="H6" s="30">
        <v>2650.0</v>
      </c>
      <c r="I6" s="31"/>
      <c r="J6" s="35"/>
      <c r="K6" s="33"/>
      <c r="L6" s="47">
        <v>2650.0</v>
      </c>
      <c r="M6" s="18">
        <f t="shared" si="1"/>
        <v>0</v>
      </c>
    </row>
    <row r="7">
      <c r="A7" s="41">
        <v>3.0</v>
      </c>
      <c r="B7" s="46" t="s">
        <v>2927</v>
      </c>
      <c r="C7" s="46">
        <v>47787.0</v>
      </c>
      <c r="D7" s="46" t="s">
        <v>506</v>
      </c>
      <c r="E7" s="27"/>
      <c r="F7" s="37"/>
      <c r="G7" s="29"/>
      <c r="H7" s="30"/>
      <c r="I7" s="31">
        <v>5000.0</v>
      </c>
      <c r="J7" s="35"/>
      <c r="K7" s="33"/>
      <c r="L7" s="47">
        <v>5000.0</v>
      </c>
      <c r="M7" s="18">
        <f t="shared" si="1"/>
        <v>0</v>
      </c>
    </row>
    <row r="8">
      <c r="A8" s="41">
        <v>4.0</v>
      </c>
      <c r="B8" s="46" t="s">
        <v>2928</v>
      </c>
      <c r="C8" s="46">
        <v>56450.0</v>
      </c>
      <c r="D8" s="46" t="s">
        <v>2929</v>
      </c>
      <c r="E8" s="27"/>
      <c r="F8" s="28"/>
      <c r="G8" s="29"/>
      <c r="H8" s="30"/>
      <c r="I8" s="31">
        <v>5000.0</v>
      </c>
      <c r="J8" s="35"/>
      <c r="K8" s="33"/>
      <c r="L8" s="47">
        <v>5000.0</v>
      </c>
      <c r="M8" s="18">
        <f t="shared" si="1"/>
        <v>0</v>
      </c>
    </row>
    <row r="9">
      <c r="A9" s="41">
        <v>5.0</v>
      </c>
      <c r="B9" s="46" t="s">
        <v>2930</v>
      </c>
      <c r="C9" s="46">
        <v>56450.0</v>
      </c>
      <c r="D9" s="46" t="s">
        <v>2929</v>
      </c>
      <c r="E9" s="38"/>
      <c r="F9" s="28"/>
      <c r="G9" s="29"/>
      <c r="H9" s="30"/>
      <c r="I9" s="31">
        <v>5000.0</v>
      </c>
      <c r="J9" s="35"/>
      <c r="K9" s="33"/>
      <c r="L9" s="47">
        <v>5000.0</v>
      </c>
      <c r="M9" s="18">
        <f t="shared" si="1"/>
        <v>0</v>
      </c>
    </row>
    <row r="10">
      <c r="A10" s="41">
        <v>6.0</v>
      </c>
      <c r="B10" s="46" t="s">
        <v>2931</v>
      </c>
      <c r="C10" s="46">
        <v>52669.0</v>
      </c>
      <c r="D10" s="46" t="s">
        <v>2479</v>
      </c>
      <c r="E10" s="38"/>
      <c r="F10" s="28"/>
      <c r="G10" s="29"/>
      <c r="H10" s="30">
        <v>448.0</v>
      </c>
      <c r="I10" s="31"/>
      <c r="J10" s="35"/>
      <c r="K10" s="33"/>
      <c r="L10" s="47">
        <v>448.0</v>
      </c>
      <c r="M10" s="18">
        <f t="shared" si="1"/>
        <v>0</v>
      </c>
    </row>
    <row r="11">
      <c r="A11" s="41">
        <v>7.0</v>
      </c>
      <c r="B11" s="46" t="s">
        <v>2932</v>
      </c>
      <c r="C11" s="46">
        <v>52396.0</v>
      </c>
      <c r="D11" s="46" t="s">
        <v>905</v>
      </c>
      <c r="E11" s="27"/>
      <c r="F11" s="28"/>
      <c r="G11" s="29"/>
      <c r="H11" s="30"/>
      <c r="I11" s="31">
        <v>10000.0</v>
      </c>
      <c r="J11" s="35"/>
      <c r="K11" s="33"/>
      <c r="L11" s="47">
        <v>10000.0</v>
      </c>
      <c r="M11" s="18">
        <f t="shared" si="1"/>
        <v>0</v>
      </c>
    </row>
    <row r="12">
      <c r="A12" s="41">
        <v>8.0</v>
      </c>
      <c r="B12" s="46" t="s">
        <v>2933</v>
      </c>
      <c r="C12" s="46">
        <v>50871.0</v>
      </c>
      <c r="D12" s="46" t="s">
        <v>105</v>
      </c>
      <c r="E12" s="27"/>
      <c r="F12" s="28"/>
      <c r="G12" s="29"/>
      <c r="H12" s="30">
        <v>50000.0</v>
      </c>
      <c r="I12" s="31"/>
      <c r="J12" s="35"/>
      <c r="K12" s="33"/>
      <c r="L12" s="47">
        <v>50000.0</v>
      </c>
      <c r="M12" s="18">
        <f t="shared" si="1"/>
        <v>0</v>
      </c>
    </row>
    <row r="13">
      <c r="A13" s="41">
        <v>9.0</v>
      </c>
      <c r="B13" s="46" t="s">
        <v>2934</v>
      </c>
      <c r="C13" s="46">
        <v>49269.0</v>
      </c>
      <c r="D13" s="46" t="s">
        <v>2935</v>
      </c>
      <c r="E13" s="27"/>
      <c r="F13" s="37"/>
      <c r="G13" s="29"/>
      <c r="H13" s="30">
        <v>5000.0</v>
      </c>
      <c r="I13" s="31"/>
      <c r="J13" s="35"/>
      <c r="K13" s="33"/>
      <c r="L13" s="47">
        <v>5000.0</v>
      </c>
      <c r="M13" s="18">
        <f t="shared" si="1"/>
        <v>0</v>
      </c>
    </row>
    <row r="14">
      <c r="A14" s="41">
        <v>10.0</v>
      </c>
      <c r="B14" s="46" t="s">
        <v>2936</v>
      </c>
      <c r="C14" s="46">
        <v>45096.0</v>
      </c>
      <c r="D14" s="46" t="s">
        <v>290</v>
      </c>
      <c r="E14" s="27"/>
      <c r="F14" s="37"/>
      <c r="G14" s="29"/>
      <c r="H14" s="30">
        <v>3070.0</v>
      </c>
      <c r="I14" s="31"/>
      <c r="J14" s="35"/>
      <c r="K14" s="33"/>
      <c r="L14" s="47">
        <v>3070.0</v>
      </c>
      <c r="M14" s="18">
        <f t="shared" si="1"/>
        <v>0</v>
      </c>
    </row>
    <row r="15">
      <c r="A15" s="41">
        <v>11.0</v>
      </c>
      <c r="B15" s="46" t="s">
        <v>2937</v>
      </c>
      <c r="C15" s="46">
        <v>36555.0</v>
      </c>
      <c r="D15" s="46" t="s">
        <v>172</v>
      </c>
      <c r="E15" s="27"/>
      <c r="F15" s="28"/>
      <c r="G15" s="29"/>
      <c r="H15" s="30">
        <v>1457.0</v>
      </c>
      <c r="I15" s="31"/>
      <c r="J15" s="35"/>
      <c r="K15" s="33"/>
      <c r="L15" s="47">
        <v>1457.0</v>
      </c>
      <c r="M15" s="18">
        <f t="shared" si="1"/>
        <v>0</v>
      </c>
    </row>
    <row r="16">
      <c r="A16" s="41">
        <v>12.0</v>
      </c>
      <c r="B16" s="46" t="s">
        <v>2938</v>
      </c>
      <c r="C16" s="46">
        <v>56742.0</v>
      </c>
      <c r="D16" s="46" t="s">
        <v>2939</v>
      </c>
      <c r="E16" s="27"/>
      <c r="F16" s="28"/>
      <c r="G16" s="29"/>
      <c r="H16" s="30"/>
      <c r="I16" s="31">
        <v>3600.0</v>
      </c>
      <c r="J16" s="35"/>
      <c r="K16" s="33"/>
      <c r="L16" s="47">
        <v>3600.0</v>
      </c>
      <c r="M16" s="18">
        <f t="shared" si="1"/>
        <v>0</v>
      </c>
    </row>
    <row r="17">
      <c r="A17" s="41">
        <v>13.0</v>
      </c>
      <c r="B17" s="46" t="s">
        <v>2940</v>
      </c>
      <c r="C17" s="46">
        <v>56742.0</v>
      </c>
      <c r="D17" s="46" t="s">
        <v>2939</v>
      </c>
      <c r="E17" s="27"/>
      <c r="F17" s="28"/>
      <c r="G17" s="29"/>
      <c r="H17" s="30"/>
      <c r="I17" s="31">
        <v>3600.0</v>
      </c>
      <c r="J17" s="35"/>
      <c r="K17" s="33"/>
      <c r="L17" s="47">
        <v>3600.0</v>
      </c>
      <c r="M17" s="18">
        <f t="shared" si="1"/>
        <v>0</v>
      </c>
    </row>
    <row r="18">
      <c r="A18" s="41">
        <v>14.0</v>
      </c>
      <c r="B18" s="46" t="s">
        <v>2941</v>
      </c>
      <c r="C18" s="46">
        <v>56742.0</v>
      </c>
      <c r="D18" s="46" t="s">
        <v>2939</v>
      </c>
      <c r="E18" s="27"/>
      <c r="F18" s="28"/>
      <c r="G18" s="29"/>
      <c r="H18" s="30"/>
      <c r="I18" s="31">
        <v>9000.0</v>
      </c>
      <c r="J18" s="35"/>
      <c r="K18" s="33"/>
      <c r="L18" s="47">
        <v>9000.0</v>
      </c>
      <c r="M18" s="18">
        <f t="shared" si="1"/>
        <v>0</v>
      </c>
    </row>
    <row r="19">
      <c r="A19" s="41">
        <v>15.0</v>
      </c>
      <c r="B19" s="46" t="s">
        <v>2942</v>
      </c>
      <c r="C19" s="46">
        <v>51849.0</v>
      </c>
      <c r="D19" s="46" t="s">
        <v>2943</v>
      </c>
      <c r="E19" s="38"/>
      <c r="F19" s="37"/>
      <c r="G19" s="29"/>
      <c r="H19" s="30">
        <v>5440.0</v>
      </c>
      <c r="I19" s="31"/>
      <c r="J19" s="35"/>
      <c r="K19" s="33"/>
      <c r="L19" s="47">
        <v>5440.0</v>
      </c>
      <c r="M19" s="18">
        <f t="shared" si="1"/>
        <v>0</v>
      </c>
    </row>
    <row r="20">
      <c r="A20" s="41">
        <v>16.0</v>
      </c>
      <c r="B20" s="46" t="s">
        <v>2944</v>
      </c>
      <c r="C20" s="46">
        <v>45937.0</v>
      </c>
      <c r="D20" s="46" t="s">
        <v>337</v>
      </c>
      <c r="E20" s="27"/>
      <c r="F20" s="28"/>
      <c r="G20" s="29"/>
      <c r="H20" s="30">
        <v>3080.0</v>
      </c>
      <c r="I20" s="31"/>
      <c r="J20" s="35"/>
      <c r="K20" s="33"/>
      <c r="L20" s="47">
        <v>3080.0</v>
      </c>
      <c r="M20" s="18">
        <f t="shared" si="1"/>
        <v>0</v>
      </c>
    </row>
    <row r="21">
      <c r="A21" s="41">
        <v>17.0</v>
      </c>
      <c r="B21" s="46" t="s">
        <v>2945</v>
      </c>
      <c r="C21" s="46">
        <v>51040.0</v>
      </c>
      <c r="D21" s="46" t="s">
        <v>196</v>
      </c>
      <c r="E21" s="27"/>
      <c r="F21" s="37"/>
      <c r="G21" s="29"/>
      <c r="H21" s="30">
        <v>0.0</v>
      </c>
      <c r="I21" s="31"/>
      <c r="J21" s="35"/>
      <c r="K21" s="33"/>
      <c r="L21" s="47">
        <v>600.0</v>
      </c>
      <c r="M21" s="18">
        <f t="shared" si="1"/>
        <v>-600</v>
      </c>
    </row>
    <row r="22">
      <c r="A22" s="41">
        <v>18.0</v>
      </c>
      <c r="B22" s="46" t="s">
        <v>2946</v>
      </c>
      <c r="C22" s="46">
        <v>52032.0</v>
      </c>
      <c r="D22" s="46" t="s">
        <v>233</v>
      </c>
      <c r="E22" s="27"/>
      <c r="F22" s="37"/>
      <c r="G22" s="29"/>
      <c r="H22" s="30">
        <v>10000.0</v>
      </c>
      <c r="I22" s="31"/>
      <c r="J22" s="35"/>
      <c r="K22" s="33"/>
      <c r="L22" s="47">
        <v>10000.0</v>
      </c>
      <c r="M22" s="18">
        <f t="shared" si="1"/>
        <v>0</v>
      </c>
    </row>
    <row r="23">
      <c r="A23" s="41">
        <v>19.0</v>
      </c>
      <c r="B23" s="46" t="s">
        <v>2947</v>
      </c>
      <c r="C23" s="46">
        <v>45096.0</v>
      </c>
      <c r="D23" s="46" t="s">
        <v>290</v>
      </c>
      <c r="E23" s="27"/>
      <c r="F23" s="37"/>
      <c r="G23" s="29"/>
      <c r="H23" s="30">
        <v>7500.0</v>
      </c>
      <c r="I23" s="31"/>
      <c r="J23" s="35"/>
      <c r="K23" s="33"/>
      <c r="L23" s="47">
        <v>7500.0</v>
      </c>
      <c r="M23" s="18">
        <f t="shared" si="1"/>
        <v>0</v>
      </c>
    </row>
    <row r="24">
      <c r="A24" s="41">
        <v>20.0</v>
      </c>
      <c r="B24" s="46" t="s">
        <v>2948</v>
      </c>
      <c r="C24" s="46">
        <v>47529.0</v>
      </c>
      <c r="D24" s="46" t="s">
        <v>2949</v>
      </c>
      <c r="E24" s="38"/>
      <c r="F24" s="28"/>
      <c r="G24" s="29"/>
      <c r="H24" s="30">
        <v>300.0</v>
      </c>
      <c r="I24" s="31"/>
      <c r="J24" s="35"/>
      <c r="K24" s="33"/>
      <c r="L24" s="47">
        <v>300.0</v>
      </c>
      <c r="M24" s="18">
        <f t="shared" si="1"/>
        <v>0</v>
      </c>
    </row>
    <row r="25">
      <c r="A25" s="41">
        <v>21.0</v>
      </c>
      <c r="B25" s="46" t="s">
        <v>2950</v>
      </c>
      <c r="C25" s="46">
        <v>43381.0</v>
      </c>
      <c r="D25" s="46" t="s">
        <v>1730</v>
      </c>
      <c r="E25" s="38"/>
      <c r="F25" s="28"/>
      <c r="G25" s="29"/>
      <c r="H25" s="30">
        <v>10000.0</v>
      </c>
      <c r="I25" s="31"/>
      <c r="J25" s="35"/>
      <c r="K25" s="33"/>
      <c r="L25" s="47">
        <v>10000.0</v>
      </c>
      <c r="M25" s="18">
        <f t="shared" si="1"/>
        <v>0</v>
      </c>
    </row>
    <row r="26">
      <c r="A26" s="41">
        <v>22.0</v>
      </c>
      <c r="B26" s="46" t="s">
        <v>2951</v>
      </c>
      <c r="C26" s="46">
        <v>52214.0</v>
      </c>
      <c r="D26" s="46" t="s">
        <v>2952</v>
      </c>
      <c r="E26" s="27"/>
      <c r="F26" s="37"/>
      <c r="G26" s="29"/>
      <c r="H26" s="30">
        <v>700.0</v>
      </c>
      <c r="I26" s="31"/>
      <c r="J26" s="35"/>
      <c r="K26" s="33"/>
      <c r="L26" s="47">
        <v>700.0</v>
      </c>
      <c r="M26" s="18">
        <f t="shared" si="1"/>
        <v>0</v>
      </c>
    </row>
    <row r="27">
      <c r="A27" s="41">
        <v>23.0</v>
      </c>
      <c r="B27" s="46" t="s">
        <v>2953</v>
      </c>
      <c r="C27" s="46">
        <v>54888.0</v>
      </c>
      <c r="D27" s="46" t="s">
        <v>2954</v>
      </c>
      <c r="E27" s="38"/>
      <c r="F27" s="28"/>
      <c r="G27" s="29"/>
      <c r="H27" s="30"/>
      <c r="I27" s="31">
        <v>300.0</v>
      </c>
      <c r="J27" s="35"/>
      <c r="K27" s="33"/>
      <c r="L27" s="47">
        <v>300.0</v>
      </c>
      <c r="M27" s="18">
        <f t="shared" si="1"/>
        <v>0</v>
      </c>
    </row>
    <row r="28">
      <c r="A28" s="41">
        <v>24.0</v>
      </c>
      <c r="B28" s="46" t="s">
        <v>2955</v>
      </c>
      <c r="C28" s="46">
        <v>16726.0</v>
      </c>
      <c r="D28" s="46" t="s">
        <v>883</v>
      </c>
      <c r="E28" s="27"/>
      <c r="F28" s="37"/>
      <c r="G28" s="29"/>
      <c r="H28" s="30">
        <v>5000.0</v>
      </c>
      <c r="I28" s="31"/>
      <c r="J28" s="35"/>
      <c r="K28" s="33"/>
      <c r="L28" s="47">
        <v>5000.0</v>
      </c>
      <c r="M28" s="18">
        <f t="shared" si="1"/>
        <v>0</v>
      </c>
    </row>
    <row r="29">
      <c r="A29" s="41">
        <v>25.0</v>
      </c>
      <c r="B29" s="46" t="s">
        <v>2956</v>
      </c>
      <c r="C29" s="46">
        <v>16726.0</v>
      </c>
      <c r="D29" s="46" t="s">
        <v>883</v>
      </c>
      <c r="E29" s="27"/>
      <c r="F29" s="28"/>
      <c r="G29" s="29"/>
      <c r="H29" s="30">
        <v>5000.0</v>
      </c>
      <c r="I29" s="31"/>
      <c r="J29" s="35"/>
      <c r="K29" s="33"/>
      <c r="L29" s="47">
        <v>5000.0</v>
      </c>
      <c r="M29" s="18">
        <f t="shared" si="1"/>
        <v>0</v>
      </c>
    </row>
    <row r="30">
      <c r="A30" s="41">
        <v>26.0</v>
      </c>
      <c r="B30" s="46" t="s">
        <v>2957</v>
      </c>
      <c r="C30" s="46">
        <v>53829.0</v>
      </c>
      <c r="D30" s="46" t="s">
        <v>802</v>
      </c>
      <c r="E30" s="38">
        <v>300.0</v>
      </c>
      <c r="F30" s="37"/>
      <c r="G30" s="29"/>
      <c r="H30" s="30"/>
      <c r="I30" s="31"/>
      <c r="J30" s="35"/>
      <c r="K30" s="33"/>
      <c r="L30" s="47">
        <v>300.0</v>
      </c>
      <c r="M30" s="18">
        <f t="shared" si="1"/>
        <v>0</v>
      </c>
    </row>
    <row r="31">
      <c r="A31" s="41">
        <v>27.0</v>
      </c>
      <c r="B31" s="46" t="s">
        <v>2958</v>
      </c>
      <c r="C31" s="46">
        <v>22727.0</v>
      </c>
      <c r="D31" s="46" t="s">
        <v>162</v>
      </c>
      <c r="E31" s="27"/>
      <c r="F31" s="37"/>
      <c r="G31" s="29"/>
      <c r="H31" s="30">
        <v>11050.0</v>
      </c>
      <c r="I31" s="31"/>
      <c r="J31" s="35"/>
      <c r="K31" s="33"/>
      <c r="L31" s="47">
        <v>11050.0</v>
      </c>
      <c r="M31" s="18">
        <f t="shared" si="1"/>
        <v>0</v>
      </c>
    </row>
    <row r="32">
      <c r="A32" s="41">
        <v>28.0</v>
      </c>
      <c r="B32" s="46" t="s">
        <v>2959</v>
      </c>
      <c r="C32" s="46">
        <v>48631.0</v>
      </c>
      <c r="D32" s="46" t="s">
        <v>118</v>
      </c>
      <c r="E32" s="27"/>
      <c r="F32" s="37"/>
      <c r="G32" s="29"/>
      <c r="H32" s="30">
        <v>5500.0</v>
      </c>
      <c r="I32" s="31"/>
      <c r="J32" s="35"/>
      <c r="K32" s="33"/>
      <c r="L32" s="47">
        <v>5500.0</v>
      </c>
      <c r="M32" s="18">
        <f t="shared" si="1"/>
        <v>0</v>
      </c>
    </row>
    <row r="33">
      <c r="A33" s="41">
        <v>29.0</v>
      </c>
      <c r="B33" s="46" t="s">
        <v>2960</v>
      </c>
      <c r="C33" s="46">
        <v>53829.0</v>
      </c>
      <c r="D33" s="46" t="s">
        <v>802</v>
      </c>
      <c r="E33" s="38"/>
      <c r="F33" s="37">
        <v>6250.0</v>
      </c>
      <c r="G33" s="29"/>
      <c r="H33" s="30"/>
      <c r="I33" s="31"/>
      <c r="J33" s="35"/>
      <c r="K33" s="33"/>
      <c r="L33" s="47">
        <v>6250.0</v>
      </c>
      <c r="M33" s="18">
        <f t="shared" si="1"/>
        <v>0</v>
      </c>
    </row>
    <row r="34">
      <c r="A34" s="41">
        <v>30.0</v>
      </c>
      <c r="B34" s="46" t="s">
        <v>2961</v>
      </c>
      <c r="C34" s="46">
        <v>41462.0</v>
      </c>
      <c r="D34" s="46" t="s">
        <v>2962</v>
      </c>
      <c r="E34" s="27"/>
      <c r="F34" s="28"/>
      <c r="G34" s="29"/>
      <c r="H34" s="30">
        <v>15000.0</v>
      </c>
      <c r="I34" s="31"/>
      <c r="J34" s="35"/>
      <c r="K34" s="33"/>
      <c r="L34" s="47">
        <v>15000.0</v>
      </c>
      <c r="M34" s="18">
        <f t="shared" si="1"/>
        <v>0</v>
      </c>
    </row>
    <row r="35">
      <c r="A35" s="41">
        <v>31.0</v>
      </c>
      <c r="B35" s="46" t="s">
        <v>2963</v>
      </c>
      <c r="C35" s="46">
        <v>41462.0</v>
      </c>
      <c r="D35" s="46" t="s">
        <v>2962</v>
      </c>
      <c r="E35" s="27"/>
      <c r="F35" s="28"/>
      <c r="G35" s="29"/>
      <c r="H35" s="30">
        <v>5000.0</v>
      </c>
      <c r="I35" s="31"/>
      <c r="J35" s="32"/>
      <c r="K35" s="33"/>
      <c r="L35" s="47">
        <v>5000.0</v>
      </c>
      <c r="M35" s="18">
        <f t="shared" si="1"/>
        <v>0</v>
      </c>
    </row>
    <row r="36">
      <c r="A36" s="41">
        <v>32.0</v>
      </c>
      <c r="B36" s="46" t="s">
        <v>2964</v>
      </c>
      <c r="C36" s="46">
        <v>41462.0</v>
      </c>
      <c r="D36" s="46" t="s">
        <v>2962</v>
      </c>
      <c r="E36" s="27"/>
      <c r="F36" s="28"/>
      <c r="G36" s="29"/>
      <c r="H36" s="30">
        <v>5000.0</v>
      </c>
      <c r="I36" s="31"/>
      <c r="J36" s="32"/>
      <c r="K36" s="33"/>
      <c r="L36" s="47">
        <v>5000.0</v>
      </c>
      <c r="M36" s="18">
        <f t="shared" si="1"/>
        <v>0</v>
      </c>
    </row>
    <row r="37">
      <c r="A37" s="41">
        <v>33.0</v>
      </c>
      <c r="B37" s="46" t="s">
        <v>2965</v>
      </c>
      <c r="C37" s="46">
        <v>10881.0</v>
      </c>
      <c r="D37" s="46" t="s">
        <v>2966</v>
      </c>
      <c r="E37" s="38">
        <v>5700.0</v>
      </c>
      <c r="F37" s="28"/>
      <c r="G37" s="29"/>
      <c r="H37" s="30"/>
      <c r="I37" s="31"/>
      <c r="J37" s="32"/>
      <c r="K37" s="33"/>
      <c r="L37" s="47">
        <v>5700.0</v>
      </c>
      <c r="M37" s="18">
        <f t="shared" si="1"/>
        <v>0</v>
      </c>
    </row>
    <row r="38">
      <c r="A38" s="41">
        <v>34.0</v>
      </c>
      <c r="B38" s="46" t="s">
        <v>2967</v>
      </c>
      <c r="C38" s="46">
        <v>56433.0</v>
      </c>
      <c r="D38" s="46" t="s">
        <v>2170</v>
      </c>
      <c r="E38" s="27"/>
      <c r="F38" s="37"/>
      <c r="G38" s="29"/>
      <c r="H38" s="30"/>
      <c r="I38" s="31">
        <v>4200.0</v>
      </c>
      <c r="J38" s="32"/>
      <c r="K38" s="33"/>
      <c r="L38" s="47">
        <v>4200.0</v>
      </c>
      <c r="M38" s="18">
        <f t="shared" si="1"/>
        <v>0</v>
      </c>
    </row>
    <row r="39">
      <c r="A39" s="41">
        <v>35.0</v>
      </c>
      <c r="B39" s="46" t="s">
        <v>2968</v>
      </c>
      <c r="C39" s="46">
        <v>56387.0</v>
      </c>
      <c r="D39" s="46" t="s">
        <v>811</v>
      </c>
      <c r="E39" s="38"/>
      <c r="F39" s="37"/>
      <c r="G39" s="29"/>
      <c r="H39" s="30"/>
      <c r="I39" s="31">
        <v>81200.0</v>
      </c>
      <c r="J39" s="35"/>
      <c r="K39" s="33"/>
      <c r="L39" s="47">
        <v>81200.0</v>
      </c>
      <c r="M39" s="18">
        <f t="shared" si="1"/>
        <v>0</v>
      </c>
    </row>
    <row r="40">
      <c r="A40" s="41">
        <v>36.0</v>
      </c>
      <c r="B40" s="46" t="s">
        <v>2969</v>
      </c>
      <c r="C40" s="46">
        <v>50221.0</v>
      </c>
      <c r="D40" s="46" t="s">
        <v>252</v>
      </c>
      <c r="E40" s="27"/>
      <c r="F40" s="37"/>
      <c r="G40" s="29"/>
      <c r="H40" s="30">
        <v>116.0</v>
      </c>
      <c r="I40" s="31"/>
      <c r="J40" s="32"/>
      <c r="K40" s="33"/>
      <c r="L40" s="47">
        <v>116.0</v>
      </c>
      <c r="M40" s="18">
        <f t="shared" si="1"/>
        <v>0</v>
      </c>
    </row>
    <row r="41">
      <c r="A41" s="41">
        <v>37.0</v>
      </c>
      <c r="B41" s="46" t="s">
        <v>2970</v>
      </c>
      <c r="C41" s="46">
        <v>56387.0</v>
      </c>
      <c r="D41" s="46" t="s">
        <v>811</v>
      </c>
      <c r="E41" s="27"/>
      <c r="F41" s="28"/>
      <c r="G41" s="29"/>
      <c r="H41" s="30">
        <v>15140.0</v>
      </c>
      <c r="I41" s="31"/>
      <c r="J41" s="35"/>
      <c r="K41" s="33"/>
      <c r="L41" s="47">
        <v>15140.0</v>
      </c>
      <c r="M41" s="18">
        <f t="shared" si="1"/>
        <v>0</v>
      </c>
    </row>
    <row r="42">
      <c r="A42" s="41">
        <v>38.0</v>
      </c>
      <c r="B42" s="46" t="s">
        <v>2971</v>
      </c>
      <c r="C42" s="46">
        <v>53283.0</v>
      </c>
      <c r="D42" s="46" t="s">
        <v>2972</v>
      </c>
      <c r="E42" s="27"/>
      <c r="F42" s="37">
        <v>5000.0</v>
      </c>
      <c r="G42" s="29"/>
      <c r="H42" s="30"/>
      <c r="I42" s="31"/>
      <c r="J42" s="35"/>
      <c r="K42" s="33"/>
      <c r="L42" s="47">
        <v>5000.0</v>
      </c>
      <c r="M42" s="18">
        <f t="shared" si="1"/>
        <v>0</v>
      </c>
    </row>
    <row r="43">
      <c r="A43" s="41">
        <v>39.0</v>
      </c>
      <c r="B43" s="46" t="s">
        <v>2973</v>
      </c>
      <c r="C43" s="46">
        <v>35245.0</v>
      </c>
      <c r="D43" s="46" t="s">
        <v>34</v>
      </c>
      <c r="E43" s="27"/>
      <c r="F43" s="37"/>
      <c r="G43" s="29"/>
      <c r="H43" s="30">
        <v>5000.0</v>
      </c>
      <c r="I43" s="36"/>
      <c r="J43" s="32"/>
      <c r="K43" s="33"/>
      <c r="L43" s="47">
        <v>5000.0</v>
      </c>
      <c r="M43" s="18">
        <f t="shared" si="1"/>
        <v>0</v>
      </c>
    </row>
    <row r="44">
      <c r="A44" s="41">
        <v>40.0</v>
      </c>
      <c r="B44" s="46" t="s">
        <v>2974</v>
      </c>
      <c r="C44" s="46">
        <v>53283.0</v>
      </c>
      <c r="D44" s="46" t="s">
        <v>2972</v>
      </c>
      <c r="E44" s="27"/>
      <c r="F44" s="37">
        <v>12580.0</v>
      </c>
      <c r="G44" s="29"/>
      <c r="H44" s="30"/>
      <c r="I44" s="31"/>
      <c r="J44" s="32"/>
      <c r="K44" s="33"/>
      <c r="L44" s="47">
        <v>12580.0</v>
      </c>
      <c r="M44" s="18">
        <f t="shared" si="1"/>
        <v>0</v>
      </c>
    </row>
    <row r="45">
      <c r="A45" s="41">
        <v>41.0</v>
      </c>
      <c r="B45" s="46" t="s">
        <v>2975</v>
      </c>
      <c r="C45" s="46">
        <v>50593.0</v>
      </c>
      <c r="D45" s="46" t="s">
        <v>1048</v>
      </c>
      <c r="E45" s="27"/>
      <c r="F45" s="37"/>
      <c r="G45" s="29"/>
      <c r="H45" s="30">
        <v>1427.0</v>
      </c>
      <c r="I45" s="31"/>
      <c r="J45" s="32"/>
      <c r="K45" s="33"/>
      <c r="L45" s="47">
        <v>1427.0</v>
      </c>
      <c r="M45" s="18">
        <f t="shared" si="1"/>
        <v>0</v>
      </c>
    </row>
    <row r="46">
      <c r="A46" s="41">
        <v>42.0</v>
      </c>
      <c r="B46" s="46" t="s">
        <v>2976</v>
      </c>
      <c r="C46" s="46">
        <v>57912.0</v>
      </c>
      <c r="D46" s="46" t="s">
        <v>2977</v>
      </c>
      <c r="E46" s="27"/>
      <c r="F46" s="37"/>
      <c r="G46" s="29"/>
      <c r="H46" s="30"/>
      <c r="I46" s="31">
        <v>27000.0</v>
      </c>
      <c r="J46" s="32"/>
      <c r="K46" s="33"/>
      <c r="L46" s="47">
        <v>27000.0</v>
      </c>
      <c r="M46" s="18">
        <f t="shared" si="1"/>
        <v>0</v>
      </c>
    </row>
    <row r="47">
      <c r="A47" s="41">
        <v>43.0</v>
      </c>
      <c r="B47" s="46" t="s">
        <v>2978</v>
      </c>
      <c r="C47" s="46">
        <v>26831.0</v>
      </c>
      <c r="D47" s="46" t="s">
        <v>315</v>
      </c>
      <c r="E47" s="27"/>
      <c r="F47" s="37"/>
      <c r="G47" s="29"/>
      <c r="H47" s="30"/>
      <c r="I47" s="31">
        <v>16250.0</v>
      </c>
      <c r="J47" s="32"/>
      <c r="K47" s="33"/>
      <c r="L47" s="47">
        <v>16250.0</v>
      </c>
      <c r="M47" s="18">
        <f t="shared" si="1"/>
        <v>0</v>
      </c>
    </row>
    <row r="48">
      <c r="A48" s="41">
        <v>44.0</v>
      </c>
      <c r="B48" s="46" t="s">
        <v>2979</v>
      </c>
      <c r="C48" s="46">
        <v>52755.0</v>
      </c>
      <c r="D48" s="46" t="s">
        <v>1077</v>
      </c>
      <c r="E48" s="27"/>
      <c r="F48" s="37">
        <v>1250.0</v>
      </c>
      <c r="G48" s="29"/>
      <c r="H48" s="30"/>
      <c r="I48" s="31"/>
      <c r="J48" s="32"/>
      <c r="K48" s="33"/>
      <c r="L48" s="47">
        <v>1250.0</v>
      </c>
      <c r="M48" s="18">
        <f t="shared" si="1"/>
        <v>0</v>
      </c>
    </row>
    <row r="49">
      <c r="A49" s="41">
        <v>45.0</v>
      </c>
      <c r="B49" s="46" t="s">
        <v>2980</v>
      </c>
      <c r="C49" s="46">
        <v>56980.0</v>
      </c>
      <c r="D49" s="46" t="s">
        <v>500</v>
      </c>
      <c r="E49" s="27"/>
      <c r="F49" s="37">
        <v>6500.0</v>
      </c>
      <c r="G49" s="29"/>
      <c r="H49" s="30"/>
      <c r="I49" s="31"/>
      <c r="J49" s="32"/>
      <c r="K49" s="33"/>
      <c r="L49" s="47">
        <v>6500.0</v>
      </c>
      <c r="M49" s="18">
        <f t="shared" si="1"/>
        <v>0</v>
      </c>
    </row>
    <row r="50">
      <c r="A50" s="41">
        <v>46.0</v>
      </c>
      <c r="B50" s="46" t="s">
        <v>2981</v>
      </c>
      <c r="C50" s="46">
        <v>57087.0</v>
      </c>
      <c r="D50" s="46" t="s">
        <v>2683</v>
      </c>
      <c r="E50" s="27"/>
      <c r="F50" s="37"/>
      <c r="G50" s="29"/>
      <c r="H50" s="30"/>
      <c r="I50" s="31">
        <v>0.0</v>
      </c>
      <c r="J50" s="32"/>
      <c r="K50" s="33"/>
      <c r="L50" s="47">
        <v>300.0</v>
      </c>
      <c r="M50" s="18">
        <f t="shared" si="1"/>
        <v>-300</v>
      </c>
    </row>
    <row r="51">
      <c r="A51" s="41">
        <v>47.0</v>
      </c>
      <c r="B51" s="46" t="s">
        <v>2982</v>
      </c>
      <c r="C51" s="46">
        <v>51406.0</v>
      </c>
      <c r="D51" s="46" t="s">
        <v>18</v>
      </c>
      <c r="E51" s="27"/>
      <c r="F51" s="37"/>
      <c r="G51" s="29"/>
      <c r="H51" s="30">
        <v>15000.0</v>
      </c>
      <c r="I51" s="31"/>
      <c r="J51" s="32"/>
      <c r="K51" s="33"/>
      <c r="L51" s="47">
        <v>15000.0</v>
      </c>
      <c r="M51" s="18">
        <f t="shared" si="1"/>
        <v>0</v>
      </c>
    </row>
    <row r="52">
      <c r="A52" s="41">
        <v>48.0</v>
      </c>
      <c r="B52" s="46" t="s">
        <v>2983</v>
      </c>
      <c r="C52" s="46">
        <v>50596.0</v>
      </c>
      <c r="D52" s="46" t="s">
        <v>493</v>
      </c>
      <c r="E52" s="27"/>
      <c r="F52" s="37"/>
      <c r="G52" s="29"/>
      <c r="H52" s="30"/>
      <c r="I52" s="31">
        <v>6400.0</v>
      </c>
      <c r="J52" s="32"/>
      <c r="K52" s="33"/>
      <c r="L52" s="47">
        <v>6400.0</v>
      </c>
      <c r="M52" s="18">
        <f t="shared" si="1"/>
        <v>0</v>
      </c>
    </row>
    <row r="53">
      <c r="A53" s="41">
        <v>49.0</v>
      </c>
      <c r="B53" s="46" t="s">
        <v>2984</v>
      </c>
      <c r="C53" s="46">
        <v>50347.0</v>
      </c>
      <c r="D53" s="46" t="s">
        <v>2985</v>
      </c>
      <c r="E53" s="27"/>
      <c r="F53" s="37"/>
      <c r="G53" s="29"/>
      <c r="H53" s="30"/>
      <c r="I53" s="31">
        <v>300.0</v>
      </c>
      <c r="J53" s="32"/>
      <c r="K53" s="33"/>
      <c r="L53" s="47">
        <v>300.0</v>
      </c>
      <c r="M53" s="18">
        <f t="shared" si="1"/>
        <v>0</v>
      </c>
    </row>
    <row r="54">
      <c r="A54" s="41">
        <v>50.0</v>
      </c>
      <c r="B54" s="46" t="s">
        <v>2986</v>
      </c>
      <c r="C54" s="46">
        <v>30908.0</v>
      </c>
      <c r="D54" s="46" t="s">
        <v>190</v>
      </c>
      <c r="E54" s="27"/>
      <c r="F54" s="37"/>
      <c r="G54" s="29"/>
      <c r="H54" s="30">
        <v>5000.0</v>
      </c>
      <c r="I54" s="31"/>
      <c r="J54" s="32"/>
      <c r="K54" s="33"/>
      <c r="L54" s="47">
        <v>5000.0</v>
      </c>
      <c r="M54" s="18">
        <f t="shared" si="1"/>
        <v>0</v>
      </c>
    </row>
    <row r="55">
      <c r="A55" s="41">
        <v>51.0</v>
      </c>
      <c r="B55" s="46" t="s">
        <v>2987</v>
      </c>
      <c r="C55" s="46">
        <v>57918.0</v>
      </c>
      <c r="D55" s="46" t="s">
        <v>2988</v>
      </c>
      <c r="E55" s="27"/>
      <c r="F55" s="37">
        <v>13800.0</v>
      </c>
      <c r="G55" s="29"/>
      <c r="H55" s="30"/>
      <c r="I55" s="31"/>
      <c r="J55" s="32"/>
      <c r="K55" s="33"/>
      <c r="L55" s="47">
        <v>13800.0</v>
      </c>
      <c r="M55" s="18">
        <f t="shared" si="1"/>
        <v>0</v>
      </c>
    </row>
    <row r="56">
      <c r="A56" s="41">
        <v>52.0</v>
      </c>
      <c r="B56" s="46" t="s">
        <v>2989</v>
      </c>
      <c r="C56" s="46">
        <v>57125.0</v>
      </c>
      <c r="D56" s="46" t="s">
        <v>1769</v>
      </c>
      <c r="E56" s="27"/>
      <c r="F56" s="37"/>
      <c r="G56" s="29"/>
      <c r="H56" s="30">
        <v>1350.0</v>
      </c>
      <c r="I56" s="31"/>
      <c r="J56" s="35"/>
      <c r="K56" s="33"/>
      <c r="L56" s="47">
        <v>1350.0</v>
      </c>
      <c r="M56" s="18">
        <f t="shared" si="1"/>
        <v>0</v>
      </c>
    </row>
    <row r="57">
      <c r="A57" s="41">
        <v>53.0</v>
      </c>
      <c r="B57" s="46" t="s">
        <v>2990</v>
      </c>
      <c r="C57" s="46">
        <v>21818.0</v>
      </c>
      <c r="D57" s="46" t="s">
        <v>69</v>
      </c>
      <c r="E57" s="38">
        <v>300.0</v>
      </c>
      <c r="F57" s="37"/>
      <c r="G57" s="29"/>
      <c r="H57" s="30"/>
      <c r="I57" s="31"/>
      <c r="J57" s="32"/>
      <c r="K57" s="33"/>
      <c r="L57" s="47">
        <v>300.0</v>
      </c>
      <c r="M57" s="18">
        <f t="shared" si="1"/>
        <v>0</v>
      </c>
    </row>
    <row r="58">
      <c r="A58" s="41">
        <v>54.0</v>
      </c>
      <c r="B58" s="46" t="s">
        <v>2991</v>
      </c>
      <c r="C58" s="46">
        <v>53455.0</v>
      </c>
      <c r="D58" s="46" t="s">
        <v>65</v>
      </c>
      <c r="E58" s="38">
        <v>300.0</v>
      </c>
      <c r="F58" s="37"/>
      <c r="G58" s="29"/>
      <c r="H58" s="30"/>
      <c r="I58" s="31"/>
      <c r="J58" s="32"/>
      <c r="K58" s="33"/>
      <c r="L58" s="47">
        <v>300.0</v>
      </c>
      <c r="M58" s="18">
        <f t="shared" si="1"/>
        <v>0</v>
      </c>
    </row>
    <row r="59">
      <c r="A59" s="41">
        <v>55.0</v>
      </c>
      <c r="B59" s="46" t="s">
        <v>2992</v>
      </c>
      <c r="C59" s="46">
        <v>56980.0</v>
      </c>
      <c r="D59" s="46" t="s">
        <v>500</v>
      </c>
      <c r="E59" s="27"/>
      <c r="F59" s="37">
        <v>328000.0</v>
      </c>
      <c r="G59" s="29"/>
      <c r="H59" s="30"/>
      <c r="I59" s="31"/>
      <c r="J59" s="32"/>
      <c r="K59" s="33"/>
      <c r="L59" s="47">
        <v>328000.0</v>
      </c>
      <c r="M59" s="18">
        <f t="shared" si="1"/>
        <v>0</v>
      </c>
    </row>
    <row r="60">
      <c r="A60" s="41">
        <v>56.0</v>
      </c>
      <c r="B60" s="46" t="s">
        <v>2993</v>
      </c>
      <c r="C60" s="46">
        <v>57920.0</v>
      </c>
      <c r="D60" s="46" t="s">
        <v>2994</v>
      </c>
      <c r="E60" s="27"/>
      <c r="F60" s="37"/>
      <c r="G60" s="29"/>
      <c r="H60" s="30"/>
      <c r="I60" s="31">
        <v>27000.0</v>
      </c>
      <c r="J60" s="32"/>
      <c r="K60" s="33"/>
      <c r="L60" s="47">
        <v>27000.0</v>
      </c>
      <c r="M60" s="18">
        <f t="shared" si="1"/>
        <v>0</v>
      </c>
    </row>
    <row r="61">
      <c r="A61" s="41">
        <v>57.0</v>
      </c>
      <c r="B61" s="46" t="s">
        <v>2995</v>
      </c>
      <c r="C61" s="46">
        <v>55555.0</v>
      </c>
      <c r="D61" s="46" t="s">
        <v>2558</v>
      </c>
      <c r="E61" s="38"/>
      <c r="F61" s="37">
        <v>1250.0</v>
      </c>
      <c r="G61" s="29"/>
      <c r="H61" s="30"/>
      <c r="I61" s="31"/>
      <c r="J61" s="32"/>
      <c r="K61" s="33"/>
      <c r="L61" s="47">
        <v>1250.0</v>
      </c>
      <c r="M61" s="18">
        <f t="shared" si="1"/>
        <v>0</v>
      </c>
    </row>
    <row r="62">
      <c r="A62" s="41">
        <v>58.0</v>
      </c>
      <c r="B62" s="46" t="s">
        <v>2996</v>
      </c>
      <c r="C62" s="46">
        <v>51773.0</v>
      </c>
      <c r="D62" s="46" t="s">
        <v>2997</v>
      </c>
      <c r="E62" s="38"/>
      <c r="F62" s="37"/>
      <c r="G62" s="39">
        <v>3600.0</v>
      </c>
      <c r="H62" s="30"/>
      <c r="I62" s="31"/>
      <c r="J62" s="32"/>
      <c r="K62" s="33"/>
      <c r="L62" s="47">
        <v>3600.0</v>
      </c>
      <c r="M62" s="18">
        <f t="shared" si="1"/>
        <v>0</v>
      </c>
    </row>
    <row r="63">
      <c r="A63" s="41">
        <v>59.0</v>
      </c>
      <c r="B63" s="46" t="s">
        <v>2998</v>
      </c>
      <c r="C63" s="46">
        <v>51660.0</v>
      </c>
      <c r="D63" s="46" t="s">
        <v>2999</v>
      </c>
      <c r="E63" s="27"/>
      <c r="F63" s="37"/>
      <c r="G63" s="39">
        <v>8600.0</v>
      </c>
      <c r="H63" s="30"/>
      <c r="I63" s="31"/>
      <c r="J63" s="32"/>
      <c r="K63" s="33"/>
      <c r="L63" s="47">
        <v>8600.0</v>
      </c>
      <c r="M63" s="18">
        <f t="shared" si="1"/>
        <v>0</v>
      </c>
    </row>
    <row r="64">
      <c r="A64" s="41">
        <v>60.0</v>
      </c>
      <c r="B64" s="46" t="s">
        <v>3000</v>
      </c>
      <c r="C64" s="46">
        <v>18120.0</v>
      </c>
      <c r="D64" s="46" t="s">
        <v>3001</v>
      </c>
      <c r="E64" s="27"/>
      <c r="F64" s="37"/>
      <c r="G64" s="39">
        <v>5000.0</v>
      </c>
      <c r="H64" s="30"/>
      <c r="I64" s="31"/>
      <c r="J64" s="32"/>
      <c r="K64" s="33"/>
      <c r="L64" s="47">
        <v>5000.0</v>
      </c>
      <c r="M64" s="18">
        <f t="shared" si="1"/>
        <v>0</v>
      </c>
    </row>
    <row r="65">
      <c r="A65" s="41">
        <v>61.0</v>
      </c>
      <c r="B65" s="46" t="s">
        <v>3002</v>
      </c>
      <c r="C65" s="46">
        <v>15709.0</v>
      </c>
      <c r="D65" s="46" t="s">
        <v>1333</v>
      </c>
      <c r="E65" s="38"/>
      <c r="F65" s="37"/>
      <c r="G65" s="39">
        <v>10000.0</v>
      </c>
      <c r="H65" s="30"/>
      <c r="I65" s="31"/>
      <c r="J65" s="35"/>
      <c r="K65" s="33"/>
      <c r="L65" s="47">
        <v>10000.0</v>
      </c>
      <c r="M65" s="18">
        <f t="shared" si="1"/>
        <v>0</v>
      </c>
    </row>
    <row r="66">
      <c r="A66" s="41">
        <v>62.0</v>
      </c>
      <c r="B66" s="46" t="s">
        <v>3003</v>
      </c>
      <c r="C66" s="46">
        <v>49918.0</v>
      </c>
      <c r="D66" s="46" t="s">
        <v>114</v>
      </c>
      <c r="E66" s="38"/>
      <c r="F66" s="37"/>
      <c r="G66" s="39">
        <v>3750.0</v>
      </c>
      <c r="H66" s="30"/>
      <c r="I66" s="31"/>
      <c r="J66" s="32"/>
      <c r="K66" s="33"/>
      <c r="L66" s="47">
        <v>3750.0</v>
      </c>
      <c r="M66" s="18">
        <f t="shared" si="1"/>
        <v>0</v>
      </c>
    </row>
    <row r="67">
      <c r="A67" s="41">
        <v>63.0</v>
      </c>
      <c r="B67" s="46" t="s">
        <v>3004</v>
      </c>
      <c r="C67" s="46">
        <v>20541.0</v>
      </c>
      <c r="D67" s="46" t="s">
        <v>250</v>
      </c>
      <c r="E67" s="27"/>
      <c r="F67" s="37"/>
      <c r="G67" s="39">
        <v>7800.0</v>
      </c>
      <c r="H67" s="30"/>
      <c r="I67" s="31"/>
      <c r="J67" s="32"/>
      <c r="K67" s="33"/>
      <c r="L67" s="47">
        <v>7800.0</v>
      </c>
      <c r="M67" s="18">
        <f t="shared" si="1"/>
        <v>0</v>
      </c>
    </row>
    <row r="68">
      <c r="A68" s="41">
        <v>64.0</v>
      </c>
      <c r="B68" s="46" t="s">
        <v>3005</v>
      </c>
      <c r="C68" s="46">
        <v>55179.0</v>
      </c>
      <c r="D68" s="46" t="s">
        <v>662</v>
      </c>
      <c r="E68" s="27"/>
      <c r="F68" s="37"/>
      <c r="G68" s="39">
        <v>18500.0</v>
      </c>
      <c r="H68" s="30"/>
      <c r="I68" s="31"/>
      <c r="J68" s="32"/>
      <c r="K68" s="33"/>
      <c r="L68" s="47">
        <v>18500.0</v>
      </c>
      <c r="M68" s="18">
        <f t="shared" si="1"/>
        <v>0</v>
      </c>
    </row>
    <row r="69">
      <c r="A69" s="41">
        <v>65.0</v>
      </c>
      <c r="B69" s="46" t="s">
        <v>3006</v>
      </c>
      <c r="C69" s="46">
        <v>30894.0</v>
      </c>
      <c r="D69" s="46" t="s">
        <v>542</v>
      </c>
      <c r="E69" s="38"/>
      <c r="F69" s="37"/>
      <c r="G69" s="39">
        <v>14400.0</v>
      </c>
      <c r="H69" s="30"/>
      <c r="I69" s="31"/>
      <c r="J69" s="35"/>
      <c r="K69" s="33"/>
      <c r="L69" s="47">
        <v>14400.0</v>
      </c>
      <c r="M69" s="18">
        <f t="shared" si="1"/>
        <v>0</v>
      </c>
    </row>
    <row r="70">
      <c r="A70" s="41">
        <v>66.0</v>
      </c>
      <c r="B70" s="46" t="s">
        <v>3007</v>
      </c>
      <c r="C70" s="46">
        <v>50593.0</v>
      </c>
      <c r="D70" s="46" t="s">
        <v>1048</v>
      </c>
      <c r="E70" s="27"/>
      <c r="F70" s="37"/>
      <c r="G70" s="39">
        <v>15000.0</v>
      </c>
      <c r="H70" s="30"/>
      <c r="I70" s="31"/>
      <c r="J70" s="32"/>
      <c r="K70" s="33"/>
      <c r="L70" s="47">
        <v>15000.0</v>
      </c>
      <c r="M70" s="18">
        <f t="shared" si="1"/>
        <v>0</v>
      </c>
    </row>
    <row r="71">
      <c r="A71" s="41">
        <v>67.0</v>
      </c>
      <c r="B71" s="46" t="s">
        <v>3008</v>
      </c>
      <c r="C71" s="46">
        <v>51017.0</v>
      </c>
      <c r="D71" s="46" t="s">
        <v>659</v>
      </c>
      <c r="E71" s="27"/>
      <c r="F71" s="37"/>
      <c r="G71" s="39">
        <v>317500.0</v>
      </c>
      <c r="H71" s="30"/>
      <c r="I71" s="31"/>
      <c r="J71" s="32"/>
      <c r="K71" s="33"/>
      <c r="L71" s="47">
        <v>317500.0</v>
      </c>
      <c r="M71" s="18">
        <f t="shared" si="1"/>
        <v>0</v>
      </c>
    </row>
    <row r="72" hidden="1">
      <c r="A72" s="41">
        <v>90.0</v>
      </c>
      <c r="B72" s="46"/>
      <c r="C72" s="46"/>
      <c r="D72" s="46"/>
      <c r="E72" s="27"/>
      <c r="F72" s="37"/>
      <c r="G72" s="29"/>
      <c r="H72" s="30"/>
      <c r="I72" s="31"/>
      <c r="J72" s="35"/>
      <c r="K72" s="33"/>
      <c r="L72" s="47"/>
      <c r="M72" s="18">
        <f t="shared" si="1"/>
        <v>0</v>
      </c>
    </row>
    <row r="73" hidden="1">
      <c r="A73" s="41">
        <v>91.0</v>
      </c>
      <c r="B73" s="46"/>
      <c r="C73" s="46"/>
      <c r="D73" s="46"/>
      <c r="E73" s="27"/>
      <c r="F73" s="37"/>
      <c r="G73" s="39"/>
      <c r="H73" s="30"/>
      <c r="I73" s="31"/>
      <c r="J73" s="32"/>
      <c r="K73" s="33"/>
      <c r="L73" s="47"/>
      <c r="M73" s="18">
        <f t="shared" si="1"/>
        <v>0</v>
      </c>
    </row>
    <row r="74" hidden="1">
      <c r="A74" s="41">
        <v>92.0</v>
      </c>
      <c r="B74" s="46"/>
      <c r="C74" s="46"/>
      <c r="D74" s="46"/>
      <c r="E74" s="27"/>
      <c r="F74" s="37"/>
      <c r="G74" s="39"/>
      <c r="H74" s="30"/>
      <c r="I74" s="31"/>
      <c r="J74" s="32"/>
      <c r="K74" s="33"/>
      <c r="L74" s="47"/>
      <c r="M74" s="18">
        <f t="shared" si="1"/>
        <v>0</v>
      </c>
    </row>
    <row r="75" hidden="1">
      <c r="A75" s="41">
        <v>93.0</v>
      </c>
      <c r="B75" s="46"/>
      <c r="C75" s="46"/>
      <c r="D75" s="46"/>
      <c r="E75" s="38"/>
      <c r="F75" s="28"/>
      <c r="G75" s="39"/>
      <c r="H75" s="30"/>
      <c r="I75" s="31"/>
      <c r="J75" s="32"/>
      <c r="K75" s="33"/>
      <c r="L75" s="47"/>
      <c r="M75" s="18">
        <f t="shared" si="1"/>
        <v>0</v>
      </c>
    </row>
    <row r="76" hidden="1">
      <c r="A76" s="41">
        <v>97.0</v>
      </c>
      <c r="B76" s="46"/>
      <c r="C76" s="46"/>
      <c r="D76" s="46"/>
      <c r="E76" s="27"/>
      <c r="F76" s="28"/>
      <c r="G76" s="29"/>
      <c r="H76" s="30"/>
      <c r="I76" s="31"/>
      <c r="J76" s="32"/>
      <c r="K76" s="33"/>
      <c r="L76" s="47"/>
      <c r="M76" s="18">
        <f t="shared" si="1"/>
        <v>0</v>
      </c>
    </row>
    <row r="77" hidden="1">
      <c r="A77" s="41">
        <v>98.0</v>
      </c>
      <c r="B77" s="46"/>
      <c r="C77" s="46"/>
      <c r="D77" s="46"/>
      <c r="E77" s="38"/>
      <c r="F77" s="28"/>
      <c r="G77" s="29"/>
      <c r="H77" s="30"/>
      <c r="I77" s="31"/>
      <c r="J77" s="32"/>
      <c r="K77" s="33"/>
      <c r="L77" s="47"/>
      <c r="M77" s="18">
        <f t="shared" si="1"/>
        <v>0</v>
      </c>
    </row>
    <row r="78" hidden="1">
      <c r="A78" s="41">
        <v>99.0</v>
      </c>
      <c r="B78" s="46"/>
      <c r="C78" s="46"/>
      <c r="D78" s="46"/>
      <c r="E78" s="27"/>
      <c r="F78" s="37"/>
      <c r="G78" s="29"/>
      <c r="H78" s="30"/>
      <c r="I78" s="31"/>
      <c r="J78" s="32"/>
      <c r="K78" s="33"/>
      <c r="L78" s="47"/>
      <c r="M78" s="18">
        <f t="shared" si="1"/>
        <v>0</v>
      </c>
    </row>
    <row r="79" hidden="1">
      <c r="A79" s="41">
        <v>100.0</v>
      </c>
      <c r="B79" s="46"/>
      <c r="C79" s="46"/>
      <c r="D79" s="46"/>
      <c r="E79" s="27"/>
      <c r="F79" s="28"/>
      <c r="G79" s="29"/>
      <c r="H79" s="30"/>
      <c r="I79" s="31"/>
      <c r="J79" s="32"/>
      <c r="K79" s="33"/>
      <c r="L79" s="47"/>
      <c r="M79" s="18">
        <f t="shared" si="1"/>
        <v>0</v>
      </c>
    </row>
    <row r="80" hidden="1">
      <c r="A80" s="41">
        <v>101.0</v>
      </c>
      <c r="B80" s="46"/>
      <c r="C80" s="46"/>
      <c r="D80" s="46"/>
      <c r="E80" s="27"/>
      <c r="F80" s="28"/>
      <c r="G80" s="29"/>
      <c r="H80" s="30"/>
      <c r="I80" s="31"/>
      <c r="J80" s="32"/>
      <c r="K80" s="33"/>
      <c r="L80" s="47"/>
      <c r="M80" s="18">
        <f t="shared" si="1"/>
        <v>0</v>
      </c>
    </row>
    <row r="81" hidden="1">
      <c r="A81" s="41">
        <v>102.0</v>
      </c>
      <c r="B81" s="46"/>
      <c r="C81" s="46"/>
      <c r="D81" s="46"/>
      <c r="E81" s="27"/>
      <c r="F81" s="28"/>
      <c r="G81" s="29"/>
      <c r="H81" s="30"/>
      <c r="I81" s="31"/>
      <c r="J81" s="32"/>
      <c r="K81" s="33"/>
      <c r="L81" s="47"/>
      <c r="M81" s="18">
        <f t="shared" si="1"/>
        <v>0</v>
      </c>
    </row>
    <row r="82" hidden="1">
      <c r="A82" s="41">
        <v>103.0</v>
      </c>
      <c r="B82" s="46"/>
      <c r="C82" s="46"/>
      <c r="D82" s="46"/>
      <c r="E82" s="38"/>
      <c r="F82" s="37"/>
      <c r="G82" s="29"/>
      <c r="H82" s="30"/>
      <c r="I82" s="31"/>
      <c r="J82" s="32"/>
      <c r="K82" s="33"/>
      <c r="L82" s="47"/>
      <c r="M82" s="18">
        <f t="shared" si="1"/>
        <v>0</v>
      </c>
    </row>
    <row r="83" hidden="1">
      <c r="A83" s="41">
        <v>104.0</v>
      </c>
      <c r="B83" s="46"/>
      <c r="C83" s="46"/>
      <c r="D83" s="46"/>
      <c r="E83" s="38"/>
      <c r="F83" s="28"/>
      <c r="G83" s="39"/>
      <c r="H83" s="30"/>
      <c r="I83" s="31"/>
      <c r="J83" s="35"/>
      <c r="K83" s="33"/>
      <c r="L83" s="47"/>
      <c r="M83" s="18">
        <f t="shared" si="1"/>
        <v>0</v>
      </c>
    </row>
    <row r="84" hidden="1">
      <c r="A84" s="41">
        <v>105.0</v>
      </c>
      <c r="B84" s="46"/>
      <c r="C84" s="46"/>
      <c r="D84" s="46"/>
      <c r="E84" s="27"/>
      <c r="F84" s="28"/>
      <c r="G84" s="29"/>
      <c r="H84" s="30"/>
      <c r="I84" s="31"/>
      <c r="J84" s="32"/>
      <c r="K84" s="33"/>
      <c r="L84" s="47"/>
      <c r="M84" s="18">
        <f t="shared" si="1"/>
        <v>0</v>
      </c>
    </row>
    <row r="85" hidden="1">
      <c r="A85" s="41">
        <v>106.0</v>
      </c>
      <c r="B85" s="46"/>
      <c r="C85" s="46"/>
      <c r="D85" s="46"/>
      <c r="E85" s="38"/>
      <c r="F85" s="37"/>
      <c r="G85" s="29"/>
      <c r="H85" s="30"/>
      <c r="I85" s="31"/>
      <c r="J85" s="32"/>
      <c r="K85" s="33"/>
      <c r="L85" s="47"/>
      <c r="M85" s="18">
        <f t="shared" si="1"/>
        <v>0</v>
      </c>
    </row>
    <row r="86" hidden="1">
      <c r="A86" s="41">
        <v>107.0</v>
      </c>
      <c r="B86" s="46"/>
      <c r="C86" s="46"/>
      <c r="D86" s="46"/>
      <c r="E86" s="27"/>
      <c r="F86" s="37"/>
      <c r="G86" s="29"/>
      <c r="H86" s="30"/>
      <c r="I86" s="31"/>
      <c r="J86" s="32"/>
      <c r="K86" s="33"/>
      <c r="L86" s="47"/>
      <c r="M86" s="18">
        <f t="shared" si="1"/>
        <v>0</v>
      </c>
    </row>
    <row r="87" hidden="1">
      <c r="A87" s="41">
        <v>108.0</v>
      </c>
      <c r="B87" s="46"/>
      <c r="C87" s="46"/>
      <c r="D87" s="46"/>
      <c r="E87" s="27"/>
      <c r="F87" s="37"/>
      <c r="G87" s="29"/>
      <c r="H87" s="30"/>
      <c r="I87" s="36"/>
      <c r="J87" s="32"/>
      <c r="K87" s="33"/>
      <c r="L87" s="47"/>
      <c r="M87" s="18">
        <f t="shared" si="1"/>
        <v>0</v>
      </c>
    </row>
    <row r="88" hidden="1">
      <c r="A88" s="41">
        <v>109.0</v>
      </c>
      <c r="B88" s="46"/>
      <c r="C88" s="46"/>
      <c r="D88" s="46"/>
      <c r="E88" s="27"/>
      <c r="F88" s="28"/>
      <c r="G88" s="29"/>
      <c r="H88" s="30"/>
      <c r="I88" s="36"/>
      <c r="J88" s="32"/>
      <c r="K88" s="33"/>
      <c r="L88" s="47"/>
      <c r="M88" s="18">
        <f t="shared" si="1"/>
        <v>0</v>
      </c>
    </row>
    <row r="89" hidden="1">
      <c r="A89" s="41">
        <v>110.0</v>
      </c>
      <c r="B89" s="46"/>
      <c r="C89" s="46"/>
      <c r="D89" s="46"/>
      <c r="E89" s="38"/>
      <c r="F89" s="37"/>
      <c r="G89" s="29"/>
      <c r="H89" s="30"/>
      <c r="I89" s="31"/>
      <c r="J89" s="32"/>
      <c r="K89" s="33"/>
      <c r="L89" s="47"/>
      <c r="M89" s="18">
        <f t="shared" si="1"/>
        <v>0</v>
      </c>
    </row>
    <row r="90" hidden="1">
      <c r="A90" s="41">
        <v>111.0</v>
      </c>
      <c r="B90" s="46"/>
      <c r="C90" s="46"/>
      <c r="D90" s="46"/>
      <c r="E90" s="27"/>
      <c r="F90" s="37"/>
      <c r="G90" s="29"/>
      <c r="H90" s="30"/>
      <c r="I90" s="31"/>
      <c r="J90" s="35"/>
      <c r="K90" s="33"/>
      <c r="L90" s="47"/>
      <c r="M90" s="18">
        <f t="shared" si="1"/>
        <v>0</v>
      </c>
    </row>
    <row r="91" hidden="1">
      <c r="A91" s="41">
        <v>112.0</v>
      </c>
      <c r="B91" s="46"/>
      <c r="C91" s="46"/>
      <c r="D91" s="46"/>
      <c r="E91" s="38"/>
      <c r="F91" s="28"/>
      <c r="G91" s="29"/>
      <c r="H91" s="30"/>
      <c r="I91" s="31"/>
      <c r="J91" s="32"/>
      <c r="K91" s="33"/>
      <c r="L91" s="47"/>
      <c r="M91" s="18">
        <f t="shared" si="1"/>
        <v>0</v>
      </c>
    </row>
    <row r="92" hidden="1">
      <c r="A92" s="41">
        <v>113.0</v>
      </c>
      <c r="B92" s="46"/>
      <c r="C92" s="46"/>
      <c r="D92" s="46"/>
      <c r="E92" s="38"/>
      <c r="F92" s="37"/>
      <c r="G92" s="29"/>
      <c r="H92" s="30"/>
      <c r="I92" s="31"/>
      <c r="J92" s="32"/>
      <c r="K92" s="33"/>
      <c r="L92" s="47"/>
      <c r="M92" s="18">
        <f t="shared" si="1"/>
        <v>0</v>
      </c>
    </row>
    <row r="93" hidden="1">
      <c r="A93" s="41">
        <v>114.0</v>
      </c>
      <c r="B93" s="46"/>
      <c r="C93" s="46"/>
      <c r="D93" s="46"/>
      <c r="E93" s="38"/>
      <c r="F93" s="37"/>
      <c r="G93" s="29"/>
      <c r="H93" s="30"/>
      <c r="I93" s="31"/>
      <c r="J93" s="35"/>
      <c r="K93" s="33"/>
      <c r="L93" s="47"/>
      <c r="M93" s="18">
        <f t="shared" si="1"/>
        <v>0</v>
      </c>
    </row>
    <row r="94" hidden="1">
      <c r="A94" s="41">
        <v>115.0</v>
      </c>
      <c r="B94" s="46"/>
      <c r="C94" s="46"/>
      <c r="D94" s="46"/>
      <c r="E94" s="27"/>
      <c r="F94" s="37"/>
      <c r="G94" s="29"/>
      <c r="H94" s="30"/>
      <c r="I94" s="31"/>
      <c r="J94" s="32"/>
      <c r="K94" s="33"/>
      <c r="L94" s="47"/>
      <c r="M94" s="18">
        <f t="shared" si="1"/>
        <v>0</v>
      </c>
    </row>
    <row r="95" hidden="1">
      <c r="A95" s="41">
        <v>116.0</v>
      </c>
      <c r="B95" s="46"/>
      <c r="C95" s="46"/>
      <c r="D95" s="46"/>
      <c r="E95" s="27"/>
      <c r="F95" s="37"/>
      <c r="G95" s="29"/>
      <c r="H95" s="30"/>
      <c r="I95" s="31"/>
      <c r="J95" s="32"/>
      <c r="K95" s="33"/>
      <c r="L95" s="47"/>
      <c r="M95" s="18">
        <f t="shared" si="1"/>
        <v>0</v>
      </c>
    </row>
    <row r="96" hidden="1">
      <c r="A96" s="41">
        <v>117.0</v>
      </c>
      <c r="B96" s="46"/>
      <c r="C96" s="46"/>
      <c r="D96" s="46"/>
      <c r="E96" s="27"/>
      <c r="F96" s="37"/>
      <c r="G96" s="29"/>
      <c r="H96" s="30"/>
      <c r="I96" s="31"/>
      <c r="J96" s="32"/>
      <c r="K96" s="33"/>
      <c r="L96" s="47"/>
      <c r="M96" s="18">
        <f t="shared" si="1"/>
        <v>0</v>
      </c>
    </row>
    <row r="97" hidden="1">
      <c r="A97" s="41">
        <v>118.0</v>
      </c>
      <c r="B97" s="46"/>
      <c r="C97" s="46"/>
      <c r="D97" s="46"/>
      <c r="E97" s="38"/>
      <c r="F97" s="37"/>
      <c r="G97" s="29"/>
      <c r="H97" s="30"/>
      <c r="I97" s="31"/>
      <c r="J97" s="32"/>
      <c r="K97" s="33"/>
      <c r="L97" s="47"/>
      <c r="M97" s="18">
        <f t="shared" si="1"/>
        <v>0</v>
      </c>
    </row>
    <row r="98" hidden="1">
      <c r="A98" s="41">
        <v>119.0</v>
      </c>
      <c r="B98" s="46"/>
      <c r="C98" s="46"/>
      <c r="D98" s="46"/>
      <c r="E98" s="27"/>
      <c r="F98" s="37"/>
      <c r="G98" s="29"/>
      <c r="H98" s="30"/>
      <c r="I98" s="31"/>
      <c r="J98" s="32"/>
      <c r="K98" s="33"/>
      <c r="L98" s="47"/>
      <c r="M98" s="18">
        <f t="shared" si="1"/>
        <v>0</v>
      </c>
    </row>
    <row r="99" hidden="1">
      <c r="A99" s="41">
        <v>120.0</v>
      </c>
      <c r="B99" s="46"/>
      <c r="C99" s="46"/>
      <c r="D99" s="46"/>
      <c r="E99" s="27"/>
      <c r="F99" s="37"/>
      <c r="G99" s="29"/>
      <c r="H99" s="30"/>
      <c r="I99" s="31"/>
      <c r="J99" s="32"/>
      <c r="K99" s="33"/>
      <c r="L99" s="47"/>
      <c r="M99" s="18">
        <f t="shared" si="1"/>
        <v>0</v>
      </c>
    </row>
    <row r="100" hidden="1">
      <c r="A100" s="41">
        <v>121.0</v>
      </c>
      <c r="B100" s="46"/>
      <c r="C100" s="46"/>
      <c r="D100" s="46"/>
      <c r="E100" s="27"/>
      <c r="F100" s="37"/>
      <c r="G100" s="39"/>
      <c r="H100" s="30"/>
      <c r="I100" s="31"/>
      <c r="J100" s="32"/>
      <c r="K100" s="33"/>
      <c r="L100" s="47"/>
      <c r="M100" s="18">
        <f t="shared" si="1"/>
        <v>0</v>
      </c>
    </row>
    <row r="101" hidden="1">
      <c r="A101" s="41">
        <v>122.0</v>
      </c>
      <c r="B101" s="46"/>
      <c r="C101" s="46"/>
      <c r="D101" s="46"/>
      <c r="E101" s="27"/>
      <c r="F101" s="28"/>
      <c r="G101" s="29"/>
      <c r="H101" s="30"/>
      <c r="I101" s="31"/>
      <c r="J101" s="32"/>
      <c r="K101" s="33"/>
      <c r="L101" s="47"/>
      <c r="M101" s="18">
        <f t="shared" si="1"/>
        <v>0</v>
      </c>
    </row>
    <row r="102" hidden="1">
      <c r="A102" s="41">
        <v>123.0</v>
      </c>
      <c r="B102" s="46"/>
      <c r="C102" s="46"/>
      <c r="D102" s="46"/>
      <c r="E102" s="38"/>
      <c r="F102" s="28"/>
      <c r="G102" s="29"/>
      <c r="H102" s="30"/>
      <c r="I102" s="31"/>
      <c r="J102" s="32"/>
      <c r="K102" s="33"/>
      <c r="L102" s="47"/>
      <c r="M102" s="18">
        <f t="shared" si="1"/>
        <v>0</v>
      </c>
    </row>
    <row r="103" hidden="1">
      <c r="A103" s="41">
        <v>124.0</v>
      </c>
      <c r="B103" s="46"/>
      <c r="C103" s="46"/>
      <c r="D103" s="46"/>
      <c r="E103" s="27"/>
      <c r="F103" s="28"/>
      <c r="G103" s="39"/>
      <c r="H103" s="30"/>
      <c r="I103" s="31"/>
      <c r="J103" s="35"/>
      <c r="K103" s="33"/>
      <c r="L103" s="47"/>
      <c r="M103" s="18">
        <f t="shared" si="1"/>
        <v>0</v>
      </c>
    </row>
    <row r="104" hidden="1">
      <c r="A104" s="41">
        <v>125.0</v>
      </c>
      <c r="B104" s="46"/>
      <c r="C104" s="46"/>
      <c r="D104" s="46"/>
      <c r="E104" s="27"/>
      <c r="F104" s="28"/>
      <c r="G104" s="39"/>
      <c r="H104" s="30"/>
      <c r="I104" s="31"/>
      <c r="J104" s="32"/>
      <c r="K104" s="33"/>
      <c r="L104" s="47"/>
      <c r="M104" s="18">
        <f t="shared" si="1"/>
        <v>0</v>
      </c>
    </row>
    <row r="105" hidden="1">
      <c r="A105" s="41">
        <v>126.0</v>
      </c>
      <c r="B105" s="46"/>
      <c r="C105" s="46"/>
      <c r="D105" s="46"/>
      <c r="E105" s="27"/>
      <c r="F105" s="28"/>
      <c r="G105" s="39"/>
      <c r="H105" s="30"/>
      <c r="I105" s="31"/>
      <c r="J105" s="32"/>
      <c r="K105" s="33"/>
      <c r="L105" s="47"/>
      <c r="M105" s="18">
        <f t="shared" si="1"/>
        <v>0</v>
      </c>
    </row>
    <row r="106" hidden="1">
      <c r="A106" s="41">
        <v>127.0</v>
      </c>
      <c r="B106" s="46"/>
      <c r="C106" s="46"/>
      <c r="D106" s="46"/>
      <c r="E106" s="27"/>
      <c r="F106" s="28"/>
      <c r="G106" s="39"/>
      <c r="H106" s="30"/>
      <c r="I106" s="31"/>
      <c r="J106" s="32"/>
      <c r="K106" s="33"/>
      <c r="L106" s="47"/>
      <c r="M106" s="18">
        <f t="shared" si="1"/>
        <v>0</v>
      </c>
    </row>
    <row r="107" hidden="1">
      <c r="A107" s="41">
        <v>128.0</v>
      </c>
      <c r="B107" s="46"/>
      <c r="C107" s="46"/>
      <c r="D107" s="46"/>
      <c r="E107" s="27"/>
      <c r="F107" s="28"/>
      <c r="G107" s="39"/>
      <c r="H107" s="30"/>
      <c r="I107" s="31"/>
      <c r="J107" s="35"/>
      <c r="K107" s="33"/>
      <c r="L107" s="47"/>
      <c r="M107" s="18">
        <f t="shared" si="1"/>
        <v>0</v>
      </c>
    </row>
    <row r="108" hidden="1">
      <c r="A108" s="41">
        <v>129.0</v>
      </c>
      <c r="B108" s="46"/>
      <c r="C108" s="46"/>
      <c r="D108" s="46"/>
      <c r="E108" s="27"/>
      <c r="F108" s="28"/>
      <c r="G108" s="29"/>
      <c r="H108" s="30"/>
      <c r="I108" s="31"/>
      <c r="J108" s="35"/>
      <c r="K108" s="33"/>
      <c r="L108" s="47"/>
      <c r="M108" s="18">
        <f t="shared" si="1"/>
        <v>0</v>
      </c>
    </row>
    <row r="109" hidden="1">
      <c r="A109" s="41">
        <v>130.0</v>
      </c>
      <c r="B109" s="46"/>
      <c r="C109" s="46"/>
      <c r="D109" s="46"/>
      <c r="E109" s="27"/>
      <c r="F109" s="28"/>
      <c r="G109" s="29"/>
      <c r="H109" s="30"/>
      <c r="I109" s="31"/>
      <c r="J109" s="35"/>
      <c r="K109" s="33"/>
      <c r="L109" s="47"/>
      <c r="M109" s="18">
        <f t="shared" si="1"/>
        <v>0</v>
      </c>
    </row>
    <row r="110">
      <c r="A110" s="41"/>
      <c r="B110" s="45"/>
      <c r="C110" s="45"/>
      <c r="D110" s="44"/>
      <c r="E110" s="22">
        <f t="shared" ref="E110:J110" si="2">SUM(E5:E71)</f>
        <v>6600</v>
      </c>
      <c r="F110" s="22">
        <f t="shared" si="2"/>
        <v>374630</v>
      </c>
      <c r="G110" s="22">
        <f t="shared" si="2"/>
        <v>404150</v>
      </c>
      <c r="H110" s="22">
        <f t="shared" si="2"/>
        <v>194578</v>
      </c>
      <c r="I110" s="22">
        <f t="shared" si="2"/>
        <v>203850</v>
      </c>
      <c r="J110" s="22">
        <f t="shared" si="2"/>
        <v>0</v>
      </c>
      <c r="K110" s="22"/>
      <c r="L110" s="22">
        <f t="shared" ref="L110:M110" si="3">SUM(L5:L71)</f>
        <v>1184708</v>
      </c>
      <c r="M110" s="22">
        <f t="shared" si="3"/>
        <v>-900</v>
      </c>
    </row>
    <row r="111">
      <c r="A111" s="23"/>
      <c r="B111" s="23"/>
      <c r="C111" s="23"/>
      <c r="D111" s="23"/>
      <c r="E111" s="24">
        <v>1183808.0</v>
      </c>
      <c r="F111" s="6"/>
      <c r="G111" s="6"/>
      <c r="H111" s="6"/>
      <c r="I111" s="6"/>
      <c r="J111" s="6"/>
      <c r="K111" s="7"/>
      <c r="L111" s="25"/>
      <c r="M111" s="23"/>
    </row>
    <row r="112">
      <c r="L112" s="40" t="s">
        <v>254</v>
      </c>
    </row>
    <row r="116">
      <c r="K116" s="40" t="s">
        <v>1809</v>
      </c>
    </row>
  </sheetData>
  <mergeCells count="14">
    <mergeCell ref="F3:G3"/>
    <mergeCell ref="H3:I3"/>
    <mergeCell ref="J3:J4"/>
    <mergeCell ref="K3:K4"/>
    <mergeCell ref="E111:K111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5"/>
    <col customWidth="1" min="2" max="2" width="24.75"/>
    <col customWidth="1" min="4" max="4" width="43.25"/>
    <col customWidth="1" min="5" max="5" width="9.5"/>
  </cols>
  <sheetData>
    <row r="1">
      <c r="A1" s="1" t="s">
        <v>3009</v>
      </c>
    </row>
    <row r="2">
      <c r="A2" s="2" t="s">
        <v>1</v>
      </c>
      <c r="B2" s="3" t="s">
        <v>2</v>
      </c>
      <c r="C2" s="2" t="s">
        <v>3</v>
      </c>
      <c r="D2" s="4" t="s">
        <v>4</v>
      </c>
      <c r="E2" s="5" t="s">
        <v>5</v>
      </c>
      <c r="F2" s="6"/>
      <c r="G2" s="6"/>
      <c r="H2" s="6"/>
      <c r="I2" s="6"/>
      <c r="J2" s="6"/>
      <c r="K2" s="6"/>
      <c r="L2" s="6"/>
      <c r="M2" s="7"/>
    </row>
    <row r="3">
      <c r="A3" s="8"/>
      <c r="B3" s="8"/>
      <c r="C3" s="8"/>
      <c r="D3" s="8"/>
      <c r="E3" s="2" t="s">
        <v>6</v>
      </c>
      <c r="F3" s="5" t="s">
        <v>7</v>
      </c>
      <c r="G3" s="7"/>
      <c r="H3" s="5" t="s">
        <v>8</v>
      </c>
      <c r="I3" s="7"/>
      <c r="J3" s="2" t="s">
        <v>9</v>
      </c>
      <c r="K3" s="4" t="s">
        <v>10</v>
      </c>
      <c r="L3" s="2" t="s">
        <v>11</v>
      </c>
      <c r="M3" s="2" t="s">
        <v>12</v>
      </c>
    </row>
    <row r="4">
      <c r="A4" s="9"/>
      <c r="B4" s="9"/>
      <c r="C4" s="9"/>
      <c r="D4" s="9"/>
      <c r="E4" s="9"/>
      <c r="F4" s="10" t="s">
        <v>13</v>
      </c>
      <c r="G4" s="10" t="s">
        <v>14</v>
      </c>
      <c r="H4" s="10" t="s">
        <v>15</v>
      </c>
      <c r="I4" s="11" t="s">
        <v>16</v>
      </c>
      <c r="J4" s="9"/>
      <c r="K4" s="9"/>
      <c r="L4" s="9"/>
      <c r="M4" s="9"/>
    </row>
    <row r="5">
      <c r="A5" s="41">
        <v>1.0</v>
      </c>
      <c r="B5" s="26" t="s">
        <v>3010</v>
      </c>
      <c r="C5" s="26">
        <v>57010.0</v>
      </c>
      <c r="D5" s="26" t="s">
        <v>3011</v>
      </c>
      <c r="E5" s="38"/>
      <c r="F5" s="28"/>
      <c r="G5" s="29"/>
      <c r="H5" s="30">
        <v>1590.0</v>
      </c>
      <c r="I5" s="31"/>
      <c r="J5" s="32"/>
      <c r="K5" s="50"/>
      <c r="L5" s="17">
        <v>1590.0</v>
      </c>
      <c r="M5" s="18">
        <f t="shared" ref="M5:M131" si="1">SUM(E5+F5+G5+H5+I5+J5+K5-L5)</f>
        <v>0</v>
      </c>
    </row>
    <row r="6">
      <c r="A6" s="41">
        <v>2.0</v>
      </c>
      <c r="B6" s="26" t="s">
        <v>3012</v>
      </c>
      <c r="C6" s="26">
        <v>21818.0</v>
      </c>
      <c r="D6" s="26" t="s">
        <v>69</v>
      </c>
      <c r="E6" s="38">
        <v>300.0</v>
      </c>
      <c r="F6" s="37"/>
      <c r="G6" s="29"/>
      <c r="H6" s="30"/>
      <c r="I6" s="31"/>
      <c r="J6" s="35">
        <v>2850.0</v>
      </c>
      <c r="K6" s="33"/>
      <c r="L6" s="17">
        <v>3150.0</v>
      </c>
      <c r="M6" s="18">
        <f t="shared" si="1"/>
        <v>0</v>
      </c>
    </row>
    <row r="7">
      <c r="A7" s="41">
        <v>3.0</v>
      </c>
      <c r="B7" s="26" t="s">
        <v>3013</v>
      </c>
      <c r="C7" s="26">
        <v>53455.0</v>
      </c>
      <c r="D7" s="26" t="s">
        <v>65</v>
      </c>
      <c r="E7" s="27"/>
      <c r="F7" s="37">
        <v>3600.0</v>
      </c>
      <c r="G7" s="29"/>
      <c r="H7" s="30"/>
      <c r="I7" s="31"/>
      <c r="J7" s="35"/>
      <c r="K7" s="33"/>
      <c r="L7" s="17">
        <v>3600.0</v>
      </c>
      <c r="M7" s="18">
        <f t="shared" si="1"/>
        <v>0</v>
      </c>
    </row>
    <row r="8">
      <c r="A8" s="41">
        <v>4.0</v>
      </c>
      <c r="B8" s="26" t="s">
        <v>3014</v>
      </c>
      <c r="C8" s="26">
        <v>53455.0</v>
      </c>
      <c r="D8" s="26" t="s">
        <v>65</v>
      </c>
      <c r="E8" s="27"/>
      <c r="F8" s="37">
        <v>1600.0</v>
      </c>
      <c r="G8" s="29"/>
      <c r="H8" s="30"/>
      <c r="I8" s="31"/>
      <c r="J8" s="35"/>
      <c r="K8" s="33"/>
      <c r="L8" s="17">
        <v>1600.0</v>
      </c>
      <c r="M8" s="18">
        <f t="shared" si="1"/>
        <v>0</v>
      </c>
    </row>
    <row r="9">
      <c r="A9" s="41">
        <v>5.0</v>
      </c>
      <c r="B9" s="26" t="s">
        <v>3015</v>
      </c>
      <c r="C9" s="26">
        <v>33507.0</v>
      </c>
      <c r="D9" s="26" t="s">
        <v>2913</v>
      </c>
      <c r="E9" s="38">
        <v>600.0</v>
      </c>
      <c r="F9" s="28"/>
      <c r="G9" s="29"/>
      <c r="H9" s="30"/>
      <c r="I9" s="31"/>
      <c r="J9" s="35"/>
      <c r="K9" s="33"/>
      <c r="L9" s="17">
        <v>600.0</v>
      </c>
      <c r="M9" s="18">
        <f t="shared" si="1"/>
        <v>0</v>
      </c>
    </row>
    <row r="10">
      <c r="A10" s="41">
        <v>6.0</v>
      </c>
      <c r="B10" s="26" t="s">
        <v>3016</v>
      </c>
      <c r="C10" s="26">
        <v>31927.0</v>
      </c>
      <c r="D10" s="26" t="s">
        <v>183</v>
      </c>
      <c r="E10" s="38"/>
      <c r="F10" s="28"/>
      <c r="G10" s="29"/>
      <c r="H10" s="30">
        <v>1450.0</v>
      </c>
      <c r="I10" s="31"/>
      <c r="J10" s="35"/>
      <c r="K10" s="33"/>
      <c r="L10" s="17">
        <v>1450.0</v>
      </c>
      <c r="M10" s="18">
        <f t="shared" si="1"/>
        <v>0</v>
      </c>
    </row>
    <row r="11">
      <c r="A11" s="41">
        <v>7.0</v>
      </c>
      <c r="B11" s="26" t="s">
        <v>3017</v>
      </c>
      <c r="C11" s="26">
        <v>55685.0</v>
      </c>
      <c r="D11" s="26" t="s">
        <v>3018</v>
      </c>
      <c r="E11" s="27"/>
      <c r="F11" s="28"/>
      <c r="G11" s="29"/>
      <c r="H11" s="30"/>
      <c r="I11" s="31">
        <v>5000.0</v>
      </c>
      <c r="J11" s="35"/>
      <c r="K11" s="33"/>
      <c r="L11" s="17">
        <v>5000.0</v>
      </c>
      <c r="M11" s="18">
        <f t="shared" si="1"/>
        <v>0</v>
      </c>
    </row>
    <row r="12">
      <c r="A12" s="41">
        <v>8.0</v>
      </c>
      <c r="B12" s="26" t="s">
        <v>3019</v>
      </c>
      <c r="C12" s="26">
        <v>56293.0</v>
      </c>
      <c r="D12" s="26" t="s">
        <v>3020</v>
      </c>
      <c r="E12" s="27"/>
      <c r="F12" s="28"/>
      <c r="G12" s="29"/>
      <c r="H12" s="30"/>
      <c r="I12" s="31">
        <v>1350.0</v>
      </c>
      <c r="J12" s="35"/>
      <c r="K12" s="33"/>
      <c r="L12" s="17">
        <v>1350.0</v>
      </c>
      <c r="M12" s="18">
        <f t="shared" si="1"/>
        <v>0</v>
      </c>
    </row>
    <row r="13">
      <c r="A13" s="41">
        <v>9.0</v>
      </c>
      <c r="B13" s="26" t="s">
        <v>3021</v>
      </c>
      <c r="C13" s="26">
        <v>56363.0</v>
      </c>
      <c r="D13" s="26" t="s">
        <v>3022</v>
      </c>
      <c r="E13" s="27"/>
      <c r="F13" s="37"/>
      <c r="G13" s="29"/>
      <c r="H13" s="30">
        <v>2650.0</v>
      </c>
      <c r="I13" s="31"/>
      <c r="J13" s="35"/>
      <c r="K13" s="33"/>
      <c r="L13" s="17">
        <v>2650.0</v>
      </c>
      <c r="M13" s="18">
        <f t="shared" si="1"/>
        <v>0</v>
      </c>
    </row>
    <row r="14">
      <c r="A14" s="41">
        <v>10.0</v>
      </c>
      <c r="B14" s="26" t="s">
        <v>3023</v>
      </c>
      <c r="C14" s="26">
        <v>39317.0</v>
      </c>
      <c r="D14" s="26" t="s">
        <v>84</v>
      </c>
      <c r="E14" s="27"/>
      <c r="F14" s="37"/>
      <c r="G14" s="29"/>
      <c r="H14" s="30"/>
      <c r="I14" s="31">
        <v>18900.0</v>
      </c>
      <c r="J14" s="35"/>
      <c r="K14" s="33"/>
      <c r="L14" s="17">
        <v>18900.0</v>
      </c>
      <c r="M14" s="18">
        <f t="shared" si="1"/>
        <v>0</v>
      </c>
    </row>
    <row r="15">
      <c r="A15" s="41">
        <v>11.0</v>
      </c>
      <c r="B15" s="26" t="s">
        <v>3024</v>
      </c>
      <c r="C15" s="26">
        <v>13781.0</v>
      </c>
      <c r="D15" s="26" t="s">
        <v>278</v>
      </c>
      <c r="E15" s="27"/>
      <c r="F15" s="28"/>
      <c r="G15" s="29"/>
      <c r="H15" s="30">
        <v>25000.0</v>
      </c>
      <c r="I15" s="31"/>
      <c r="J15" s="35"/>
      <c r="K15" s="33"/>
      <c r="L15" s="17">
        <v>25000.0</v>
      </c>
      <c r="M15" s="18">
        <f t="shared" si="1"/>
        <v>0</v>
      </c>
    </row>
    <row r="16">
      <c r="A16" s="41">
        <v>12.0</v>
      </c>
      <c r="B16" s="26" t="s">
        <v>3025</v>
      </c>
      <c r="C16" s="26">
        <v>49684.0</v>
      </c>
      <c r="D16" s="26" t="s">
        <v>723</v>
      </c>
      <c r="E16" s="27"/>
      <c r="F16" s="28"/>
      <c r="G16" s="29"/>
      <c r="H16" s="30"/>
      <c r="I16" s="31">
        <v>3100.0</v>
      </c>
      <c r="J16" s="35"/>
      <c r="K16" s="33"/>
      <c r="L16" s="17">
        <v>3100.0</v>
      </c>
      <c r="M16" s="18">
        <f t="shared" si="1"/>
        <v>0</v>
      </c>
    </row>
    <row r="17">
      <c r="A17" s="41">
        <v>13.0</v>
      </c>
      <c r="B17" s="26" t="s">
        <v>3026</v>
      </c>
      <c r="C17" s="26">
        <v>39588.0</v>
      </c>
      <c r="D17" s="26" t="s">
        <v>274</v>
      </c>
      <c r="E17" s="27"/>
      <c r="F17" s="28"/>
      <c r="G17" s="29"/>
      <c r="H17" s="30">
        <v>4500.0</v>
      </c>
      <c r="I17" s="31"/>
      <c r="J17" s="35"/>
      <c r="K17" s="33"/>
      <c r="L17" s="17">
        <v>4500.0</v>
      </c>
      <c r="M17" s="18">
        <f t="shared" si="1"/>
        <v>0</v>
      </c>
    </row>
    <row r="18">
      <c r="A18" s="41">
        <v>14.0</v>
      </c>
      <c r="B18" s="26" t="s">
        <v>3027</v>
      </c>
      <c r="C18" s="26">
        <v>50871.0</v>
      </c>
      <c r="D18" s="26" t="s">
        <v>105</v>
      </c>
      <c r="E18" s="27"/>
      <c r="F18" s="28"/>
      <c r="G18" s="29"/>
      <c r="H18" s="30">
        <v>36750.0</v>
      </c>
      <c r="I18" s="31"/>
      <c r="J18" s="35"/>
      <c r="K18" s="33"/>
      <c r="L18" s="17">
        <v>36750.0</v>
      </c>
      <c r="M18" s="18">
        <f t="shared" si="1"/>
        <v>0</v>
      </c>
    </row>
    <row r="19">
      <c r="A19" s="41">
        <v>15.0</v>
      </c>
      <c r="B19" s="26" t="s">
        <v>3028</v>
      </c>
      <c r="C19" s="26">
        <v>50222.0</v>
      </c>
      <c r="D19" s="26" t="s">
        <v>47</v>
      </c>
      <c r="E19" s="38"/>
      <c r="F19" s="37"/>
      <c r="G19" s="29"/>
      <c r="H19" s="30">
        <v>942.0</v>
      </c>
      <c r="I19" s="31"/>
      <c r="J19" s="35"/>
      <c r="K19" s="33"/>
      <c r="L19" s="17">
        <v>942.0</v>
      </c>
      <c r="M19" s="18">
        <f t="shared" si="1"/>
        <v>0</v>
      </c>
    </row>
    <row r="20">
      <c r="A20" s="41">
        <v>16.0</v>
      </c>
      <c r="B20" s="26" t="s">
        <v>3029</v>
      </c>
      <c r="C20" s="26">
        <v>55803.0</v>
      </c>
      <c r="D20" s="26" t="s">
        <v>3030</v>
      </c>
      <c r="E20" s="27"/>
      <c r="F20" s="28"/>
      <c r="G20" s="29"/>
      <c r="H20" s="30"/>
      <c r="I20" s="31">
        <v>300.0</v>
      </c>
      <c r="J20" s="35"/>
      <c r="K20" s="33"/>
      <c r="L20" s="17">
        <v>300.0</v>
      </c>
      <c r="M20" s="18">
        <f t="shared" si="1"/>
        <v>0</v>
      </c>
    </row>
    <row r="21">
      <c r="A21" s="41">
        <v>17.0</v>
      </c>
      <c r="B21" s="26" t="s">
        <v>3031</v>
      </c>
      <c r="C21" s="26">
        <v>52727.0</v>
      </c>
      <c r="D21" s="26" t="s">
        <v>798</v>
      </c>
      <c r="E21" s="27"/>
      <c r="F21" s="37"/>
      <c r="G21" s="29"/>
      <c r="H21" s="30">
        <v>10000.0</v>
      </c>
      <c r="I21" s="31"/>
      <c r="J21" s="35"/>
      <c r="K21" s="33"/>
      <c r="L21" s="17">
        <v>10000.0</v>
      </c>
      <c r="M21" s="18">
        <f t="shared" si="1"/>
        <v>0</v>
      </c>
    </row>
    <row r="22">
      <c r="A22" s="41">
        <v>18.0</v>
      </c>
      <c r="B22" s="26" t="s">
        <v>3032</v>
      </c>
      <c r="C22" s="26">
        <v>44149.0</v>
      </c>
      <c r="D22" s="26" t="s">
        <v>32</v>
      </c>
      <c r="E22" s="27"/>
      <c r="F22" s="37"/>
      <c r="G22" s="29"/>
      <c r="H22" s="30">
        <v>1500.0</v>
      </c>
      <c r="I22" s="31"/>
      <c r="J22" s="35"/>
      <c r="K22" s="33"/>
      <c r="L22" s="17">
        <v>1500.0</v>
      </c>
      <c r="M22" s="18">
        <f t="shared" si="1"/>
        <v>0</v>
      </c>
    </row>
    <row r="23">
      <c r="A23" s="41">
        <v>19.0</v>
      </c>
      <c r="B23" s="26" t="s">
        <v>3033</v>
      </c>
      <c r="C23" s="26">
        <v>52032.0</v>
      </c>
      <c r="D23" s="26" t="s">
        <v>233</v>
      </c>
      <c r="E23" s="27"/>
      <c r="F23" s="37"/>
      <c r="G23" s="29"/>
      <c r="H23" s="30">
        <v>350.0</v>
      </c>
      <c r="I23" s="31"/>
      <c r="J23" s="35"/>
      <c r="K23" s="33"/>
      <c r="L23" s="17">
        <v>350.0</v>
      </c>
      <c r="M23" s="18">
        <f t="shared" si="1"/>
        <v>0</v>
      </c>
    </row>
    <row r="24">
      <c r="A24" s="41">
        <v>20.0</v>
      </c>
      <c r="B24" s="26" t="s">
        <v>3034</v>
      </c>
      <c r="C24" s="26">
        <v>53283.0</v>
      </c>
      <c r="D24" s="26" t="s">
        <v>2972</v>
      </c>
      <c r="E24" s="38"/>
      <c r="F24" s="28"/>
      <c r="G24" s="29"/>
      <c r="H24" s="30">
        <v>1750.0</v>
      </c>
      <c r="I24" s="31"/>
      <c r="J24" s="35"/>
      <c r="K24" s="33"/>
      <c r="L24" s="17">
        <v>1750.0</v>
      </c>
      <c r="M24" s="18">
        <f t="shared" si="1"/>
        <v>0</v>
      </c>
    </row>
    <row r="25">
      <c r="A25" s="41">
        <v>21.0</v>
      </c>
      <c r="B25" s="26" t="s">
        <v>3035</v>
      </c>
      <c r="C25" s="26">
        <v>39588.0</v>
      </c>
      <c r="D25" s="26" t="s">
        <v>274</v>
      </c>
      <c r="E25" s="38"/>
      <c r="F25" s="28"/>
      <c r="G25" s="29"/>
      <c r="H25" s="30">
        <v>300.0</v>
      </c>
      <c r="I25" s="31"/>
      <c r="J25" s="35"/>
      <c r="K25" s="33"/>
      <c r="L25" s="17">
        <v>300.0</v>
      </c>
      <c r="M25" s="18">
        <f t="shared" si="1"/>
        <v>0</v>
      </c>
    </row>
    <row r="26">
      <c r="A26" s="41">
        <v>22.0</v>
      </c>
      <c r="B26" s="26" t="s">
        <v>3036</v>
      </c>
      <c r="C26" s="26">
        <v>42046.0</v>
      </c>
      <c r="D26" s="26" t="s">
        <v>24</v>
      </c>
      <c r="E26" s="27"/>
      <c r="F26" s="37"/>
      <c r="G26" s="29"/>
      <c r="H26" s="30">
        <v>30450.0</v>
      </c>
      <c r="I26" s="31"/>
      <c r="J26" s="35"/>
      <c r="K26" s="33"/>
      <c r="L26" s="17">
        <v>30450.0</v>
      </c>
      <c r="M26" s="18">
        <f t="shared" si="1"/>
        <v>0</v>
      </c>
    </row>
    <row r="27">
      <c r="A27" s="41">
        <v>23.0</v>
      </c>
      <c r="B27" s="26" t="s">
        <v>3037</v>
      </c>
      <c r="C27" s="26">
        <v>54907.0</v>
      </c>
      <c r="D27" s="26" t="s">
        <v>3038</v>
      </c>
      <c r="E27" s="38"/>
      <c r="F27" s="28"/>
      <c r="G27" s="29"/>
      <c r="H27" s="30">
        <v>3600.0</v>
      </c>
      <c r="I27" s="31"/>
      <c r="J27" s="35"/>
      <c r="K27" s="33"/>
      <c r="L27" s="17">
        <v>3600.0</v>
      </c>
      <c r="M27" s="18">
        <f t="shared" si="1"/>
        <v>0</v>
      </c>
    </row>
    <row r="28">
      <c r="A28" s="41">
        <v>24.0</v>
      </c>
      <c r="B28" s="26" t="s">
        <v>3039</v>
      </c>
      <c r="C28" s="26">
        <v>54742.0</v>
      </c>
      <c r="D28" s="26" t="s">
        <v>3040</v>
      </c>
      <c r="E28" s="27"/>
      <c r="F28" s="37"/>
      <c r="G28" s="29"/>
      <c r="H28" s="30">
        <v>5000.0</v>
      </c>
      <c r="I28" s="31"/>
      <c r="J28" s="35"/>
      <c r="K28" s="33"/>
      <c r="L28" s="17">
        <v>5000.0</v>
      </c>
      <c r="M28" s="18">
        <f t="shared" si="1"/>
        <v>0</v>
      </c>
    </row>
    <row r="29">
      <c r="A29" s="41">
        <v>25.0</v>
      </c>
      <c r="B29" s="26" t="s">
        <v>3041</v>
      </c>
      <c r="C29" s="26">
        <v>54742.0</v>
      </c>
      <c r="D29" s="26" t="s">
        <v>3040</v>
      </c>
      <c r="E29" s="27"/>
      <c r="F29" s="28"/>
      <c r="G29" s="29"/>
      <c r="H29" s="30">
        <v>800.0</v>
      </c>
      <c r="I29" s="31"/>
      <c r="J29" s="35"/>
      <c r="K29" s="33"/>
      <c r="L29" s="17">
        <v>800.0</v>
      </c>
      <c r="M29" s="18">
        <f t="shared" si="1"/>
        <v>0</v>
      </c>
    </row>
    <row r="30">
      <c r="A30" s="41">
        <v>26.0</v>
      </c>
      <c r="B30" s="26" t="s">
        <v>3042</v>
      </c>
      <c r="C30" s="26">
        <v>49825.0</v>
      </c>
      <c r="D30" s="26" t="s">
        <v>640</v>
      </c>
      <c r="E30" s="38"/>
      <c r="F30" s="37"/>
      <c r="G30" s="29"/>
      <c r="H30" s="30"/>
      <c r="I30" s="31">
        <v>350.0</v>
      </c>
      <c r="J30" s="35"/>
      <c r="K30" s="33"/>
      <c r="L30" s="17">
        <v>350.0</v>
      </c>
      <c r="M30" s="18">
        <f t="shared" si="1"/>
        <v>0</v>
      </c>
    </row>
    <row r="31">
      <c r="A31" s="41">
        <v>27.0</v>
      </c>
      <c r="B31" s="26" t="s">
        <v>3043</v>
      </c>
      <c r="C31" s="26">
        <v>36928.0</v>
      </c>
      <c r="D31" s="26" t="s">
        <v>258</v>
      </c>
      <c r="E31" s="27"/>
      <c r="F31" s="37"/>
      <c r="G31" s="29"/>
      <c r="H31" s="30"/>
      <c r="I31" s="31"/>
      <c r="J31" s="35">
        <v>3600.0</v>
      </c>
      <c r="K31" s="33"/>
      <c r="L31" s="17">
        <v>3600.0</v>
      </c>
      <c r="M31" s="18">
        <f t="shared" si="1"/>
        <v>0</v>
      </c>
    </row>
    <row r="32">
      <c r="A32" s="41">
        <v>28.0</v>
      </c>
      <c r="B32" s="26" t="s">
        <v>3044</v>
      </c>
      <c r="C32" s="26">
        <v>30390.0</v>
      </c>
      <c r="D32" s="26" t="s">
        <v>3045</v>
      </c>
      <c r="E32" s="27"/>
      <c r="F32" s="37">
        <v>3700.0</v>
      </c>
      <c r="G32" s="29"/>
      <c r="H32" s="30"/>
      <c r="I32" s="31"/>
      <c r="J32" s="35"/>
      <c r="K32" s="33"/>
      <c r="L32" s="17">
        <v>3700.0</v>
      </c>
      <c r="M32" s="18">
        <f t="shared" si="1"/>
        <v>0</v>
      </c>
    </row>
    <row r="33">
      <c r="A33" s="41">
        <v>29.0</v>
      </c>
      <c r="B33" s="26" t="s">
        <v>3046</v>
      </c>
      <c r="C33" s="26">
        <v>10001.0</v>
      </c>
      <c r="D33" s="26" t="s">
        <v>218</v>
      </c>
      <c r="E33" s="38"/>
      <c r="F33" s="37"/>
      <c r="G33" s="29"/>
      <c r="H33" s="30">
        <v>10850.0</v>
      </c>
      <c r="I33" s="31"/>
      <c r="J33" s="35"/>
      <c r="K33" s="33"/>
      <c r="L33" s="17">
        <v>10850.0</v>
      </c>
      <c r="M33" s="18">
        <f t="shared" si="1"/>
        <v>0</v>
      </c>
    </row>
    <row r="34">
      <c r="A34" s="41">
        <v>30.0</v>
      </c>
      <c r="B34" s="26" t="s">
        <v>3047</v>
      </c>
      <c r="C34" s="26">
        <v>50595.0</v>
      </c>
      <c r="D34" s="26" t="s">
        <v>158</v>
      </c>
      <c r="E34" s="27"/>
      <c r="F34" s="28"/>
      <c r="G34" s="29"/>
      <c r="H34" s="30">
        <v>23550.0</v>
      </c>
      <c r="I34" s="31"/>
      <c r="J34" s="35"/>
      <c r="K34" s="33"/>
      <c r="L34" s="17">
        <v>23550.0</v>
      </c>
      <c r="M34" s="18">
        <f t="shared" si="1"/>
        <v>0</v>
      </c>
    </row>
    <row r="35">
      <c r="A35" s="41">
        <v>31.0</v>
      </c>
      <c r="B35" s="26" t="s">
        <v>3048</v>
      </c>
      <c r="C35" s="26">
        <v>52669.0</v>
      </c>
      <c r="D35" s="26" t="s">
        <v>2479</v>
      </c>
      <c r="E35" s="27"/>
      <c r="F35" s="28"/>
      <c r="G35" s="29"/>
      <c r="H35" s="30">
        <v>350.0</v>
      </c>
      <c r="I35" s="31"/>
      <c r="J35" s="32"/>
      <c r="K35" s="33"/>
      <c r="L35" s="17">
        <v>350.0</v>
      </c>
      <c r="M35" s="18">
        <f t="shared" si="1"/>
        <v>0</v>
      </c>
    </row>
    <row r="36">
      <c r="A36" s="41">
        <v>32.0</v>
      </c>
      <c r="B36" s="26" t="s">
        <v>3049</v>
      </c>
      <c r="C36" s="26">
        <v>49194.0</v>
      </c>
      <c r="D36" s="26" t="s">
        <v>444</v>
      </c>
      <c r="E36" s="27"/>
      <c r="F36" s="28"/>
      <c r="G36" s="29"/>
      <c r="H36" s="30">
        <v>2500.0</v>
      </c>
      <c r="I36" s="31"/>
      <c r="J36" s="32"/>
      <c r="K36" s="33"/>
      <c r="L36" s="17">
        <v>2500.0</v>
      </c>
      <c r="M36" s="18">
        <f t="shared" si="1"/>
        <v>0</v>
      </c>
    </row>
    <row r="37">
      <c r="A37" s="41">
        <v>33.0</v>
      </c>
      <c r="B37" s="26" t="s">
        <v>3050</v>
      </c>
      <c r="C37" s="26">
        <v>52032.0</v>
      </c>
      <c r="D37" s="26" t="s">
        <v>233</v>
      </c>
      <c r="E37" s="38"/>
      <c r="F37" s="28"/>
      <c r="G37" s="29"/>
      <c r="H37" s="30">
        <v>700.0</v>
      </c>
      <c r="I37" s="31"/>
      <c r="J37" s="32"/>
      <c r="K37" s="33"/>
      <c r="L37" s="17">
        <v>700.0</v>
      </c>
      <c r="M37" s="18">
        <f t="shared" si="1"/>
        <v>0</v>
      </c>
    </row>
    <row r="38">
      <c r="A38" s="41">
        <v>34.0</v>
      </c>
      <c r="B38" s="26" t="s">
        <v>3051</v>
      </c>
      <c r="C38" s="26">
        <v>50596.0</v>
      </c>
      <c r="D38" s="26" t="s">
        <v>493</v>
      </c>
      <c r="E38" s="27"/>
      <c r="F38" s="37"/>
      <c r="G38" s="29"/>
      <c r="H38" s="30">
        <v>80600.0</v>
      </c>
      <c r="I38" s="31"/>
      <c r="J38" s="32"/>
      <c r="K38" s="33"/>
      <c r="L38" s="17">
        <v>80600.0</v>
      </c>
      <c r="M38" s="18">
        <f t="shared" si="1"/>
        <v>0</v>
      </c>
    </row>
    <row r="39">
      <c r="A39" s="41">
        <v>35.0</v>
      </c>
      <c r="B39" s="26" t="s">
        <v>3052</v>
      </c>
      <c r="C39" s="26">
        <v>43381.0</v>
      </c>
      <c r="D39" s="26" t="s">
        <v>1730</v>
      </c>
      <c r="E39" s="38">
        <v>600.0</v>
      </c>
      <c r="F39" s="37"/>
      <c r="G39" s="29"/>
      <c r="H39" s="30"/>
      <c r="I39" s="31"/>
      <c r="J39" s="35"/>
      <c r="K39" s="33"/>
      <c r="L39" s="17">
        <v>600.0</v>
      </c>
      <c r="M39" s="18">
        <f t="shared" si="1"/>
        <v>0</v>
      </c>
    </row>
    <row r="40">
      <c r="A40" s="41">
        <v>36.0</v>
      </c>
      <c r="B40" s="26" t="s">
        <v>3053</v>
      </c>
      <c r="C40" s="26">
        <v>32920.0</v>
      </c>
      <c r="D40" s="26" t="s">
        <v>3054</v>
      </c>
      <c r="E40" s="27"/>
      <c r="F40" s="37"/>
      <c r="G40" s="29"/>
      <c r="H40" s="30">
        <v>3600.0</v>
      </c>
      <c r="I40" s="31"/>
      <c r="J40" s="32"/>
      <c r="K40" s="33"/>
      <c r="L40" s="17">
        <v>3600.0</v>
      </c>
      <c r="M40" s="18">
        <f t="shared" si="1"/>
        <v>0</v>
      </c>
    </row>
    <row r="41">
      <c r="A41" s="41">
        <v>37.0</v>
      </c>
      <c r="B41" s="26" t="s">
        <v>3055</v>
      </c>
      <c r="C41" s="26">
        <v>47787.0</v>
      </c>
      <c r="D41" s="26" t="s">
        <v>506</v>
      </c>
      <c r="E41" s="27"/>
      <c r="F41" s="28"/>
      <c r="G41" s="29"/>
      <c r="H41" s="30"/>
      <c r="I41" s="31">
        <v>350.0</v>
      </c>
      <c r="J41" s="35"/>
      <c r="K41" s="33"/>
      <c r="L41" s="17">
        <v>350.0</v>
      </c>
      <c r="M41" s="18">
        <f t="shared" si="1"/>
        <v>0</v>
      </c>
    </row>
    <row r="42">
      <c r="A42" s="41">
        <v>38.0</v>
      </c>
      <c r="B42" s="26" t="s">
        <v>3056</v>
      </c>
      <c r="C42" s="26">
        <v>10702.0</v>
      </c>
      <c r="D42" s="26" t="s">
        <v>3057</v>
      </c>
      <c r="E42" s="27"/>
      <c r="F42" s="37"/>
      <c r="G42" s="29"/>
      <c r="H42" s="30">
        <v>3600.0</v>
      </c>
      <c r="I42" s="31"/>
      <c r="J42" s="35"/>
      <c r="K42" s="33"/>
      <c r="L42" s="17">
        <v>3600.0</v>
      </c>
      <c r="M42" s="18">
        <f t="shared" si="1"/>
        <v>0</v>
      </c>
    </row>
    <row r="43">
      <c r="A43" s="41">
        <v>39.0</v>
      </c>
      <c r="B43" s="26" t="s">
        <v>3058</v>
      </c>
      <c r="C43" s="26">
        <v>51406.0</v>
      </c>
      <c r="D43" s="26" t="s">
        <v>18</v>
      </c>
      <c r="E43" s="27"/>
      <c r="F43" s="37"/>
      <c r="G43" s="29"/>
      <c r="H43" s="30"/>
      <c r="I43" s="31">
        <v>20000.0</v>
      </c>
      <c r="J43" s="32"/>
      <c r="K43" s="33"/>
      <c r="L43" s="17">
        <v>20000.0</v>
      </c>
      <c r="M43" s="18">
        <f t="shared" si="1"/>
        <v>0</v>
      </c>
    </row>
    <row r="44">
      <c r="A44" s="41">
        <v>40.0</v>
      </c>
      <c r="B44" s="26" t="s">
        <v>3059</v>
      </c>
      <c r="C44" s="26">
        <v>51040.0</v>
      </c>
      <c r="D44" s="26" t="s">
        <v>196</v>
      </c>
      <c r="E44" s="27"/>
      <c r="F44" s="37">
        <v>1200.0</v>
      </c>
      <c r="G44" s="29"/>
      <c r="H44" s="30"/>
      <c r="I44" s="31"/>
      <c r="J44" s="32"/>
      <c r="K44" s="33"/>
      <c r="L44" s="17">
        <v>1200.0</v>
      </c>
      <c r="M44" s="18">
        <f t="shared" si="1"/>
        <v>0</v>
      </c>
    </row>
    <row r="45">
      <c r="A45" s="41">
        <v>41.0</v>
      </c>
      <c r="B45" s="26" t="s">
        <v>3060</v>
      </c>
      <c r="C45" s="26">
        <v>10008.0</v>
      </c>
      <c r="D45" s="26" t="s">
        <v>78</v>
      </c>
      <c r="E45" s="27"/>
      <c r="F45" s="37"/>
      <c r="G45" s="29"/>
      <c r="H45" s="30">
        <v>10000.0</v>
      </c>
      <c r="I45" s="31"/>
      <c r="J45" s="32"/>
      <c r="K45" s="33"/>
      <c r="L45" s="17">
        <v>10000.0</v>
      </c>
      <c r="M45" s="18">
        <f t="shared" si="1"/>
        <v>0</v>
      </c>
    </row>
    <row r="46">
      <c r="A46" s="41">
        <v>42.0</v>
      </c>
      <c r="B46" s="26" t="s">
        <v>3061</v>
      </c>
      <c r="C46" s="26">
        <v>28414.0</v>
      </c>
      <c r="D46" s="26" t="s">
        <v>833</v>
      </c>
      <c r="E46" s="27"/>
      <c r="F46" s="37"/>
      <c r="G46" s="29"/>
      <c r="H46" s="30">
        <v>300.0</v>
      </c>
      <c r="I46" s="31"/>
      <c r="J46" s="32"/>
      <c r="K46" s="33"/>
      <c r="L46" s="17">
        <v>300.0</v>
      </c>
      <c r="M46" s="18">
        <f t="shared" si="1"/>
        <v>0</v>
      </c>
    </row>
    <row r="47">
      <c r="A47" s="41">
        <v>43.0</v>
      </c>
      <c r="B47" s="26" t="s">
        <v>3062</v>
      </c>
      <c r="C47" s="26">
        <v>56950.0</v>
      </c>
      <c r="D47" s="26" t="s">
        <v>3063</v>
      </c>
      <c r="E47" s="27"/>
      <c r="F47" s="37"/>
      <c r="G47" s="29"/>
      <c r="H47" s="30">
        <v>3600.0</v>
      </c>
      <c r="I47" s="31"/>
      <c r="J47" s="32"/>
      <c r="K47" s="33"/>
      <c r="L47" s="17">
        <v>3600.0</v>
      </c>
      <c r="M47" s="18">
        <f t="shared" si="1"/>
        <v>0</v>
      </c>
    </row>
    <row r="48">
      <c r="A48" s="41">
        <v>44.0</v>
      </c>
      <c r="B48" s="26" t="s">
        <v>3064</v>
      </c>
      <c r="C48" s="26">
        <v>45359.0</v>
      </c>
      <c r="D48" s="26" t="s">
        <v>3065</v>
      </c>
      <c r="E48" s="27"/>
      <c r="F48" s="37"/>
      <c r="G48" s="29"/>
      <c r="H48" s="30">
        <v>3600.0</v>
      </c>
      <c r="I48" s="31"/>
      <c r="J48" s="32"/>
      <c r="K48" s="33"/>
      <c r="L48" s="17">
        <v>3600.0</v>
      </c>
      <c r="M48" s="18">
        <f t="shared" si="1"/>
        <v>0</v>
      </c>
    </row>
    <row r="49">
      <c r="A49" s="41">
        <v>45.0</v>
      </c>
      <c r="B49" s="26" t="s">
        <v>3066</v>
      </c>
      <c r="C49" s="26">
        <v>48364.0</v>
      </c>
      <c r="D49" s="26" t="s">
        <v>3067</v>
      </c>
      <c r="E49" s="27"/>
      <c r="F49" s="37"/>
      <c r="G49" s="29"/>
      <c r="H49" s="30">
        <v>3600.0</v>
      </c>
      <c r="I49" s="31"/>
      <c r="J49" s="32"/>
      <c r="K49" s="33"/>
      <c r="L49" s="17">
        <v>3600.0</v>
      </c>
      <c r="M49" s="18">
        <f t="shared" si="1"/>
        <v>0</v>
      </c>
    </row>
    <row r="50">
      <c r="A50" s="41">
        <v>46.0</v>
      </c>
      <c r="B50" s="26" t="s">
        <v>3068</v>
      </c>
      <c r="C50" s="26">
        <v>55250.0</v>
      </c>
      <c r="D50" s="26" t="s">
        <v>3069</v>
      </c>
      <c r="E50" s="27"/>
      <c r="F50" s="37"/>
      <c r="G50" s="29"/>
      <c r="H50" s="30">
        <v>5000.0</v>
      </c>
      <c r="I50" s="31"/>
      <c r="J50" s="32"/>
      <c r="K50" s="33"/>
      <c r="L50" s="17">
        <v>5000.0</v>
      </c>
      <c r="M50" s="18">
        <f t="shared" si="1"/>
        <v>0</v>
      </c>
    </row>
    <row r="51">
      <c r="A51" s="41">
        <v>47.0</v>
      </c>
      <c r="B51" s="26" t="s">
        <v>3070</v>
      </c>
      <c r="C51" s="26">
        <v>55250.0</v>
      </c>
      <c r="D51" s="26" t="s">
        <v>3069</v>
      </c>
      <c r="E51" s="27"/>
      <c r="F51" s="37"/>
      <c r="G51" s="29"/>
      <c r="H51" s="30">
        <v>5000.0</v>
      </c>
      <c r="I51" s="31"/>
      <c r="J51" s="32"/>
      <c r="K51" s="33"/>
      <c r="L51" s="17">
        <v>5000.0</v>
      </c>
      <c r="M51" s="18">
        <f t="shared" si="1"/>
        <v>0</v>
      </c>
    </row>
    <row r="52">
      <c r="A52" s="41">
        <v>48.0</v>
      </c>
      <c r="B52" s="26" t="s">
        <v>3071</v>
      </c>
      <c r="C52" s="26">
        <v>50596.0</v>
      </c>
      <c r="D52" s="26" t="s">
        <v>493</v>
      </c>
      <c r="E52" s="27"/>
      <c r="F52" s="37"/>
      <c r="G52" s="29"/>
      <c r="H52" s="30">
        <v>5000.0</v>
      </c>
      <c r="I52" s="31"/>
      <c r="J52" s="32"/>
      <c r="K52" s="33"/>
      <c r="L52" s="17">
        <v>5000.0</v>
      </c>
      <c r="M52" s="18">
        <f t="shared" si="1"/>
        <v>0</v>
      </c>
    </row>
    <row r="53">
      <c r="A53" s="41">
        <v>49.0</v>
      </c>
      <c r="B53" s="26" t="s">
        <v>3072</v>
      </c>
      <c r="C53" s="26">
        <v>10001.0</v>
      </c>
      <c r="D53" s="26" t="s">
        <v>218</v>
      </c>
      <c r="E53" s="27"/>
      <c r="F53" s="37"/>
      <c r="G53" s="29"/>
      <c r="H53" s="30">
        <v>2650.0</v>
      </c>
      <c r="I53" s="31"/>
      <c r="J53" s="32"/>
      <c r="K53" s="33"/>
      <c r="L53" s="17">
        <v>2650.0</v>
      </c>
      <c r="M53" s="18">
        <f t="shared" si="1"/>
        <v>0</v>
      </c>
    </row>
    <row r="54">
      <c r="A54" s="41">
        <v>50.0</v>
      </c>
      <c r="B54" s="26" t="s">
        <v>3073</v>
      </c>
      <c r="C54" s="26">
        <v>10008.0</v>
      </c>
      <c r="D54" s="26" t="s">
        <v>78</v>
      </c>
      <c r="E54" s="38">
        <v>200.0</v>
      </c>
      <c r="F54" s="37"/>
      <c r="G54" s="29"/>
      <c r="H54" s="30"/>
      <c r="I54" s="31"/>
      <c r="J54" s="32"/>
      <c r="K54" s="33"/>
      <c r="L54" s="17">
        <v>200.0</v>
      </c>
      <c r="M54" s="18">
        <f t="shared" si="1"/>
        <v>0</v>
      </c>
    </row>
    <row r="55">
      <c r="A55" s="41">
        <v>51.0</v>
      </c>
      <c r="B55" s="26" t="s">
        <v>3074</v>
      </c>
      <c r="C55" s="26">
        <v>36918.0</v>
      </c>
      <c r="D55" s="26" t="s">
        <v>607</v>
      </c>
      <c r="E55" s="27"/>
      <c r="F55" s="37"/>
      <c r="G55" s="29"/>
      <c r="H55" s="30">
        <v>30000.0</v>
      </c>
      <c r="I55" s="31"/>
      <c r="J55" s="32"/>
      <c r="K55" s="33"/>
      <c r="L55" s="17">
        <v>30000.0</v>
      </c>
      <c r="M55" s="18">
        <f t="shared" si="1"/>
        <v>0</v>
      </c>
    </row>
    <row r="56">
      <c r="A56" s="41">
        <v>52.0</v>
      </c>
      <c r="B56" s="26" t="s">
        <v>3075</v>
      </c>
      <c r="C56" s="26">
        <v>10001.0</v>
      </c>
      <c r="D56" s="26" t="s">
        <v>218</v>
      </c>
      <c r="E56" s="27"/>
      <c r="F56" s="37"/>
      <c r="G56" s="29"/>
      <c r="H56" s="30">
        <v>5150.0</v>
      </c>
      <c r="I56" s="31"/>
      <c r="J56" s="32"/>
      <c r="K56" s="33"/>
      <c r="L56" s="17">
        <v>5150.0</v>
      </c>
      <c r="M56" s="18">
        <f t="shared" si="1"/>
        <v>0</v>
      </c>
    </row>
    <row r="57">
      <c r="A57" s="41">
        <v>53.0</v>
      </c>
      <c r="B57" s="26" t="s">
        <v>3076</v>
      </c>
      <c r="C57" s="26">
        <v>51040.0</v>
      </c>
      <c r="D57" s="26" t="s">
        <v>196</v>
      </c>
      <c r="E57" s="27"/>
      <c r="F57" s="37">
        <v>5000.0</v>
      </c>
      <c r="G57" s="29"/>
      <c r="H57" s="30"/>
      <c r="I57" s="31"/>
      <c r="J57" s="32"/>
      <c r="K57" s="33"/>
      <c r="L57" s="17">
        <v>5000.0</v>
      </c>
      <c r="M57" s="18">
        <f t="shared" si="1"/>
        <v>0</v>
      </c>
    </row>
    <row r="58">
      <c r="A58" s="41">
        <v>54.0</v>
      </c>
      <c r="B58" s="26" t="s">
        <v>3077</v>
      </c>
      <c r="C58" s="26">
        <v>53367.0</v>
      </c>
      <c r="D58" s="26" t="s">
        <v>3078</v>
      </c>
      <c r="E58" s="27"/>
      <c r="F58" s="37"/>
      <c r="G58" s="29"/>
      <c r="H58" s="30">
        <v>3600.0</v>
      </c>
      <c r="I58" s="31"/>
      <c r="J58" s="32"/>
      <c r="K58" s="33"/>
      <c r="L58" s="17">
        <v>3600.0</v>
      </c>
      <c r="M58" s="18">
        <f t="shared" si="1"/>
        <v>0</v>
      </c>
    </row>
    <row r="59">
      <c r="A59" s="41">
        <v>55.0</v>
      </c>
      <c r="B59" s="26" t="s">
        <v>3079</v>
      </c>
      <c r="C59" s="26">
        <v>55036.0</v>
      </c>
      <c r="D59" s="26" t="s">
        <v>3080</v>
      </c>
      <c r="E59" s="27"/>
      <c r="F59" s="37"/>
      <c r="G59" s="29"/>
      <c r="H59" s="30">
        <v>3600.0</v>
      </c>
      <c r="I59" s="31"/>
      <c r="J59" s="32"/>
      <c r="K59" s="33"/>
      <c r="L59" s="17">
        <v>3600.0</v>
      </c>
      <c r="M59" s="18">
        <f t="shared" si="1"/>
        <v>0</v>
      </c>
    </row>
    <row r="60">
      <c r="A60" s="41">
        <v>56.0</v>
      </c>
      <c r="B60" s="26" t="s">
        <v>3081</v>
      </c>
      <c r="C60" s="26">
        <v>55102.0</v>
      </c>
      <c r="D60" s="26" t="s">
        <v>3082</v>
      </c>
      <c r="E60" s="27"/>
      <c r="F60" s="37"/>
      <c r="G60" s="29"/>
      <c r="H60" s="30">
        <v>3600.0</v>
      </c>
      <c r="I60" s="31"/>
      <c r="J60" s="32"/>
      <c r="K60" s="33"/>
      <c r="L60" s="17">
        <v>3600.0</v>
      </c>
      <c r="M60" s="18">
        <f t="shared" si="1"/>
        <v>0</v>
      </c>
    </row>
    <row r="61">
      <c r="A61" s="41">
        <v>57.0</v>
      </c>
      <c r="B61" s="26" t="s">
        <v>3083</v>
      </c>
      <c r="C61" s="26">
        <v>49270.0</v>
      </c>
      <c r="D61" s="26" t="s">
        <v>1315</v>
      </c>
      <c r="E61" s="27"/>
      <c r="F61" s="37"/>
      <c r="G61" s="29"/>
      <c r="H61" s="30">
        <v>300.0</v>
      </c>
      <c r="I61" s="31"/>
      <c r="J61" s="32"/>
      <c r="K61" s="33"/>
      <c r="L61" s="17">
        <v>300.0</v>
      </c>
      <c r="M61" s="18">
        <f t="shared" si="1"/>
        <v>0</v>
      </c>
    </row>
    <row r="62">
      <c r="A62" s="41">
        <v>58.0</v>
      </c>
      <c r="B62" s="26" t="s">
        <v>3084</v>
      </c>
      <c r="C62" s="26">
        <v>49270.0</v>
      </c>
      <c r="D62" s="26" t="s">
        <v>1315</v>
      </c>
      <c r="E62" s="27"/>
      <c r="F62" s="37"/>
      <c r="G62" s="29"/>
      <c r="H62" s="30">
        <v>300.0</v>
      </c>
      <c r="I62" s="31"/>
      <c r="J62" s="32"/>
      <c r="K62" s="33"/>
      <c r="L62" s="17">
        <v>300.0</v>
      </c>
      <c r="M62" s="18">
        <f t="shared" si="1"/>
        <v>0</v>
      </c>
    </row>
    <row r="63">
      <c r="A63" s="41">
        <v>59.0</v>
      </c>
      <c r="B63" s="26" t="s">
        <v>3085</v>
      </c>
      <c r="C63" s="26">
        <v>50425.0</v>
      </c>
      <c r="D63" s="26" t="s">
        <v>3086</v>
      </c>
      <c r="E63" s="27"/>
      <c r="F63" s="37"/>
      <c r="G63" s="29"/>
      <c r="H63" s="30">
        <v>3600.0</v>
      </c>
      <c r="I63" s="31"/>
      <c r="J63" s="32"/>
      <c r="K63" s="33"/>
      <c r="L63" s="17">
        <v>3600.0</v>
      </c>
      <c r="M63" s="18">
        <f t="shared" si="1"/>
        <v>0</v>
      </c>
    </row>
    <row r="64">
      <c r="A64" s="41">
        <v>60.0</v>
      </c>
      <c r="B64" s="26" t="s">
        <v>3087</v>
      </c>
      <c r="C64" s="26">
        <v>57225.0</v>
      </c>
      <c r="D64" s="26" t="s">
        <v>3088</v>
      </c>
      <c r="E64" s="27"/>
      <c r="F64" s="37"/>
      <c r="G64" s="29"/>
      <c r="H64" s="30">
        <v>1250.0</v>
      </c>
      <c r="I64" s="31"/>
      <c r="J64" s="32"/>
      <c r="K64" s="33"/>
      <c r="L64" s="17">
        <v>1250.0</v>
      </c>
      <c r="M64" s="18">
        <f t="shared" si="1"/>
        <v>0</v>
      </c>
    </row>
    <row r="65">
      <c r="A65" s="41">
        <v>61.0</v>
      </c>
      <c r="B65" s="26" t="s">
        <v>3089</v>
      </c>
      <c r="C65" s="26">
        <v>38592.0</v>
      </c>
      <c r="D65" s="26" t="s">
        <v>3090</v>
      </c>
      <c r="E65" s="38">
        <v>5000.0</v>
      </c>
      <c r="F65" s="37"/>
      <c r="G65" s="29"/>
      <c r="H65" s="30"/>
      <c r="I65" s="31"/>
      <c r="J65" s="32"/>
      <c r="K65" s="33"/>
      <c r="L65" s="17">
        <v>5000.0</v>
      </c>
      <c r="M65" s="18">
        <f t="shared" si="1"/>
        <v>0</v>
      </c>
    </row>
    <row r="66">
      <c r="A66" s="41">
        <v>62.0</v>
      </c>
      <c r="B66" s="26" t="s">
        <v>3091</v>
      </c>
      <c r="C66" s="26">
        <v>53906.0</v>
      </c>
      <c r="D66" s="26" t="s">
        <v>3092</v>
      </c>
      <c r="E66" s="27"/>
      <c r="F66" s="37"/>
      <c r="G66" s="29"/>
      <c r="H66" s="30"/>
      <c r="I66" s="31">
        <v>3600.0</v>
      </c>
      <c r="J66" s="32"/>
      <c r="K66" s="33"/>
      <c r="L66" s="17">
        <v>3600.0</v>
      </c>
      <c r="M66" s="18">
        <f t="shared" si="1"/>
        <v>0</v>
      </c>
    </row>
    <row r="67">
      <c r="A67" s="41">
        <v>63.0</v>
      </c>
      <c r="B67" s="26" t="s">
        <v>3093</v>
      </c>
      <c r="C67" s="26">
        <v>53906.0</v>
      </c>
      <c r="D67" s="26" t="s">
        <v>3092</v>
      </c>
      <c r="E67" s="27"/>
      <c r="F67" s="37"/>
      <c r="G67" s="29"/>
      <c r="H67" s="30"/>
      <c r="I67" s="31">
        <v>5400.0</v>
      </c>
      <c r="J67" s="32"/>
      <c r="K67" s="33"/>
      <c r="L67" s="17">
        <v>5400.0</v>
      </c>
      <c r="M67" s="18">
        <f t="shared" si="1"/>
        <v>0</v>
      </c>
    </row>
    <row r="68">
      <c r="A68" s="41">
        <v>64.0</v>
      </c>
      <c r="B68" s="26" t="s">
        <v>3094</v>
      </c>
      <c r="C68" s="26">
        <v>40255.0</v>
      </c>
      <c r="D68" s="26" t="s">
        <v>2880</v>
      </c>
      <c r="E68" s="27"/>
      <c r="F68" s="37"/>
      <c r="G68" s="29"/>
      <c r="H68" s="30"/>
      <c r="I68" s="31">
        <v>1300.0</v>
      </c>
      <c r="J68" s="32"/>
      <c r="K68" s="33"/>
      <c r="L68" s="17">
        <v>1300.0</v>
      </c>
      <c r="M68" s="18">
        <f t="shared" si="1"/>
        <v>0</v>
      </c>
    </row>
    <row r="69">
      <c r="A69" s="41">
        <v>65.0</v>
      </c>
      <c r="B69" s="26" t="s">
        <v>3095</v>
      </c>
      <c r="C69" s="26">
        <v>57950.0</v>
      </c>
      <c r="D69" s="26" t="s">
        <v>3096</v>
      </c>
      <c r="E69" s="27"/>
      <c r="F69" s="37"/>
      <c r="G69" s="29"/>
      <c r="H69" s="30"/>
      <c r="I69" s="31">
        <v>27000.0</v>
      </c>
      <c r="J69" s="32"/>
      <c r="K69" s="33"/>
      <c r="L69" s="17">
        <v>27000.0</v>
      </c>
      <c r="M69" s="18">
        <f t="shared" si="1"/>
        <v>0</v>
      </c>
    </row>
    <row r="70">
      <c r="A70" s="41">
        <v>66.0</v>
      </c>
      <c r="B70" s="26" t="s">
        <v>3097</v>
      </c>
      <c r="C70" s="26">
        <v>57953.0</v>
      </c>
      <c r="D70" s="26" t="s">
        <v>3098</v>
      </c>
      <c r="E70" s="27"/>
      <c r="F70" s="37"/>
      <c r="G70" s="29"/>
      <c r="H70" s="30"/>
      <c r="I70" s="31">
        <v>27000.0</v>
      </c>
      <c r="J70" s="32"/>
      <c r="K70" s="33"/>
      <c r="L70" s="17">
        <v>27000.0</v>
      </c>
      <c r="M70" s="18">
        <f t="shared" si="1"/>
        <v>0</v>
      </c>
    </row>
    <row r="71">
      <c r="A71" s="41">
        <v>67.0</v>
      </c>
      <c r="B71" s="26" t="s">
        <v>3099</v>
      </c>
      <c r="C71" s="26">
        <v>26005.0</v>
      </c>
      <c r="D71" s="26" t="s">
        <v>86</v>
      </c>
      <c r="E71" s="27"/>
      <c r="F71" s="37">
        <v>600.0</v>
      </c>
      <c r="G71" s="29"/>
      <c r="H71" s="30"/>
      <c r="I71" s="31"/>
      <c r="J71" s="32"/>
      <c r="K71" s="33"/>
      <c r="L71" s="17">
        <v>600.0</v>
      </c>
      <c r="M71" s="18">
        <f t="shared" si="1"/>
        <v>0</v>
      </c>
    </row>
    <row r="72">
      <c r="A72" s="41">
        <v>68.0</v>
      </c>
      <c r="B72" s="26" t="s">
        <v>3100</v>
      </c>
      <c r="C72" s="26">
        <v>12102.0</v>
      </c>
      <c r="D72" s="26" t="s">
        <v>345</v>
      </c>
      <c r="E72" s="27"/>
      <c r="F72" s="37"/>
      <c r="G72" s="29"/>
      <c r="H72" s="30">
        <v>280.0</v>
      </c>
      <c r="I72" s="31"/>
      <c r="J72" s="32"/>
      <c r="K72" s="33"/>
      <c r="L72" s="17">
        <v>280.0</v>
      </c>
      <c r="M72" s="18">
        <f t="shared" si="1"/>
        <v>0</v>
      </c>
    </row>
    <row r="73">
      <c r="A73" s="41">
        <v>69.0</v>
      </c>
      <c r="B73" s="26" t="s">
        <v>3101</v>
      </c>
      <c r="C73" s="26">
        <v>48482.0</v>
      </c>
      <c r="D73" s="26" t="s">
        <v>3102</v>
      </c>
      <c r="E73" s="27"/>
      <c r="F73" s="37"/>
      <c r="G73" s="29"/>
      <c r="H73" s="30"/>
      <c r="I73" s="31">
        <v>3600.0</v>
      </c>
      <c r="J73" s="32"/>
      <c r="K73" s="33"/>
      <c r="L73" s="17">
        <v>3600.0</v>
      </c>
      <c r="M73" s="18">
        <f t="shared" si="1"/>
        <v>0</v>
      </c>
    </row>
    <row r="74">
      <c r="A74" s="41">
        <v>70.0</v>
      </c>
      <c r="B74" s="26" t="s">
        <v>3103</v>
      </c>
      <c r="C74" s="26">
        <v>55171.0</v>
      </c>
      <c r="D74" s="26" t="s">
        <v>1796</v>
      </c>
      <c r="E74" s="27"/>
      <c r="F74" s="37"/>
      <c r="G74" s="29"/>
      <c r="H74" s="30"/>
      <c r="I74" s="31">
        <v>4800.0</v>
      </c>
      <c r="J74" s="35"/>
      <c r="K74" s="33"/>
      <c r="L74" s="17">
        <v>4800.0</v>
      </c>
      <c r="M74" s="18">
        <f t="shared" si="1"/>
        <v>0</v>
      </c>
    </row>
    <row r="75">
      <c r="A75" s="41">
        <v>71.0</v>
      </c>
      <c r="B75" s="26" t="s">
        <v>3104</v>
      </c>
      <c r="C75" s="26">
        <v>52331.0</v>
      </c>
      <c r="D75" s="26" t="s">
        <v>1984</v>
      </c>
      <c r="E75" s="38"/>
      <c r="F75" s="37"/>
      <c r="G75" s="29"/>
      <c r="H75" s="30">
        <v>3600.0</v>
      </c>
      <c r="I75" s="31"/>
      <c r="J75" s="32"/>
      <c r="K75" s="33"/>
      <c r="L75" s="17">
        <v>3600.0</v>
      </c>
      <c r="M75" s="18">
        <f t="shared" si="1"/>
        <v>0</v>
      </c>
    </row>
    <row r="76">
      <c r="A76" s="41">
        <v>72.0</v>
      </c>
      <c r="B76" s="26" t="s">
        <v>3105</v>
      </c>
      <c r="C76" s="26">
        <v>57001.0</v>
      </c>
      <c r="D76" s="26" t="s">
        <v>527</v>
      </c>
      <c r="E76" s="38"/>
      <c r="F76" s="37"/>
      <c r="G76" s="29"/>
      <c r="H76" s="30">
        <v>300.0</v>
      </c>
      <c r="I76" s="31"/>
      <c r="J76" s="32"/>
      <c r="K76" s="33"/>
      <c r="L76" s="17">
        <v>300.0</v>
      </c>
      <c r="M76" s="18">
        <f t="shared" si="1"/>
        <v>0</v>
      </c>
    </row>
    <row r="77">
      <c r="A77" s="41">
        <v>73.0</v>
      </c>
      <c r="B77" s="26" t="s">
        <v>3106</v>
      </c>
      <c r="C77" s="26">
        <v>52755.0</v>
      </c>
      <c r="D77" s="26" t="s">
        <v>1077</v>
      </c>
      <c r="E77" s="27"/>
      <c r="F77" s="37">
        <v>1750.0</v>
      </c>
      <c r="G77" s="29"/>
      <c r="H77" s="30"/>
      <c r="I77" s="31"/>
      <c r="J77" s="32"/>
      <c r="K77" s="33"/>
      <c r="L77" s="17">
        <v>1750.0</v>
      </c>
      <c r="M77" s="18">
        <f t="shared" si="1"/>
        <v>0</v>
      </c>
    </row>
    <row r="78">
      <c r="A78" s="41">
        <v>74.0</v>
      </c>
      <c r="B78" s="26" t="s">
        <v>3107</v>
      </c>
      <c r="C78" s="26">
        <v>21384.0</v>
      </c>
      <c r="D78" s="26" t="s">
        <v>38</v>
      </c>
      <c r="E78" s="27"/>
      <c r="F78" s="37"/>
      <c r="G78" s="29"/>
      <c r="H78" s="30"/>
      <c r="I78" s="31"/>
      <c r="J78" s="35">
        <v>6000.0</v>
      </c>
      <c r="K78" s="33"/>
      <c r="L78" s="17">
        <v>6000.0</v>
      </c>
      <c r="M78" s="18">
        <f t="shared" si="1"/>
        <v>0</v>
      </c>
    </row>
    <row r="79">
      <c r="A79" s="41">
        <v>75.0</v>
      </c>
      <c r="B79" s="26" t="s">
        <v>3108</v>
      </c>
      <c r="C79" s="26">
        <v>52331.0</v>
      </c>
      <c r="D79" s="26" t="s">
        <v>1984</v>
      </c>
      <c r="E79" s="38"/>
      <c r="F79" s="37"/>
      <c r="G79" s="29"/>
      <c r="H79" s="30">
        <v>1250.0</v>
      </c>
      <c r="I79" s="31"/>
      <c r="J79" s="32"/>
      <c r="K79" s="33"/>
      <c r="L79" s="17">
        <v>1250.0</v>
      </c>
      <c r="M79" s="18">
        <f t="shared" si="1"/>
        <v>0</v>
      </c>
    </row>
    <row r="80">
      <c r="A80" s="41">
        <v>76.0</v>
      </c>
      <c r="B80" s="26" t="s">
        <v>3109</v>
      </c>
      <c r="C80" s="26">
        <v>43955.0</v>
      </c>
      <c r="D80" s="26" t="s">
        <v>1648</v>
      </c>
      <c r="E80" s="38"/>
      <c r="F80" s="37"/>
      <c r="G80" s="39"/>
      <c r="H80" s="30">
        <v>7500.0</v>
      </c>
      <c r="I80" s="31"/>
      <c r="J80" s="32"/>
      <c r="K80" s="33"/>
      <c r="L80" s="17">
        <v>7500.0</v>
      </c>
      <c r="M80" s="18">
        <f t="shared" si="1"/>
        <v>0</v>
      </c>
    </row>
    <row r="81">
      <c r="A81" s="41">
        <v>77.0</v>
      </c>
      <c r="B81" s="26" t="s">
        <v>3110</v>
      </c>
      <c r="C81" s="26">
        <v>36918.0</v>
      </c>
      <c r="D81" s="26" t="s">
        <v>607</v>
      </c>
      <c r="E81" s="27"/>
      <c r="F81" s="37"/>
      <c r="G81" s="39"/>
      <c r="H81" s="30">
        <v>1450.0</v>
      </c>
      <c r="I81" s="31"/>
      <c r="J81" s="32"/>
      <c r="K81" s="33"/>
      <c r="L81" s="17">
        <v>1450.0</v>
      </c>
      <c r="M81" s="18">
        <f t="shared" si="1"/>
        <v>0</v>
      </c>
    </row>
    <row r="82">
      <c r="A82" s="41">
        <v>78.0</v>
      </c>
      <c r="B82" s="26" t="s">
        <v>3111</v>
      </c>
      <c r="C82" s="26">
        <v>10701.0</v>
      </c>
      <c r="D82" s="26" t="s">
        <v>756</v>
      </c>
      <c r="E82" s="27"/>
      <c r="F82" s="37"/>
      <c r="G82" s="39"/>
      <c r="H82" s="30"/>
      <c r="I82" s="31"/>
      <c r="J82" s="35">
        <v>2500.0</v>
      </c>
      <c r="K82" s="33"/>
      <c r="L82" s="17">
        <v>2500.0</v>
      </c>
      <c r="M82" s="18">
        <f t="shared" si="1"/>
        <v>0</v>
      </c>
    </row>
    <row r="83">
      <c r="A83" s="41">
        <v>79.0</v>
      </c>
      <c r="B83" s="26" t="s">
        <v>3112</v>
      </c>
      <c r="C83" s="26">
        <v>10001.0</v>
      </c>
      <c r="D83" s="26" t="s">
        <v>218</v>
      </c>
      <c r="E83" s="38"/>
      <c r="F83" s="37"/>
      <c r="G83" s="39"/>
      <c r="H83" s="30">
        <v>5000.0</v>
      </c>
      <c r="I83" s="31"/>
      <c r="J83" s="35"/>
      <c r="K83" s="33"/>
      <c r="L83" s="17">
        <v>5000.0</v>
      </c>
      <c r="M83" s="18">
        <f t="shared" si="1"/>
        <v>0</v>
      </c>
    </row>
    <row r="84">
      <c r="A84" s="41">
        <v>80.0</v>
      </c>
      <c r="B84" s="26" t="s">
        <v>3113</v>
      </c>
      <c r="C84" s="26">
        <v>37642.0</v>
      </c>
      <c r="D84" s="26" t="s">
        <v>482</v>
      </c>
      <c r="E84" s="38"/>
      <c r="F84" s="37">
        <v>350.0</v>
      </c>
      <c r="G84" s="39"/>
      <c r="H84" s="30"/>
      <c r="I84" s="31"/>
      <c r="J84" s="32"/>
      <c r="K84" s="33"/>
      <c r="L84" s="17">
        <v>350.0</v>
      </c>
      <c r="M84" s="18">
        <f t="shared" si="1"/>
        <v>0</v>
      </c>
    </row>
    <row r="85">
      <c r="A85" s="41">
        <v>81.0</v>
      </c>
      <c r="B85" s="26" t="s">
        <v>3114</v>
      </c>
      <c r="C85" s="26">
        <v>10001.0</v>
      </c>
      <c r="D85" s="26" t="s">
        <v>218</v>
      </c>
      <c r="E85" s="27"/>
      <c r="F85" s="37">
        <v>350.0</v>
      </c>
      <c r="G85" s="39"/>
      <c r="H85" s="30"/>
      <c r="I85" s="31"/>
      <c r="J85" s="32"/>
      <c r="K85" s="33"/>
      <c r="L85" s="17">
        <v>350.0</v>
      </c>
      <c r="M85" s="18">
        <f t="shared" si="1"/>
        <v>0</v>
      </c>
    </row>
    <row r="86">
      <c r="A86" s="41">
        <v>82.0</v>
      </c>
      <c r="B86" s="26" t="s">
        <v>3115</v>
      </c>
      <c r="C86" s="26">
        <v>21384.0</v>
      </c>
      <c r="D86" s="26" t="s">
        <v>38</v>
      </c>
      <c r="E86" s="27"/>
      <c r="F86" s="37"/>
      <c r="G86" s="39"/>
      <c r="H86" s="30"/>
      <c r="I86" s="31"/>
      <c r="J86" s="35">
        <v>1450.0</v>
      </c>
      <c r="K86" s="33"/>
      <c r="L86" s="17">
        <v>1450.0</v>
      </c>
      <c r="M86" s="18">
        <f t="shared" si="1"/>
        <v>0</v>
      </c>
    </row>
    <row r="87">
      <c r="A87" s="41">
        <v>83.0</v>
      </c>
      <c r="B87" s="26" t="s">
        <v>3116</v>
      </c>
      <c r="C87" s="26">
        <v>34956.0</v>
      </c>
      <c r="D87" s="26" t="s">
        <v>1547</v>
      </c>
      <c r="E87" s="27"/>
      <c r="F87" s="37"/>
      <c r="G87" s="39"/>
      <c r="H87" s="30">
        <v>2650.0</v>
      </c>
      <c r="I87" s="31"/>
      <c r="J87" s="32"/>
      <c r="K87" s="33"/>
      <c r="L87" s="17">
        <v>2650.0</v>
      </c>
      <c r="M87" s="18">
        <f t="shared" si="1"/>
        <v>0</v>
      </c>
    </row>
    <row r="88">
      <c r="A88" s="41">
        <v>84.0</v>
      </c>
      <c r="B88" s="26" t="s">
        <v>3117</v>
      </c>
      <c r="C88" s="26">
        <v>49953.0</v>
      </c>
      <c r="D88" s="26" t="s">
        <v>1821</v>
      </c>
      <c r="E88" s="27"/>
      <c r="F88" s="37"/>
      <c r="G88" s="39">
        <v>12000.0</v>
      </c>
      <c r="H88" s="30"/>
      <c r="I88" s="31"/>
      <c r="J88" s="32"/>
      <c r="K88" s="33"/>
      <c r="L88" s="17">
        <v>12000.0</v>
      </c>
      <c r="M88" s="18">
        <f t="shared" si="1"/>
        <v>0</v>
      </c>
    </row>
    <row r="89">
      <c r="A89" s="41">
        <v>85.0</v>
      </c>
      <c r="B89" s="26" t="s">
        <v>3118</v>
      </c>
      <c r="C89" s="26">
        <v>51166.0</v>
      </c>
      <c r="D89" s="26" t="s">
        <v>370</v>
      </c>
      <c r="E89" s="27"/>
      <c r="F89" s="37"/>
      <c r="G89" s="39">
        <v>1600.0</v>
      </c>
      <c r="H89" s="30"/>
      <c r="I89" s="31"/>
      <c r="J89" s="32"/>
      <c r="K89" s="33"/>
      <c r="L89" s="17">
        <v>1600.0</v>
      </c>
      <c r="M89" s="18">
        <f t="shared" si="1"/>
        <v>0</v>
      </c>
    </row>
    <row r="90">
      <c r="A90" s="41">
        <v>86.0</v>
      </c>
      <c r="B90" s="26" t="s">
        <v>3119</v>
      </c>
      <c r="C90" s="26">
        <v>50336.0</v>
      </c>
      <c r="D90" s="26" t="s">
        <v>1827</v>
      </c>
      <c r="E90" s="27"/>
      <c r="F90" s="37"/>
      <c r="G90" s="39">
        <v>350.0</v>
      </c>
      <c r="H90" s="30"/>
      <c r="I90" s="31"/>
      <c r="J90" s="32"/>
      <c r="K90" s="33"/>
      <c r="L90" s="17">
        <v>350.0</v>
      </c>
      <c r="M90" s="18">
        <f t="shared" si="1"/>
        <v>0</v>
      </c>
    </row>
    <row r="91">
      <c r="A91" s="41">
        <v>87.0</v>
      </c>
      <c r="B91" s="26" t="s">
        <v>3120</v>
      </c>
      <c r="C91" s="26">
        <v>12102.0</v>
      </c>
      <c r="D91" s="26" t="s">
        <v>345</v>
      </c>
      <c r="E91" s="27"/>
      <c r="F91" s="37"/>
      <c r="G91" s="39">
        <v>11600.0</v>
      </c>
      <c r="H91" s="30"/>
      <c r="I91" s="31"/>
      <c r="J91" s="32"/>
      <c r="K91" s="33"/>
      <c r="L91" s="17">
        <v>11600.0</v>
      </c>
      <c r="M91" s="18">
        <f t="shared" si="1"/>
        <v>0</v>
      </c>
    </row>
    <row r="92">
      <c r="A92" s="41">
        <v>88.0</v>
      </c>
      <c r="B92" s="26" t="s">
        <v>3121</v>
      </c>
      <c r="C92" s="26">
        <v>49194.0</v>
      </c>
      <c r="D92" s="26" t="s">
        <v>444</v>
      </c>
      <c r="E92" s="38"/>
      <c r="F92" s="37"/>
      <c r="G92" s="39">
        <v>800.0</v>
      </c>
      <c r="H92" s="30"/>
      <c r="I92" s="31"/>
      <c r="J92" s="35"/>
      <c r="K92" s="33"/>
      <c r="L92" s="17">
        <v>800.0</v>
      </c>
      <c r="M92" s="18">
        <f t="shared" si="1"/>
        <v>0</v>
      </c>
    </row>
    <row r="93">
      <c r="A93" s="41">
        <v>89.0</v>
      </c>
      <c r="B93" s="46"/>
      <c r="C93" s="46"/>
      <c r="D93" s="46"/>
      <c r="E93" s="27"/>
      <c r="F93" s="37"/>
      <c r="G93" s="39"/>
      <c r="H93" s="30"/>
      <c r="I93" s="31"/>
      <c r="J93" s="32"/>
      <c r="K93" s="33"/>
      <c r="L93" s="47"/>
      <c r="M93" s="18">
        <f t="shared" si="1"/>
        <v>0</v>
      </c>
    </row>
    <row r="94" hidden="1">
      <c r="A94" s="41">
        <v>90.0</v>
      </c>
      <c r="B94" s="46"/>
      <c r="C94" s="46"/>
      <c r="D94" s="46"/>
      <c r="E94" s="27"/>
      <c r="F94" s="37"/>
      <c r="G94" s="29"/>
      <c r="H94" s="30"/>
      <c r="I94" s="31"/>
      <c r="J94" s="35"/>
      <c r="K94" s="33"/>
      <c r="L94" s="47"/>
      <c r="M94" s="18">
        <f t="shared" si="1"/>
        <v>0</v>
      </c>
    </row>
    <row r="95" hidden="1">
      <c r="A95" s="41">
        <v>91.0</v>
      </c>
      <c r="B95" s="46"/>
      <c r="C95" s="46"/>
      <c r="D95" s="46"/>
      <c r="E95" s="27"/>
      <c r="F95" s="37"/>
      <c r="G95" s="39"/>
      <c r="H95" s="30"/>
      <c r="I95" s="31"/>
      <c r="J95" s="32"/>
      <c r="K95" s="33"/>
      <c r="L95" s="47"/>
      <c r="M95" s="18">
        <f t="shared" si="1"/>
        <v>0</v>
      </c>
    </row>
    <row r="96" hidden="1">
      <c r="A96" s="41">
        <v>92.0</v>
      </c>
      <c r="B96" s="46"/>
      <c r="C96" s="46"/>
      <c r="D96" s="46"/>
      <c r="E96" s="27"/>
      <c r="F96" s="37"/>
      <c r="G96" s="39"/>
      <c r="H96" s="30"/>
      <c r="I96" s="31"/>
      <c r="J96" s="32"/>
      <c r="K96" s="33"/>
      <c r="L96" s="47"/>
      <c r="M96" s="18">
        <f t="shared" si="1"/>
        <v>0</v>
      </c>
    </row>
    <row r="97" hidden="1">
      <c r="A97" s="41">
        <v>93.0</v>
      </c>
      <c r="B97" s="46"/>
      <c r="C97" s="46"/>
      <c r="D97" s="46"/>
      <c r="E97" s="38"/>
      <c r="F97" s="28"/>
      <c r="G97" s="39"/>
      <c r="H97" s="30"/>
      <c r="I97" s="31"/>
      <c r="J97" s="32"/>
      <c r="K97" s="33"/>
      <c r="L97" s="47"/>
      <c r="M97" s="18">
        <f t="shared" si="1"/>
        <v>0</v>
      </c>
    </row>
    <row r="98" hidden="1">
      <c r="A98" s="41">
        <v>97.0</v>
      </c>
      <c r="B98" s="46"/>
      <c r="C98" s="46"/>
      <c r="D98" s="46"/>
      <c r="E98" s="27"/>
      <c r="F98" s="28"/>
      <c r="G98" s="29"/>
      <c r="H98" s="30"/>
      <c r="I98" s="31"/>
      <c r="J98" s="32"/>
      <c r="K98" s="33"/>
      <c r="L98" s="47"/>
      <c r="M98" s="18">
        <f t="shared" si="1"/>
        <v>0</v>
      </c>
    </row>
    <row r="99" hidden="1">
      <c r="A99" s="41">
        <v>98.0</v>
      </c>
      <c r="B99" s="46"/>
      <c r="C99" s="46"/>
      <c r="D99" s="46"/>
      <c r="E99" s="38"/>
      <c r="F99" s="28"/>
      <c r="G99" s="29"/>
      <c r="H99" s="30"/>
      <c r="I99" s="31"/>
      <c r="J99" s="32"/>
      <c r="K99" s="33"/>
      <c r="L99" s="47"/>
      <c r="M99" s="18">
        <f t="shared" si="1"/>
        <v>0</v>
      </c>
    </row>
    <row r="100" hidden="1">
      <c r="A100" s="41">
        <v>99.0</v>
      </c>
      <c r="B100" s="46"/>
      <c r="C100" s="46"/>
      <c r="D100" s="46"/>
      <c r="E100" s="27"/>
      <c r="F100" s="37"/>
      <c r="G100" s="29"/>
      <c r="H100" s="30"/>
      <c r="I100" s="31"/>
      <c r="J100" s="32"/>
      <c r="K100" s="33"/>
      <c r="L100" s="47"/>
      <c r="M100" s="18">
        <f t="shared" si="1"/>
        <v>0</v>
      </c>
    </row>
    <row r="101" hidden="1">
      <c r="A101" s="41">
        <v>100.0</v>
      </c>
      <c r="B101" s="46"/>
      <c r="C101" s="46"/>
      <c r="D101" s="46"/>
      <c r="E101" s="27"/>
      <c r="F101" s="28"/>
      <c r="G101" s="29"/>
      <c r="H101" s="30"/>
      <c r="I101" s="31"/>
      <c r="J101" s="32"/>
      <c r="K101" s="33"/>
      <c r="L101" s="47"/>
      <c r="M101" s="18">
        <f t="shared" si="1"/>
        <v>0</v>
      </c>
    </row>
    <row r="102" hidden="1">
      <c r="A102" s="41">
        <v>101.0</v>
      </c>
      <c r="B102" s="46"/>
      <c r="C102" s="46"/>
      <c r="D102" s="46"/>
      <c r="E102" s="27"/>
      <c r="F102" s="28"/>
      <c r="G102" s="29"/>
      <c r="H102" s="30"/>
      <c r="I102" s="31"/>
      <c r="J102" s="32"/>
      <c r="K102" s="33"/>
      <c r="L102" s="47"/>
      <c r="M102" s="18">
        <f t="shared" si="1"/>
        <v>0</v>
      </c>
    </row>
    <row r="103" hidden="1">
      <c r="A103" s="41">
        <v>102.0</v>
      </c>
      <c r="B103" s="46"/>
      <c r="C103" s="46"/>
      <c r="D103" s="46"/>
      <c r="E103" s="27"/>
      <c r="F103" s="28"/>
      <c r="G103" s="29"/>
      <c r="H103" s="30"/>
      <c r="I103" s="31"/>
      <c r="J103" s="32"/>
      <c r="K103" s="33"/>
      <c r="L103" s="47"/>
      <c r="M103" s="18">
        <f t="shared" si="1"/>
        <v>0</v>
      </c>
    </row>
    <row r="104" hidden="1">
      <c r="A104" s="41">
        <v>103.0</v>
      </c>
      <c r="B104" s="46"/>
      <c r="C104" s="46"/>
      <c r="D104" s="46"/>
      <c r="E104" s="38"/>
      <c r="F104" s="37"/>
      <c r="G104" s="29"/>
      <c r="H104" s="30"/>
      <c r="I104" s="31"/>
      <c r="J104" s="32"/>
      <c r="K104" s="33"/>
      <c r="L104" s="47"/>
      <c r="M104" s="18">
        <f t="shared" si="1"/>
        <v>0</v>
      </c>
    </row>
    <row r="105" hidden="1">
      <c r="A105" s="41">
        <v>104.0</v>
      </c>
      <c r="B105" s="46"/>
      <c r="C105" s="46"/>
      <c r="D105" s="46"/>
      <c r="E105" s="38"/>
      <c r="F105" s="28"/>
      <c r="G105" s="39"/>
      <c r="H105" s="30"/>
      <c r="I105" s="31"/>
      <c r="J105" s="35"/>
      <c r="K105" s="33"/>
      <c r="L105" s="47"/>
      <c r="M105" s="18">
        <f t="shared" si="1"/>
        <v>0</v>
      </c>
    </row>
    <row r="106" hidden="1">
      <c r="A106" s="41">
        <v>105.0</v>
      </c>
      <c r="B106" s="46"/>
      <c r="C106" s="46"/>
      <c r="D106" s="46"/>
      <c r="E106" s="27"/>
      <c r="F106" s="28"/>
      <c r="G106" s="29"/>
      <c r="H106" s="30"/>
      <c r="I106" s="31"/>
      <c r="J106" s="32"/>
      <c r="K106" s="33"/>
      <c r="L106" s="47"/>
      <c r="M106" s="18">
        <f t="shared" si="1"/>
        <v>0</v>
      </c>
    </row>
    <row r="107" hidden="1">
      <c r="A107" s="41">
        <v>106.0</v>
      </c>
      <c r="B107" s="46"/>
      <c r="C107" s="46"/>
      <c r="D107" s="46"/>
      <c r="E107" s="38"/>
      <c r="F107" s="37"/>
      <c r="G107" s="29"/>
      <c r="H107" s="30"/>
      <c r="I107" s="31"/>
      <c r="J107" s="32"/>
      <c r="K107" s="33"/>
      <c r="L107" s="47"/>
      <c r="M107" s="18">
        <f t="shared" si="1"/>
        <v>0</v>
      </c>
    </row>
    <row r="108" hidden="1">
      <c r="A108" s="41">
        <v>107.0</v>
      </c>
      <c r="B108" s="46"/>
      <c r="C108" s="46"/>
      <c r="D108" s="46"/>
      <c r="E108" s="27"/>
      <c r="F108" s="37"/>
      <c r="G108" s="29"/>
      <c r="H108" s="30"/>
      <c r="I108" s="31"/>
      <c r="J108" s="32"/>
      <c r="K108" s="33"/>
      <c r="L108" s="47"/>
      <c r="M108" s="18">
        <f t="shared" si="1"/>
        <v>0</v>
      </c>
    </row>
    <row r="109" hidden="1">
      <c r="A109" s="41">
        <v>108.0</v>
      </c>
      <c r="B109" s="46"/>
      <c r="C109" s="46"/>
      <c r="D109" s="46"/>
      <c r="E109" s="27"/>
      <c r="F109" s="37"/>
      <c r="G109" s="29"/>
      <c r="H109" s="30"/>
      <c r="I109" s="36"/>
      <c r="J109" s="32"/>
      <c r="K109" s="33"/>
      <c r="L109" s="47"/>
      <c r="M109" s="18">
        <f t="shared" si="1"/>
        <v>0</v>
      </c>
    </row>
    <row r="110" hidden="1">
      <c r="A110" s="41">
        <v>109.0</v>
      </c>
      <c r="B110" s="46"/>
      <c r="C110" s="46"/>
      <c r="D110" s="46"/>
      <c r="E110" s="27"/>
      <c r="F110" s="28"/>
      <c r="G110" s="29"/>
      <c r="H110" s="30"/>
      <c r="I110" s="36"/>
      <c r="J110" s="32"/>
      <c r="K110" s="33"/>
      <c r="L110" s="47"/>
      <c r="M110" s="18">
        <f t="shared" si="1"/>
        <v>0</v>
      </c>
    </row>
    <row r="111" hidden="1">
      <c r="A111" s="41">
        <v>110.0</v>
      </c>
      <c r="B111" s="46"/>
      <c r="C111" s="46"/>
      <c r="D111" s="46"/>
      <c r="E111" s="38"/>
      <c r="F111" s="37"/>
      <c r="G111" s="29"/>
      <c r="H111" s="30"/>
      <c r="I111" s="31"/>
      <c r="J111" s="32"/>
      <c r="K111" s="33"/>
      <c r="L111" s="47"/>
      <c r="M111" s="18">
        <f t="shared" si="1"/>
        <v>0</v>
      </c>
    </row>
    <row r="112" hidden="1">
      <c r="A112" s="41">
        <v>111.0</v>
      </c>
      <c r="B112" s="46"/>
      <c r="C112" s="46"/>
      <c r="D112" s="46"/>
      <c r="E112" s="27"/>
      <c r="F112" s="37"/>
      <c r="G112" s="29"/>
      <c r="H112" s="30"/>
      <c r="I112" s="31"/>
      <c r="J112" s="35"/>
      <c r="K112" s="33"/>
      <c r="L112" s="47"/>
      <c r="M112" s="18">
        <f t="shared" si="1"/>
        <v>0</v>
      </c>
    </row>
    <row r="113" hidden="1">
      <c r="A113" s="41">
        <v>112.0</v>
      </c>
      <c r="B113" s="46"/>
      <c r="C113" s="46"/>
      <c r="D113" s="46"/>
      <c r="E113" s="38"/>
      <c r="F113" s="28"/>
      <c r="G113" s="29"/>
      <c r="H113" s="30"/>
      <c r="I113" s="31"/>
      <c r="J113" s="32"/>
      <c r="K113" s="33"/>
      <c r="L113" s="47"/>
      <c r="M113" s="18">
        <f t="shared" si="1"/>
        <v>0</v>
      </c>
    </row>
    <row r="114" hidden="1">
      <c r="A114" s="41">
        <v>113.0</v>
      </c>
      <c r="B114" s="46"/>
      <c r="C114" s="46"/>
      <c r="D114" s="46"/>
      <c r="E114" s="38"/>
      <c r="F114" s="37"/>
      <c r="G114" s="29"/>
      <c r="H114" s="30"/>
      <c r="I114" s="31"/>
      <c r="J114" s="32"/>
      <c r="K114" s="33"/>
      <c r="L114" s="47"/>
      <c r="M114" s="18">
        <f t="shared" si="1"/>
        <v>0</v>
      </c>
    </row>
    <row r="115" hidden="1">
      <c r="A115" s="41">
        <v>114.0</v>
      </c>
      <c r="B115" s="46"/>
      <c r="C115" s="46"/>
      <c r="D115" s="46"/>
      <c r="E115" s="38"/>
      <c r="F115" s="37"/>
      <c r="G115" s="29"/>
      <c r="H115" s="30"/>
      <c r="I115" s="31"/>
      <c r="J115" s="35"/>
      <c r="K115" s="33"/>
      <c r="L115" s="47"/>
      <c r="M115" s="18">
        <f t="shared" si="1"/>
        <v>0</v>
      </c>
    </row>
    <row r="116" hidden="1">
      <c r="A116" s="41">
        <v>115.0</v>
      </c>
      <c r="B116" s="46"/>
      <c r="C116" s="46"/>
      <c r="D116" s="46"/>
      <c r="E116" s="27"/>
      <c r="F116" s="37"/>
      <c r="G116" s="29"/>
      <c r="H116" s="30"/>
      <c r="I116" s="31"/>
      <c r="J116" s="32"/>
      <c r="K116" s="33"/>
      <c r="L116" s="47"/>
      <c r="M116" s="18">
        <f t="shared" si="1"/>
        <v>0</v>
      </c>
    </row>
    <row r="117" hidden="1">
      <c r="A117" s="41">
        <v>116.0</v>
      </c>
      <c r="B117" s="46"/>
      <c r="C117" s="46"/>
      <c r="D117" s="46"/>
      <c r="E117" s="27"/>
      <c r="F117" s="37"/>
      <c r="G117" s="29"/>
      <c r="H117" s="30"/>
      <c r="I117" s="31"/>
      <c r="J117" s="32"/>
      <c r="K117" s="33"/>
      <c r="L117" s="47"/>
      <c r="M117" s="18">
        <f t="shared" si="1"/>
        <v>0</v>
      </c>
    </row>
    <row r="118" hidden="1">
      <c r="A118" s="41">
        <v>117.0</v>
      </c>
      <c r="B118" s="46"/>
      <c r="C118" s="46"/>
      <c r="D118" s="46"/>
      <c r="E118" s="27"/>
      <c r="F118" s="37"/>
      <c r="G118" s="29"/>
      <c r="H118" s="30"/>
      <c r="I118" s="31"/>
      <c r="J118" s="32"/>
      <c r="K118" s="33"/>
      <c r="L118" s="47"/>
      <c r="M118" s="18">
        <f t="shared" si="1"/>
        <v>0</v>
      </c>
    </row>
    <row r="119" hidden="1">
      <c r="A119" s="41">
        <v>118.0</v>
      </c>
      <c r="B119" s="46"/>
      <c r="C119" s="46"/>
      <c r="D119" s="46"/>
      <c r="E119" s="38"/>
      <c r="F119" s="37"/>
      <c r="G119" s="29"/>
      <c r="H119" s="30"/>
      <c r="I119" s="31"/>
      <c r="J119" s="32"/>
      <c r="K119" s="33"/>
      <c r="L119" s="47"/>
      <c r="M119" s="18">
        <f t="shared" si="1"/>
        <v>0</v>
      </c>
    </row>
    <row r="120" hidden="1">
      <c r="A120" s="41">
        <v>119.0</v>
      </c>
      <c r="B120" s="46"/>
      <c r="C120" s="46"/>
      <c r="D120" s="46"/>
      <c r="E120" s="27"/>
      <c r="F120" s="37"/>
      <c r="G120" s="29"/>
      <c r="H120" s="30"/>
      <c r="I120" s="31"/>
      <c r="J120" s="32"/>
      <c r="K120" s="33"/>
      <c r="L120" s="47"/>
      <c r="M120" s="18">
        <f t="shared" si="1"/>
        <v>0</v>
      </c>
    </row>
    <row r="121" hidden="1">
      <c r="A121" s="41">
        <v>120.0</v>
      </c>
      <c r="B121" s="46"/>
      <c r="C121" s="46"/>
      <c r="D121" s="46"/>
      <c r="E121" s="27"/>
      <c r="F121" s="37"/>
      <c r="G121" s="29"/>
      <c r="H121" s="30"/>
      <c r="I121" s="31"/>
      <c r="J121" s="32"/>
      <c r="K121" s="33"/>
      <c r="L121" s="47"/>
      <c r="M121" s="18">
        <f t="shared" si="1"/>
        <v>0</v>
      </c>
    </row>
    <row r="122" hidden="1">
      <c r="A122" s="41">
        <v>121.0</v>
      </c>
      <c r="B122" s="46"/>
      <c r="C122" s="46"/>
      <c r="D122" s="46"/>
      <c r="E122" s="27"/>
      <c r="F122" s="37"/>
      <c r="G122" s="39"/>
      <c r="H122" s="30"/>
      <c r="I122" s="31"/>
      <c r="J122" s="32"/>
      <c r="K122" s="33"/>
      <c r="L122" s="47"/>
      <c r="M122" s="18">
        <f t="shared" si="1"/>
        <v>0</v>
      </c>
    </row>
    <row r="123" hidden="1">
      <c r="A123" s="41">
        <v>122.0</v>
      </c>
      <c r="B123" s="46"/>
      <c r="C123" s="46"/>
      <c r="D123" s="46"/>
      <c r="E123" s="27"/>
      <c r="F123" s="28"/>
      <c r="G123" s="29"/>
      <c r="H123" s="30"/>
      <c r="I123" s="31"/>
      <c r="J123" s="32"/>
      <c r="K123" s="33"/>
      <c r="L123" s="47"/>
      <c r="M123" s="18">
        <f t="shared" si="1"/>
        <v>0</v>
      </c>
    </row>
    <row r="124" hidden="1">
      <c r="A124" s="41">
        <v>123.0</v>
      </c>
      <c r="B124" s="46"/>
      <c r="C124" s="46"/>
      <c r="D124" s="46"/>
      <c r="E124" s="38"/>
      <c r="F124" s="28"/>
      <c r="G124" s="29"/>
      <c r="H124" s="30"/>
      <c r="I124" s="31"/>
      <c r="J124" s="32"/>
      <c r="K124" s="33"/>
      <c r="L124" s="47"/>
      <c r="M124" s="18">
        <f t="shared" si="1"/>
        <v>0</v>
      </c>
    </row>
    <row r="125" hidden="1">
      <c r="A125" s="41">
        <v>124.0</v>
      </c>
      <c r="B125" s="46"/>
      <c r="C125" s="46"/>
      <c r="D125" s="46"/>
      <c r="E125" s="27"/>
      <c r="F125" s="28"/>
      <c r="G125" s="39"/>
      <c r="H125" s="30"/>
      <c r="I125" s="31"/>
      <c r="J125" s="35"/>
      <c r="K125" s="33"/>
      <c r="L125" s="47"/>
      <c r="M125" s="18">
        <f t="shared" si="1"/>
        <v>0</v>
      </c>
    </row>
    <row r="126" hidden="1">
      <c r="A126" s="41">
        <v>125.0</v>
      </c>
      <c r="B126" s="46"/>
      <c r="C126" s="46"/>
      <c r="D126" s="46"/>
      <c r="E126" s="27"/>
      <c r="F126" s="28"/>
      <c r="G126" s="39"/>
      <c r="H126" s="30"/>
      <c r="I126" s="31"/>
      <c r="J126" s="32"/>
      <c r="K126" s="33"/>
      <c r="L126" s="47"/>
      <c r="M126" s="18">
        <f t="shared" si="1"/>
        <v>0</v>
      </c>
    </row>
    <row r="127" hidden="1">
      <c r="A127" s="41">
        <v>126.0</v>
      </c>
      <c r="B127" s="46"/>
      <c r="C127" s="46"/>
      <c r="D127" s="46"/>
      <c r="E127" s="27"/>
      <c r="F127" s="28"/>
      <c r="G127" s="39"/>
      <c r="H127" s="30"/>
      <c r="I127" s="31"/>
      <c r="J127" s="32"/>
      <c r="K127" s="33"/>
      <c r="L127" s="47"/>
      <c r="M127" s="18">
        <f t="shared" si="1"/>
        <v>0</v>
      </c>
    </row>
    <row r="128" hidden="1">
      <c r="A128" s="41">
        <v>127.0</v>
      </c>
      <c r="B128" s="46"/>
      <c r="C128" s="46"/>
      <c r="D128" s="46"/>
      <c r="E128" s="27"/>
      <c r="F128" s="28"/>
      <c r="G128" s="39"/>
      <c r="H128" s="30"/>
      <c r="I128" s="31"/>
      <c r="J128" s="32"/>
      <c r="K128" s="33"/>
      <c r="L128" s="47"/>
      <c r="M128" s="18">
        <f t="shared" si="1"/>
        <v>0</v>
      </c>
    </row>
    <row r="129" hidden="1">
      <c r="A129" s="41">
        <v>128.0</v>
      </c>
      <c r="B129" s="46"/>
      <c r="C129" s="46"/>
      <c r="D129" s="46"/>
      <c r="E129" s="27"/>
      <c r="F129" s="28"/>
      <c r="G129" s="39"/>
      <c r="H129" s="30"/>
      <c r="I129" s="31"/>
      <c r="J129" s="35"/>
      <c r="K129" s="33"/>
      <c r="L129" s="47"/>
      <c r="M129" s="18">
        <f t="shared" si="1"/>
        <v>0</v>
      </c>
    </row>
    <row r="130" hidden="1">
      <c r="A130" s="41">
        <v>129.0</v>
      </c>
      <c r="B130" s="46"/>
      <c r="C130" s="46"/>
      <c r="D130" s="46"/>
      <c r="E130" s="27"/>
      <c r="F130" s="28"/>
      <c r="G130" s="29"/>
      <c r="H130" s="30"/>
      <c r="I130" s="31"/>
      <c r="J130" s="35"/>
      <c r="K130" s="33"/>
      <c r="L130" s="47"/>
      <c r="M130" s="18">
        <f t="shared" si="1"/>
        <v>0</v>
      </c>
    </row>
    <row r="131" hidden="1">
      <c r="A131" s="41">
        <v>130.0</v>
      </c>
      <c r="B131" s="46"/>
      <c r="C131" s="46"/>
      <c r="D131" s="46"/>
      <c r="E131" s="27"/>
      <c r="F131" s="28"/>
      <c r="G131" s="29"/>
      <c r="H131" s="30"/>
      <c r="I131" s="31"/>
      <c r="J131" s="35"/>
      <c r="K131" s="33"/>
      <c r="L131" s="47"/>
      <c r="M131" s="18">
        <f t="shared" si="1"/>
        <v>0</v>
      </c>
    </row>
    <row r="132">
      <c r="A132" s="41"/>
      <c r="B132" s="45"/>
      <c r="C132" s="45"/>
      <c r="D132" s="44"/>
      <c r="E132" s="22">
        <f t="shared" ref="E132:J132" si="2">SUM(E5:E93)</f>
        <v>6700</v>
      </c>
      <c r="F132" s="22">
        <f t="shared" si="2"/>
        <v>18150</v>
      </c>
      <c r="G132" s="22">
        <f t="shared" si="2"/>
        <v>26350</v>
      </c>
      <c r="H132" s="22">
        <f t="shared" si="2"/>
        <v>364562</v>
      </c>
      <c r="I132" s="22">
        <f t="shared" si="2"/>
        <v>122050</v>
      </c>
      <c r="J132" s="22">
        <f t="shared" si="2"/>
        <v>16400</v>
      </c>
      <c r="K132" s="22"/>
      <c r="L132" s="22">
        <f t="shared" ref="L132:M132" si="3">SUM(L5:L93)</f>
        <v>554212</v>
      </c>
      <c r="M132" s="22">
        <f t="shared" si="3"/>
        <v>0</v>
      </c>
    </row>
    <row r="133">
      <c r="A133" s="23"/>
      <c r="B133" s="23"/>
      <c r="C133" s="23"/>
      <c r="D133" s="23"/>
      <c r="E133" s="24">
        <v>554212.0</v>
      </c>
      <c r="F133" s="6"/>
      <c r="G133" s="6"/>
      <c r="H133" s="6"/>
      <c r="I133" s="6"/>
      <c r="J133" s="6"/>
      <c r="K133" s="7"/>
      <c r="L133" s="25"/>
      <c r="M133" s="23"/>
    </row>
    <row r="134">
      <c r="L134" s="40" t="s">
        <v>254</v>
      </c>
    </row>
    <row r="138">
      <c r="K138" s="40" t="s">
        <v>1809</v>
      </c>
    </row>
  </sheetData>
  <mergeCells count="14">
    <mergeCell ref="F3:G3"/>
    <mergeCell ref="H3:I3"/>
    <mergeCell ref="J3:J4"/>
    <mergeCell ref="K3:K4"/>
    <mergeCell ref="E133:K133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
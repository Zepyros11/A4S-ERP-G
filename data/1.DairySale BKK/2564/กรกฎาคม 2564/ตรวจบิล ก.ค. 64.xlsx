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0" sheetId="1" r:id="rId4"/>
    <sheet state="visible" name="11-20" sheetId="2" r:id="rId5"/>
    <sheet state="visible" name="21-31" sheetId="3" r:id="rId6"/>
  </sheets>
  <definedNames/>
  <calcPr/>
</workbook>
</file>

<file path=xl/sharedStrings.xml><?xml version="1.0" encoding="utf-8"?>
<sst xmlns="http://schemas.openxmlformats.org/spreadsheetml/2006/main" count="121" uniqueCount="64">
  <si>
    <t>ตรวจบิล ก.ค 64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</si>
  <si>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</si>
  <si>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</si>
  <si>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</si>
  <si>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</si>
  <si>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</si>
  <si>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</si>
  <si>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</si>
  <si>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</si>
  <si>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ชุดสมัคร</t>
  </si>
  <si>
    <t>อื่นๆ</t>
  </si>
  <si>
    <t>คงเหลือ</t>
  </si>
  <si>
    <t>01.07.64</t>
  </si>
  <si>
    <t>02.07.64</t>
  </si>
  <si>
    <t>ปูน</t>
  </si>
  <si>
    <t>ผลต่าง 1200 เนื่องจากเป็นการลงคะแนน arp</t>
  </si>
  <si>
    <t>03.07.64</t>
  </si>
  <si>
    <t>นี</t>
  </si>
  <si>
    <t>04.07.64</t>
  </si>
  <si>
    <t>05.07.64</t>
  </si>
  <si>
    <t>06.07.64</t>
  </si>
  <si>
    <t>07.07.64</t>
  </si>
  <si>
    <t>08.07.64</t>
  </si>
  <si>
    <t>09.07.64</t>
  </si>
  <si>
    <t>ปููน</t>
  </si>
  <si>
    <t>ผลต่าง3600 เนื่องจากเป็นบิลยกเลิก</t>
  </si>
  <si>
    <t>10.07.64</t>
  </si>
  <si>
    <t>เอิง</t>
  </si>
  <si>
    <t>รวม</t>
  </si>
  <si>
    <t>11.07.64</t>
  </si>
  <si>
    <t>12.07.64</t>
  </si>
  <si>
    <t>ผลต่าง 5100 เป็นบิลยกเลิกวันที่ 11/7/64 ทำการลงเดลี่เรียบร้อยค่ะ</t>
  </si>
  <si>
    <t>13.07.64</t>
  </si>
  <si>
    <t>ผลต่าง8750เป็นบิลยกเลิกวันที่ 12/7/64 ทำการลงเดลี่เรียบร้อยค่ะ</t>
  </si>
  <si>
    <t>14.07.64</t>
  </si>
  <si>
    <t>ผลต่าง47800เป็นบิลยกเลิกวันที่ 13/7/64 ทำการลงเดลี่เรียบร้อยค่ะ</t>
  </si>
  <si>
    <t>15.07.64</t>
  </si>
  <si>
    <t>ผลต่าง 11250 เป็นบิลยกเลิก 2850 บาท 8400 บาทเป็นบิลlสินค้าแลกคะแนน ARP</t>
  </si>
  <si>
    <t>16.07.64</t>
  </si>
  <si>
    <t>ผลต่าง 5050 เป็นบิลยกเลิก 2650 บาท 2400 บาทเป็นบิลlสินค้าแลกคะแนน ARP</t>
  </si>
  <si>
    <t>17.07.64</t>
  </si>
  <si>
    <t>18.07.64</t>
  </si>
  <si>
    <t>19.07.64</t>
  </si>
  <si>
    <t>20.07.64</t>
  </si>
  <si>
    <t>ผลต่าง2700 บาท เนื่องจาก เป็นบิลdummy ค่ะ</t>
  </si>
  <si>
    <t>21.07.64</t>
  </si>
  <si>
    <t>22.07.64</t>
  </si>
  <si>
    <t>ผลต่าง 4400 บาทเป็นบิลยกเลิกวันที่ 21/7/64 ทำการลงเดลี่เรียบร้อยค่ะ</t>
  </si>
  <si>
    <t>23.07.64</t>
  </si>
  <si>
    <t>ผลต่าง 300 บาทเป็นบิล Dummy</t>
  </si>
  <si>
    <t>24.07.64</t>
  </si>
  <si>
    <t>ผลต่าง 27000 บาทเป็นบิลยกเลิกวันที่ 23/7/64 ทำการลงเดลี่เรียบร้อยค่ะ</t>
  </si>
  <si>
    <t>25.07.64</t>
  </si>
  <si>
    <t>26.07.64</t>
  </si>
  <si>
    <t>ผลต่าง 48700 บาทเป็นบิลยกเลิกวันที่ 25/7/64 ทำการลงเดลี่เรียบร้อยค่ะ</t>
  </si>
  <si>
    <t>27.07.64</t>
  </si>
  <si>
    <t>ผลต่าง 7100บาทเป็นบิลยกเลิก ทำการลงเดลี่เรียบร้อยค่ะ</t>
  </si>
  <si>
    <t>28.07.64</t>
  </si>
  <si>
    <t>นีี</t>
  </si>
  <si>
    <t>29.07.64</t>
  </si>
  <si>
    <t>30.07.64</t>
  </si>
  <si>
    <t>ผลต่าง6550บาทเป็นบิลยกเลิก ทำการลงเดลี่เรียบร้อยค่ะ</t>
  </si>
  <si>
    <t>31.07.64</t>
  </si>
  <si>
    <t>ผลต่าง 202400 บาทเป็นบิลยกเลิก ทำการลงเดลี่เรียบร้อยค่ะ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</si>
</sst>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9">
    <font>
      <sz val="10.0"/>
      <color rgb="FF000000"/>
      <name val="Arial"/>
      <scheme val="minor"/>
    </font>
    <font>
      <b/>
      <sz val="20.0"/>
      <color theme="1"/>
      <name val="&quot;Cordia New&quot;"/>
    </font>
    <font/>
    <font>
      <color theme="1"/>
      <name val="Arial"/>
    </font>
    <font>
      <sz val="20.0"/>
      <color theme="1"/>
      <name val="&quot;Cordia New&quot;"/>
    </font>
    <font>
      <sz val="20.0"/>
      <color rgb="FF000000"/>
      <name val="&quot;Cordia New&quot;"/>
    </font>
    <font>
      <sz val="14.0"/>
      <color rgb="FFFF0000"/>
      <name val="Arial"/>
    </font>
    <font>
      <sz val="14.0"/>
      <color theme="1"/>
      <name val="Arial"/>
    </font>
    <font>
      <sz val="13.0"/>
      <color theme="1"/>
      <name val="Arial"/>
    </font>
    <font>
      <b/>
      <u/>
      <sz val="20.0"/>
      <color theme="1"/>
      <name val="&quot;Cordia New&quot;"/>
    </font>
    <font>
      <b/>
      <u/>
      <sz val="20.0"/>
      <color theme="1"/>
      <name val="&quot;Cordia New&quot;"/>
    </font>
    <font>
      <b/>
      <u/>
      <sz val="14.0"/>
      <color rgb="FFFF0000"/>
      <name val="&quot;Cordia New&quot;"/>
    </font>
    <font>
      <b/>
      <sz val="14.0"/>
      <color theme="1"/>
      <name val="Calibri"/>
    </font>
    <font>
      <sz val="14.0"/>
      <color theme="1"/>
      <name val="Calibri"/>
    </font>
    <font>
      <sz val="14.0"/>
      <color rgb="FF000000"/>
      <name val="Calibri"/>
    </font>
    <font>
      <sz val="14.0"/>
      <color rgb="FFFF0000"/>
      <name val="Calibri"/>
    </font>
    <font>
      <b/>
      <u/>
      <sz val="14.0"/>
      <color theme="1"/>
      <name val="Calibri"/>
    </font>
    <font>
      <b/>
      <u/>
      <sz val="14.0"/>
      <color theme="1"/>
      <name val="Calibri"/>
    </font>
    <font>
      <b/>
      <u/>
      <sz val="14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4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5" fontId="4" numFmtId="0" xfId="0" applyAlignment="1" applyBorder="1" applyFont="1">
      <alignment horizontal="center" vertical="bottom"/>
    </xf>
    <xf borderId="6" fillId="4" fontId="4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 vertical="bottom"/>
    </xf>
    <xf borderId="6" fillId="5" fontId="5" numFmtId="38" xfId="0" applyAlignment="1" applyBorder="1" applyFont="1" applyNumberFormat="1">
      <alignment horizontal="center" readingOrder="0" vertical="bottom"/>
    </xf>
    <xf borderId="6" fillId="5" fontId="5" numFmtId="38" xfId="0" applyAlignment="1" applyBorder="1" applyFont="1" applyNumberFormat="1">
      <alignment horizontal="center" vertical="bottom"/>
    </xf>
    <xf borderId="6" fillId="5" fontId="3" numFmtId="38" xfId="0" applyAlignment="1" applyBorder="1" applyFont="1" applyNumberFormat="1">
      <alignment vertical="bottom"/>
    </xf>
    <xf borderId="6" fillId="5" fontId="4" numFmtId="164" xfId="0" applyAlignment="1" applyBorder="1" applyFont="1" applyNumberFormat="1">
      <alignment horizontal="center" vertical="bottom"/>
    </xf>
    <xf borderId="6" fillId="4" fontId="5" numFmtId="38" xfId="0" applyAlignment="1" applyBorder="1" applyFont="1" applyNumberFormat="1">
      <alignment horizontal="center" readingOrder="0" vertical="bottom"/>
    </xf>
    <xf borderId="6" fillId="4" fontId="5" numFmtId="38" xfId="0" applyAlignment="1" applyBorder="1" applyFont="1" applyNumberFormat="1">
      <alignment horizontal="center" vertical="bottom"/>
    </xf>
    <xf borderId="6" fillId="0" fontId="6" numFmtId="164" xfId="0" applyAlignment="1" applyBorder="1" applyFont="1" applyNumberFormat="1">
      <alignment horizontal="right" readingOrder="0" vertical="bottom"/>
    </xf>
    <xf borderId="6" fillId="0" fontId="7" numFmtId="0" xfId="0" applyAlignment="1" applyBorder="1" applyFont="1">
      <alignment readingOrder="0" vertical="bottom"/>
    </xf>
    <xf borderId="6" fillId="0" fontId="6" numFmtId="164" xfId="0" applyAlignment="1" applyBorder="1" applyFont="1" applyNumberFormat="1">
      <alignment horizontal="right" vertical="bottom"/>
    </xf>
    <xf borderId="6" fillId="0" fontId="8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5" fontId="8" numFmtId="38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horizontal="center" vertical="bottom"/>
    </xf>
    <xf borderId="6" fillId="0" fontId="10" numFmtId="38" xfId="0" applyAlignment="1" applyBorder="1" applyFont="1" applyNumberFormat="1">
      <alignment horizontal="center" vertical="bottom"/>
    </xf>
    <xf borderId="6" fillId="0" fontId="11" numFmtId="38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vertical="bottom"/>
    </xf>
    <xf borderId="1" fillId="2" fontId="13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center" vertical="bottom"/>
    </xf>
    <xf borderId="4" fillId="4" fontId="13" numFmtId="0" xfId="0" applyAlignment="1" applyBorder="1" applyFont="1">
      <alignment horizontal="center" vertical="bottom"/>
    </xf>
    <xf borderId="4" fillId="5" fontId="13" numFmtId="0" xfId="0" applyAlignment="1" applyBorder="1" applyFont="1">
      <alignment horizontal="center" vertical="bottom"/>
    </xf>
    <xf borderId="6" fillId="5" fontId="13" numFmtId="0" xfId="0" applyAlignment="1" applyBorder="1" applyFont="1">
      <alignment horizontal="center" vertical="bottom"/>
    </xf>
    <xf borderId="6" fillId="4" fontId="13" numFmtId="0" xfId="0" applyAlignment="1" applyBorder="1" applyFont="1">
      <alignment horizontal="center" vertical="bottom"/>
    </xf>
    <xf borderId="6" fillId="0" fontId="14" numFmtId="0" xfId="0" applyAlignment="1" applyBorder="1" applyFont="1">
      <alignment horizontal="center" readingOrder="0" vertical="bottom"/>
    </xf>
    <xf borderId="6" fillId="5" fontId="14" numFmtId="38" xfId="0" applyAlignment="1" applyBorder="1" applyFont="1" applyNumberFormat="1">
      <alignment horizontal="center" readingOrder="0" vertical="bottom"/>
    </xf>
    <xf borderId="6" fillId="5" fontId="14" numFmtId="38" xfId="0" applyAlignment="1" applyBorder="1" applyFont="1" applyNumberFormat="1">
      <alignment horizontal="center" vertical="bottom"/>
    </xf>
    <xf borderId="6" fillId="5" fontId="13" numFmtId="38" xfId="0" applyAlignment="1" applyBorder="1" applyFont="1" applyNumberFormat="1">
      <alignment vertical="bottom"/>
    </xf>
    <xf borderId="6" fillId="5" fontId="13" numFmtId="164" xfId="0" applyAlignment="1" applyBorder="1" applyFont="1" applyNumberFormat="1">
      <alignment horizontal="center" vertical="bottom"/>
    </xf>
    <xf borderId="6" fillId="4" fontId="14" numFmtId="38" xfId="0" applyAlignment="1" applyBorder="1" applyFont="1" applyNumberFormat="1">
      <alignment horizontal="center" readingOrder="0" vertical="bottom"/>
    </xf>
    <xf borderId="6" fillId="4" fontId="14" numFmtId="38" xfId="0" applyAlignment="1" applyBorder="1" applyFont="1" applyNumberFormat="1">
      <alignment horizontal="center" vertical="bottom"/>
    </xf>
    <xf borderId="6" fillId="0" fontId="15" numFmtId="164" xfId="0" applyAlignment="1" applyBorder="1" applyFont="1" applyNumberFormat="1">
      <alignment horizontal="right" readingOrder="0" vertical="bottom"/>
    </xf>
    <xf borderId="6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vertical="bottom"/>
    </xf>
    <xf borderId="6" fillId="5" fontId="13" numFmtId="38" xfId="0" applyAlignment="1" applyBorder="1" applyFont="1" applyNumberFormat="1">
      <alignment horizontal="right" vertical="bottom"/>
    </xf>
    <xf borderId="1" fillId="0" fontId="16" numFmtId="0" xfId="0" applyAlignment="1" applyBorder="1" applyFont="1">
      <alignment horizontal="center" vertical="bottom"/>
    </xf>
    <xf borderId="6" fillId="0" fontId="17" numFmtId="38" xfId="0" applyAlignment="1" applyBorder="1" applyFont="1" applyNumberFormat="1">
      <alignment horizontal="center" vertical="bottom"/>
    </xf>
    <xf borderId="6" fillId="0" fontId="18" numFmtId="38" xfId="0" applyAlignment="1" applyBorder="1" applyFont="1" applyNumberFormat="1">
      <alignment horizontal="center" vertical="bottom"/>
    </xf>
    <xf borderId="0" fillId="0" fontId="13" numFmtId="0" xfId="0" applyAlignment="1" applyFont="1">
      <alignment vertical="bottom"/>
    </xf>
    <xf borderId="6" fillId="5" fontId="13" numFmtId="38" xfId="0" applyAlignment="1" applyBorder="1" applyFont="1" applyNumberFormat="1">
      <alignment horizontal="right" readingOrder="0" vertical="bottom"/>
    </xf>
    <xf borderId="6" fillId="0" fontId="15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63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2"/>
      <c r="E2" s="2"/>
      <c r="F2" s="3"/>
      <c r="G2" s="7" t="s">
        <v>3</v>
      </c>
      <c r="H2" s="3"/>
      <c r="I2" s="8" t="s">
        <v>4</v>
      </c>
      <c r="J2" s="8" t="s">
        <v>5</v>
      </c>
      <c r="K2" s="9" t="s">
        <v>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2" t="s">
        <v>7</v>
      </c>
      <c r="H3" s="12" t="s">
        <v>8</v>
      </c>
      <c r="I3" s="10"/>
      <c r="J3" s="10"/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12</v>
      </c>
      <c r="B4" s="14"/>
      <c r="C4" s="15"/>
      <c r="D4" s="16"/>
      <c r="E4" s="16"/>
      <c r="F4" s="17"/>
      <c r="G4" s="18"/>
      <c r="H4" s="19"/>
      <c r="I4" s="20"/>
      <c r="J4" s="13"/>
      <c r="K4" s="21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13</v>
      </c>
      <c r="B5" s="14">
        <v>180.0</v>
      </c>
      <c r="C5" s="15">
        <v>2503252.0</v>
      </c>
      <c r="D5" s="16"/>
      <c r="E5" s="16"/>
      <c r="F5" s="17">
        <f t="shared" ref="F5:F13" si="1">SUM(C5)</f>
        <v>2503252</v>
      </c>
      <c r="G5" s="18">
        <v>180.0</v>
      </c>
      <c r="H5" s="19">
        <v>2524532.0</v>
      </c>
      <c r="I5" s="20">
        <v>1200.0</v>
      </c>
      <c r="J5" s="13" t="s">
        <v>14</v>
      </c>
      <c r="K5" s="21" t="s">
        <v>15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16</v>
      </c>
      <c r="B6" s="14">
        <v>121.0</v>
      </c>
      <c r="C6" s="14">
        <v>1218644.0</v>
      </c>
      <c r="D6" s="16"/>
      <c r="E6" s="16"/>
      <c r="F6" s="17">
        <f t="shared" si="1"/>
        <v>1218644</v>
      </c>
      <c r="G6" s="18">
        <v>121.0</v>
      </c>
      <c r="H6" s="18">
        <v>1218644.0</v>
      </c>
      <c r="I6" s="22">
        <f t="shared" ref="I6:I13" si="2">SUM(H6-F6)</f>
        <v>0</v>
      </c>
      <c r="J6" s="23" t="s">
        <v>17</v>
      </c>
      <c r="K6" s="2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18</v>
      </c>
      <c r="B7" s="14">
        <v>72.0</v>
      </c>
      <c r="C7" s="15">
        <v>750850.0</v>
      </c>
      <c r="D7" s="16"/>
      <c r="E7" s="16"/>
      <c r="F7" s="17">
        <f t="shared" si="1"/>
        <v>750850</v>
      </c>
      <c r="G7" s="18">
        <v>72.0</v>
      </c>
      <c r="H7" s="19">
        <v>750850.0</v>
      </c>
      <c r="I7" s="22">
        <f t="shared" si="2"/>
        <v>0</v>
      </c>
      <c r="J7" s="13" t="s">
        <v>14</v>
      </c>
      <c r="K7" s="2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19</v>
      </c>
      <c r="B8" s="14">
        <v>126.0</v>
      </c>
      <c r="C8" s="15">
        <v>1297960.0</v>
      </c>
      <c r="D8" s="16"/>
      <c r="E8" s="16"/>
      <c r="F8" s="17">
        <f t="shared" si="1"/>
        <v>1297960</v>
      </c>
      <c r="G8" s="18">
        <v>126.0</v>
      </c>
      <c r="H8" s="19">
        <v>1297960.0</v>
      </c>
      <c r="I8" s="22">
        <f t="shared" si="2"/>
        <v>0</v>
      </c>
      <c r="J8" s="13" t="s">
        <v>14</v>
      </c>
      <c r="K8" s="2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20</v>
      </c>
      <c r="B9" s="14">
        <v>113.0</v>
      </c>
      <c r="C9" s="15">
        <v>902310.0</v>
      </c>
      <c r="D9" s="16"/>
      <c r="E9" s="16"/>
      <c r="F9" s="17">
        <f t="shared" si="1"/>
        <v>902310</v>
      </c>
      <c r="G9" s="18">
        <v>113.0</v>
      </c>
      <c r="H9" s="19">
        <v>902310.0</v>
      </c>
      <c r="I9" s="22">
        <f t="shared" si="2"/>
        <v>0</v>
      </c>
      <c r="J9" s="13" t="s">
        <v>14</v>
      </c>
      <c r="K9" s="2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 t="s">
        <v>21</v>
      </c>
      <c r="B10" s="14">
        <v>88.0</v>
      </c>
      <c r="C10" s="15">
        <v>648931.0</v>
      </c>
      <c r="D10" s="16"/>
      <c r="E10" s="16"/>
      <c r="F10" s="17">
        <f t="shared" si="1"/>
        <v>648931</v>
      </c>
      <c r="G10" s="18">
        <v>88.0</v>
      </c>
      <c r="H10" s="19">
        <v>648931.0</v>
      </c>
      <c r="I10" s="22">
        <f t="shared" si="2"/>
        <v>0</v>
      </c>
      <c r="J10" s="13" t="s">
        <v>14</v>
      </c>
      <c r="K10" s="2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22</v>
      </c>
      <c r="B11" s="14">
        <v>91.0</v>
      </c>
      <c r="C11" s="14">
        <v>808007.0</v>
      </c>
      <c r="D11" s="16"/>
      <c r="E11" s="16"/>
      <c r="F11" s="17">
        <f t="shared" si="1"/>
        <v>808007</v>
      </c>
      <c r="G11" s="18">
        <v>91.0</v>
      </c>
      <c r="H11" s="18">
        <v>808007.0</v>
      </c>
      <c r="I11" s="22">
        <f t="shared" si="2"/>
        <v>0</v>
      </c>
      <c r="J11" s="13" t="s">
        <v>17</v>
      </c>
      <c r="K11" s="2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23</v>
      </c>
      <c r="B12" s="14">
        <v>98.0</v>
      </c>
      <c r="C12" s="26">
        <v>1497870.0</v>
      </c>
      <c r="D12" s="16"/>
      <c r="E12" s="16"/>
      <c r="F12" s="17">
        <f t="shared" si="1"/>
        <v>1497870</v>
      </c>
      <c r="G12" s="18">
        <v>98.0</v>
      </c>
      <c r="H12" s="19">
        <v>1501470.0</v>
      </c>
      <c r="I12" s="22">
        <f t="shared" si="2"/>
        <v>3600</v>
      </c>
      <c r="J12" s="13" t="s">
        <v>24</v>
      </c>
      <c r="K12" s="21" t="s">
        <v>25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26</v>
      </c>
      <c r="B13" s="14">
        <v>92.0</v>
      </c>
      <c r="C13" s="15">
        <v>960200.0</v>
      </c>
      <c r="D13" s="16"/>
      <c r="E13" s="16"/>
      <c r="F13" s="17">
        <f t="shared" si="1"/>
        <v>960200</v>
      </c>
      <c r="G13" s="18">
        <v>92.0</v>
      </c>
      <c r="H13" s="19">
        <v>960200.0</v>
      </c>
      <c r="I13" s="22">
        <f t="shared" si="2"/>
        <v>0</v>
      </c>
      <c r="J13" s="13" t="s">
        <v>27</v>
      </c>
      <c r="K13" s="2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7" t="s">
        <v>28</v>
      </c>
      <c r="B14" s="2"/>
      <c r="C14" s="2"/>
      <c r="D14" s="2"/>
      <c r="E14" s="3"/>
      <c r="F14" s="28">
        <f>SUM(F4:F9)</f>
        <v>6673016</v>
      </c>
      <c r="G14" s="25"/>
      <c r="H14" s="28">
        <f>SUM(H4:H9)</f>
        <v>6694296</v>
      </c>
      <c r="I14" s="29">
        <f>SUM(I4:I10)</f>
        <v>1200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76.88"/>
  </cols>
  <sheetData>
    <row r="1">
      <c r="A1" s="30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1" t="s">
        <v>1</v>
      </c>
      <c r="B2" s="32" t="s">
        <v>2</v>
      </c>
      <c r="C2" s="2"/>
      <c r="D2" s="2"/>
      <c r="E2" s="2"/>
      <c r="F2" s="3"/>
      <c r="G2" s="33" t="s">
        <v>3</v>
      </c>
      <c r="H2" s="3"/>
      <c r="I2" s="34" t="s">
        <v>4</v>
      </c>
      <c r="J2" s="34" t="s">
        <v>5</v>
      </c>
      <c r="K2" s="35" t="s">
        <v>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36" t="s">
        <v>7</v>
      </c>
      <c r="C3" s="36" t="s">
        <v>8</v>
      </c>
      <c r="D3" s="36" t="s">
        <v>9</v>
      </c>
      <c r="E3" s="36" t="s">
        <v>10</v>
      </c>
      <c r="F3" s="36" t="s">
        <v>11</v>
      </c>
      <c r="G3" s="37" t="s">
        <v>7</v>
      </c>
      <c r="H3" s="37" t="s">
        <v>8</v>
      </c>
      <c r="I3" s="10"/>
      <c r="J3" s="10"/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8" t="s">
        <v>29</v>
      </c>
      <c r="B4" s="39">
        <v>73.0</v>
      </c>
      <c r="C4" s="40">
        <v>651200.0</v>
      </c>
      <c r="D4" s="41"/>
      <c r="E4" s="41"/>
      <c r="F4" s="42">
        <f t="shared" ref="F4:F6" si="1">SUM(C4)</f>
        <v>651200</v>
      </c>
      <c r="G4" s="43">
        <v>73.0</v>
      </c>
      <c r="H4" s="44">
        <v>651200.0</v>
      </c>
      <c r="I4" s="45">
        <f t="shared" ref="I4:I6" si="2">SUM(H4-F4)</f>
        <v>0</v>
      </c>
      <c r="J4" s="38" t="s">
        <v>27</v>
      </c>
      <c r="K4" s="4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8" t="s">
        <v>30</v>
      </c>
      <c r="B5" s="39">
        <v>115.0</v>
      </c>
      <c r="C5" s="39">
        <v>1258690.0</v>
      </c>
      <c r="D5" s="41"/>
      <c r="E5" s="41"/>
      <c r="F5" s="42">
        <f t="shared" si="1"/>
        <v>1258690</v>
      </c>
      <c r="G5" s="43">
        <v>115.0</v>
      </c>
      <c r="H5" s="43">
        <v>1263790.0</v>
      </c>
      <c r="I5" s="45">
        <f t="shared" si="2"/>
        <v>5100</v>
      </c>
      <c r="J5" s="38" t="s">
        <v>17</v>
      </c>
      <c r="K5" s="46" t="s">
        <v>31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8" t="s">
        <v>32</v>
      </c>
      <c r="B6" s="39">
        <v>97.0</v>
      </c>
      <c r="C6" s="40">
        <v>765740.0</v>
      </c>
      <c r="D6" s="41"/>
      <c r="E6" s="41"/>
      <c r="F6" s="42">
        <f t="shared" si="1"/>
        <v>765740</v>
      </c>
      <c r="G6" s="43">
        <v>97.0</v>
      </c>
      <c r="H6" s="44">
        <v>774490.0</v>
      </c>
      <c r="I6" s="45">
        <f t="shared" si="2"/>
        <v>8750</v>
      </c>
      <c r="J6" s="47" t="s">
        <v>14</v>
      </c>
      <c r="K6" s="46" t="s">
        <v>33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8" t="s">
        <v>34</v>
      </c>
      <c r="B7" s="39">
        <v>96.0</v>
      </c>
      <c r="C7" s="40">
        <v>702450.0</v>
      </c>
      <c r="D7" s="41"/>
      <c r="E7" s="41"/>
      <c r="F7" s="42">
        <v>702450.0</v>
      </c>
      <c r="G7" s="43">
        <v>96.0</v>
      </c>
      <c r="H7" s="44">
        <v>750250.0</v>
      </c>
      <c r="I7" s="45">
        <v>47800.0</v>
      </c>
      <c r="J7" s="47" t="s">
        <v>14</v>
      </c>
      <c r="K7" s="46" t="s">
        <v>35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8" t="s">
        <v>36</v>
      </c>
      <c r="B8" s="39">
        <v>102.0</v>
      </c>
      <c r="C8" s="39">
        <v>960940.0</v>
      </c>
      <c r="D8" s="41"/>
      <c r="E8" s="41"/>
      <c r="F8" s="42">
        <f t="shared" ref="F8:F13" si="3">SUM(C8)</f>
        <v>960940</v>
      </c>
      <c r="G8" s="43">
        <v>102.0</v>
      </c>
      <c r="H8" s="43">
        <v>972190.0</v>
      </c>
      <c r="I8" s="45">
        <f t="shared" ref="I8:I13" si="4">SUM(H8-F8)</f>
        <v>11250</v>
      </c>
      <c r="J8" s="38" t="s">
        <v>17</v>
      </c>
      <c r="K8" s="46" t="s">
        <v>37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8" t="s">
        <v>38</v>
      </c>
      <c r="B9" s="39">
        <v>83.0</v>
      </c>
      <c r="C9" s="39">
        <v>978660.0</v>
      </c>
      <c r="D9" s="41"/>
      <c r="E9" s="41"/>
      <c r="F9" s="42">
        <f t="shared" si="3"/>
        <v>978660</v>
      </c>
      <c r="G9" s="43">
        <v>83.0</v>
      </c>
      <c r="H9" s="43">
        <v>983710.0</v>
      </c>
      <c r="I9" s="45">
        <f t="shared" si="4"/>
        <v>5050</v>
      </c>
      <c r="J9" s="38" t="s">
        <v>17</v>
      </c>
      <c r="K9" s="46" t="s">
        <v>39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8" t="s">
        <v>40</v>
      </c>
      <c r="B10" s="39">
        <v>111.0</v>
      </c>
      <c r="C10" s="39">
        <v>1016320.0</v>
      </c>
      <c r="D10" s="41"/>
      <c r="E10" s="41"/>
      <c r="F10" s="42">
        <f t="shared" si="3"/>
        <v>1016320</v>
      </c>
      <c r="G10" s="43">
        <v>111.0</v>
      </c>
      <c r="H10" s="43">
        <v>1016320.0</v>
      </c>
      <c r="I10" s="45">
        <f t="shared" si="4"/>
        <v>0</v>
      </c>
      <c r="J10" s="38" t="s">
        <v>17</v>
      </c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8" t="s">
        <v>41</v>
      </c>
      <c r="B11" s="39">
        <v>51.0</v>
      </c>
      <c r="C11" s="39">
        <v>476507.0</v>
      </c>
      <c r="D11" s="41"/>
      <c r="E11" s="41"/>
      <c r="F11" s="42">
        <f t="shared" si="3"/>
        <v>476507</v>
      </c>
      <c r="G11" s="43">
        <v>51.0</v>
      </c>
      <c r="H11" s="43">
        <v>476507.0</v>
      </c>
      <c r="I11" s="45">
        <f t="shared" si="4"/>
        <v>0</v>
      </c>
      <c r="J11" s="38" t="s">
        <v>17</v>
      </c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8" t="s">
        <v>42</v>
      </c>
      <c r="B12" s="39">
        <v>114.0</v>
      </c>
      <c r="C12" s="49">
        <v>868027.0</v>
      </c>
      <c r="D12" s="41"/>
      <c r="E12" s="41"/>
      <c r="F12" s="42">
        <f t="shared" si="3"/>
        <v>868027</v>
      </c>
      <c r="G12" s="43">
        <v>114.0</v>
      </c>
      <c r="H12" s="44">
        <v>868027.0</v>
      </c>
      <c r="I12" s="45">
        <f t="shared" si="4"/>
        <v>0</v>
      </c>
      <c r="J12" s="38" t="s">
        <v>24</v>
      </c>
      <c r="K12" s="4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8" t="s">
        <v>43</v>
      </c>
      <c r="B13" s="39">
        <v>113.0</v>
      </c>
      <c r="C13" s="40">
        <v>953920.0</v>
      </c>
      <c r="D13" s="41"/>
      <c r="E13" s="41"/>
      <c r="F13" s="42">
        <f t="shared" si="3"/>
        <v>953920</v>
      </c>
      <c r="G13" s="43">
        <v>113.0</v>
      </c>
      <c r="H13" s="44">
        <v>956620.0</v>
      </c>
      <c r="I13" s="45">
        <f t="shared" si="4"/>
        <v>2700</v>
      </c>
      <c r="J13" s="38" t="s">
        <v>24</v>
      </c>
      <c r="K13" s="46" t="s">
        <v>44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0" t="s">
        <v>28</v>
      </c>
      <c r="B14" s="2"/>
      <c r="C14" s="2"/>
      <c r="D14" s="2"/>
      <c r="E14" s="3"/>
      <c r="F14" s="51">
        <f>SUM(F4:F9)</f>
        <v>5317680</v>
      </c>
      <c r="G14" s="48"/>
      <c r="H14" s="51">
        <f>SUM(H4:H9)</f>
        <v>5395630</v>
      </c>
      <c r="I14" s="52">
        <f>SUM(I4:I10)</f>
        <v>77950</v>
      </c>
      <c r="J14" s="53"/>
      <c r="K14" s="5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4:E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76.88"/>
  </cols>
  <sheetData>
    <row r="1">
      <c r="A1" s="30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1" t="s">
        <v>1</v>
      </c>
      <c r="B2" s="32" t="s">
        <v>2</v>
      </c>
      <c r="C2" s="2"/>
      <c r="D2" s="2"/>
      <c r="E2" s="2"/>
      <c r="F2" s="3"/>
      <c r="G2" s="33" t="s">
        <v>3</v>
      </c>
      <c r="H2" s="3"/>
      <c r="I2" s="34" t="s">
        <v>4</v>
      </c>
      <c r="J2" s="34" t="s">
        <v>5</v>
      </c>
      <c r="K2" s="35" t="s">
        <v>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36" t="s">
        <v>7</v>
      </c>
      <c r="C3" s="36" t="s">
        <v>8</v>
      </c>
      <c r="D3" s="36" t="s">
        <v>9</v>
      </c>
      <c r="E3" s="36" t="s">
        <v>10</v>
      </c>
      <c r="F3" s="36" t="s">
        <v>11</v>
      </c>
      <c r="G3" s="37" t="s">
        <v>7</v>
      </c>
      <c r="H3" s="37" t="s">
        <v>8</v>
      </c>
      <c r="I3" s="10"/>
      <c r="J3" s="10"/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8" t="s">
        <v>45</v>
      </c>
      <c r="B4" s="39">
        <v>110.0</v>
      </c>
      <c r="C4" s="39">
        <v>950820.0</v>
      </c>
      <c r="D4" s="41"/>
      <c r="E4" s="41"/>
      <c r="F4" s="42">
        <f t="shared" ref="F4:F13" si="1">SUM(C4)</f>
        <v>950820</v>
      </c>
      <c r="G4" s="43">
        <v>110.0</v>
      </c>
      <c r="H4" s="43">
        <v>950820.0</v>
      </c>
      <c r="I4" s="45">
        <f t="shared" ref="I4:I13" si="2">SUM(H4-F4)</f>
        <v>0</v>
      </c>
      <c r="J4" s="38" t="s">
        <v>17</v>
      </c>
      <c r="K4" s="4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8" t="s">
        <v>46</v>
      </c>
      <c r="B5" s="39">
        <v>104.0</v>
      </c>
      <c r="C5" s="39">
        <v>858501.0</v>
      </c>
      <c r="D5" s="41"/>
      <c r="E5" s="41"/>
      <c r="F5" s="42">
        <f t="shared" si="1"/>
        <v>858501</v>
      </c>
      <c r="G5" s="43">
        <v>104.0</v>
      </c>
      <c r="H5" s="43">
        <v>862901.0</v>
      </c>
      <c r="I5" s="45">
        <f t="shared" si="2"/>
        <v>4400</v>
      </c>
      <c r="J5" s="38" t="s">
        <v>17</v>
      </c>
      <c r="K5" s="46" t="s">
        <v>47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8" t="s">
        <v>48</v>
      </c>
      <c r="B6" s="39">
        <v>123.0</v>
      </c>
      <c r="C6" s="39">
        <v>1103460.0</v>
      </c>
      <c r="D6" s="41"/>
      <c r="E6" s="41"/>
      <c r="F6" s="42">
        <f t="shared" si="1"/>
        <v>1103460</v>
      </c>
      <c r="G6" s="43">
        <v>123.0</v>
      </c>
      <c r="H6" s="43">
        <v>1103760.0</v>
      </c>
      <c r="I6" s="45">
        <f t="shared" si="2"/>
        <v>300</v>
      </c>
      <c r="J6" s="38" t="s">
        <v>17</v>
      </c>
      <c r="K6" s="46" t="s">
        <v>49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8" t="s">
        <v>50</v>
      </c>
      <c r="B7" s="39">
        <v>94.0</v>
      </c>
      <c r="C7" s="39">
        <v>572480.0</v>
      </c>
      <c r="D7" s="41"/>
      <c r="E7" s="41"/>
      <c r="F7" s="42">
        <f t="shared" si="1"/>
        <v>572480</v>
      </c>
      <c r="G7" s="43">
        <v>94.0</v>
      </c>
      <c r="H7" s="43">
        <v>599480.0</v>
      </c>
      <c r="I7" s="45">
        <f t="shared" si="2"/>
        <v>27000</v>
      </c>
      <c r="J7" s="38" t="s">
        <v>17</v>
      </c>
      <c r="K7" s="46" t="s">
        <v>51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8" t="s">
        <v>52</v>
      </c>
      <c r="B8" s="39">
        <v>41.0</v>
      </c>
      <c r="C8" s="39">
        <v>355662.0</v>
      </c>
      <c r="D8" s="41"/>
      <c r="E8" s="41"/>
      <c r="F8" s="42">
        <f t="shared" si="1"/>
        <v>355662</v>
      </c>
      <c r="G8" s="43">
        <v>41.0</v>
      </c>
      <c r="H8" s="43">
        <v>355662.0</v>
      </c>
      <c r="I8" s="45">
        <f t="shared" si="2"/>
        <v>0</v>
      </c>
      <c r="J8" s="38" t="s">
        <v>17</v>
      </c>
      <c r="K8" s="4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8" t="s">
        <v>53</v>
      </c>
      <c r="B9" s="39">
        <v>91.0</v>
      </c>
      <c r="C9" s="39">
        <v>697130.0</v>
      </c>
      <c r="D9" s="41"/>
      <c r="E9" s="41"/>
      <c r="F9" s="42">
        <f t="shared" si="1"/>
        <v>697130</v>
      </c>
      <c r="G9" s="43">
        <v>91.0</v>
      </c>
      <c r="H9" s="43">
        <v>745830.0</v>
      </c>
      <c r="I9" s="45">
        <f t="shared" si="2"/>
        <v>48700</v>
      </c>
      <c r="J9" s="38" t="s">
        <v>17</v>
      </c>
      <c r="K9" s="46" t="s">
        <v>54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8" t="s">
        <v>55</v>
      </c>
      <c r="B10" s="39">
        <v>128.0</v>
      </c>
      <c r="C10" s="40">
        <v>1166635.0</v>
      </c>
      <c r="D10" s="41"/>
      <c r="E10" s="41"/>
      <c r="F10" s="42">
        <f t="shared" si="1"/>
        <v>1166635</v>
      </c>
      <c r="G10" s="43">
        <v>128.0</v>
      </c>
      <c r="H10" s="43">
        <v>1173735.0</v>
      </c>
      <c r="I10" s="45">
        <f t="shared" si="2"/>
        <v>7100</v>
      </c>
      <c r="J10" s="38" t="s">
        <v>14</v>
      </c>
      <c r="K10" s="46" t="s">
        <v>56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8" t="s">
        <v>57</v>
      </c>
      <c r="B11" s="39">
        <v>95.0</v>
      </c>
      <c r="C11" s="39">
        <v>572230.0</v>
      </c>
      <c r="D11" s="41"/>
      <c r="E11" s="41"/>
      <c r="F11" s="42">
        <f t="shared" si="1"/>
        <v>572230</v>
      </c>
      <c r="G11" s="43">
        <v>95.0</v>
      </c>
      <c r="H11" s="43">
        <v>572230.0</v>
      </c>
      <c r="I11" s="45">
        <f t="shared" si="2"/>
        <v>0</v>
      </c>
      <c r="J11" s="38" t="s">
        <v>58</v>
      </c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8" t="s">
        <v>59</v>
      </c>
      <c r="B12" s="39">
        <v>139.0</v>
      </c>
      <c r="C12" s="54">
        <v>1782950.0</v>
      </c>
      <c r="D12" s="41"/>
      <c r="E12" s="41"/>
      <c r="F12" s="42">
        <f t="shared" si="1"/>
        <v>1782950</v>
      </c>
      <c r="G12" s="43">
        <v>139.0</v>
      </c>
      <c r="H12" s="43">
        <v>1782950.0</v>
      </c>
      <c r="I12" s="45">
        <f t="shared" si="2"/>
        <v>0</v>
      </c>
      <c r="J12" s="38" t="s">
        <v>17</v>
      </c>
      <c r="K12" s="4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8" t="s">
        <v>60</v>
      </c>
      <c r="B13" s="39">
        <v>124.0</v>
      </c>
      <c r="C13" s="40">
        <v>1401817.0</v>
      </c>
      <c r="D13" s="41"/>
      <c r="E13" s="41"/>
      <c r="F13" s="42">
        <f t="shared" si="1"/>
        <v>1401817</v>
      </c>
      <c r="G13" s="43">
        <v>124.0</v>
      </c>
      <c r="H13" s="44">
        <v>1408367.0</v>
      </c>
      <c r="I13" s="45">
        <f t="shared" si="2"/>
        <v>6550</v>
      </c>
      <c r="J13" s="38" t="s">
        <v>17</v>
      </c>
      <c r="K13" s="46" t="s">
        <v>61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8" t="s">
        <v>62</v>
      </c>
      <c r="B14" s="39">
        <v>146.0</v>
      </c>
      <c r="C14" s="40">
        <v>1887870.0</v>
      </c>
      <c r="D14" s="41"/>
      <c r="E14" s="41"/>
      <c r="F14" s="42">
        <v>1887870.0</v>
      </c>
      <c r="G14" s="43">
        <v>146.0</v>
      </c>
      <c r="H14" s="44">
        <v>2090270.0</v>
      </c>
      <c r="I14" s="55">
        <v>-202400.0</v>
      </c>
      <c r="J14" s="38" t="s">
        <v>24</v>
      </c>
      <c r="K14" s="46" t="s">
        <v>63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0" t="s">
        <v>28</v>
      </c>
      <c r="B15" s="2"/>
      <c r="C15" s="2"/>
      <c r="D15" s="2"/>
      <c r="E15" s="3"/>
      <c r="F15" s="51">
        <f>SUM(F4:F9)</f>
        <v>4538053</v>
      </c>
      <c r="G15" s="48"/>
      <c r="H15" s="51">
        <f>SUM(H4:H9)</f>
        <v>4618453</v>
      </c>
      <c r="I15" s="52">
        <f>SUM(I4:I10)</f>
        <v>87500</v>
      </c>
      <c r="J15" s="53"/>
      <c r="K15" s="5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8">
    <mergeCell ref="A1:K1"/>
    <mergeCell ref="A2:A3"/>
    <mergeCell ref="B2:F2"/>
    <mergeCell ref="G2:H2"/>
    <mergeCell ref="I2:I3"/>
    <mergeCell ref="J2:J3"/>
    <mergeCell ref="K2:K3"/>
    <mergeCell ref="A15:E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
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0" sheetId="1" r:id="rId4"/>
    <sheet state="visible" name=" 11-20" sheetId="2" r:id="rId5"/>
    <sheet state="visible" name="Copy of 1-10" sheetId="3" r:id="rId6"/>
  </sheets>
  <definedNames/>
  <calcPr/>
</workbook>
</file>

<file path=xl/sharedStrings.xml><?xml version="1.0" encoding="utf-8"?>
<sst xmlns="http://schemas.openxmlformats.org/spreadsheetml/2006/main" count="124" uniqueCount="71">
  <si>
    <t>ตรวจบิล ส.ค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</si>
  <si>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</si>
  <si>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</si>
  <si>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</si>
  <si>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</si>
  <si>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</si>
  <si>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</si>
  <si>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</si>
  <si>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</si>
  <si>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</si>
  <si>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</si>
  <si>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</si>
  <si>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01.08.64</t>
  </si>
  <si>
    <t>02.08.64</t>
  </si>
  <si>
    <t>มุรณี</t>
  </si>
  <si>
    <t>ผลต่าง 9850 เป็นบิลยกเลิกรักษาสิทธิซ้ำและดำเนินการลงยอดใหม่ ทำเดลี่เรียบร้อย</t>
  </si>
  <si>
    <t>03.08.64</t>
  </si>
  <si>
    <t>ผลต่่าง 18,550เป็นบิลยกเลิก 2/8/64 ทำการลงเดลี่ไปเรียบร้อยแล้วค่ะ</t>
  </si>
  <si>
    <t>04.08.64</t>
  </si>
  <si>
    <t>ผลต่่าง 12500 เป็นบิลยกเลิก 3/8/64 ทำการลงเดลี่ไปเรียบร้อยแล้วค่ะ</t>
  </si>
  <si>
    <t>05.08.64</t>
  </si>
  <si>
    <t>แจ๊ค</t>
  </si>
  <si>
    <t>ผลต่่าง 18750 เป็นบิลยกเลิกทำการลงเดลี่ไปเรียบร้อยแล้วค่ะ</t>
  </si>
  <si>
    <t>06.08.64</t>
  </si>
  <si>
    <t>ปูน</t>
  </si>
  <si>
    <t>ผลต่่าง 300 เป็นบิลยกเลิก dummy</t>
  </si>
  <si>
    <t>07.08.64</t>
  </si>
  <si>
    <t>08.08.64</t>
  </si>
  <si>
    <t>09.08.64</t>
  </si>
  <si>
    <t>ปููน</t>
  </si>
  <si>
    <t>ผลต่่าง 4800 เป็นบิล dummy</t>
  </si>
  <si>
    <t>10.08.64</t>
  </si>
  <si>
    <t>ผลต่่าง 300 เป็นบิล dummy</t>
  </si>
  <si>
    <t>รวม</t>
  </si>
  <si>
    <t>11.08.64</t>
  </si>
  <si>
    <t>12.08.64</t>
  </si>
  <si>
    <t>ผลต่าง 21550 เป็นบิลยกเลิกลงใหม่เนื่องจากลงผิดสาขา และทำการลงเดลี่เรียบร้อย</t>
  </si>
  <si>
    <t>13.08.64</t>
  </si>
  <si>
    <t>14.08.64</t>
  </si>
  <si>
    <t xml:space="preserve">ผลต่าง 600 เป็นบิล dummy </t>
  </si>
  <si>
    <t>15.08.64</t>
  </si>
  <si>
    <t>อริสรา</t>
  </si>
  <si>
    <t>ผลต่าง 5000 เป็นบิลยกเลิกลงใหม่เนื่องจากลงสินค้าผิด</t>
  </si>
  <si>
    <t>16.08.64</t>
  </si>
  <si>
    <t>มุุรณี</t>
  </si>
  <si>
    <t>ผลต่าง 3800 บาทเป็นบิลยกเลิกวันที่ 15/8/64 ลงเดลี่เรียบร้อยค่ะ</t>
  </si>
  <si>
    <t>17.08.64</t>
  </si>
  <si>
    <t>สาริยา</t>
  </si>
  <si>
    <t>18.08.64</t>
  </si>
  <si>
    <t>19.08.64</t>
  </si>
  <si>
    <t>นี</t>
  </si>
  <si>
    <t>20.08.64</t>
  </si>
  <si>
    <t>21.08.64</t>
  </si>
  <si>
    <t>เอิง</t>
  </si>
  <si>
    <t>22.08.64</t>
  </si>
  <si>
    <r>
      <rPr>
        <rFont val="Arial"/>
        <color rgb="FFFF0000"/>
        <sz val="14.0"/>
      </rPr>
      <t>ผลต่าง 1450 เนื่องจากเป็น</t>
    </r>
    <r>
      <rPr>
        <rFont val="Arial"/>
        <color rgb="FFFF0000"/>
        <sz val="14.0"/>
      </rPr>
      <t>บิลยกเลิก</t>
    </r>
  </si>
  <si>
    <t>23.08.64</t>
  </si>
  <si>
    <t>ผลต่าง 27000 เนื่องจากเป็นบิลยกเลิก</t>
  </si>
  <si>
    <t>24.08.64</t>
  </si>
  <si>
    <t>ผลต่าง 5350 เนื่องจากเป็นบิลยกเลิก</t>
  </si>
  <si>
    <t>25.08.64</t>
  </si>
  <si>
    <t>26.08.64</t>
  </si>
  <si>
    <t xml:space="preserve">ผลต่าง 6210 เป็นบิลยกเลิก และ บิลลง dummy 10 บาท </t>
  </si>
  <si>
    <t>27.08.64</t>
  </si>
  <si>
    <t xml:space="preserve">ผลต่าง 530 บิลลง dummy 10 บาท </t>
  </si>
  <si>
    <t>28.08.64</t>
  </si>
  <si>
    <t>29.08.64</t>
  </si>
  <si>
    <t>ผลต่าง 13600 บาท เนื่องจากเป็นบิลยกเลิก</t>
  </si>
  <si>
    <t>30.08.64</t>
  </si>
  <si>
    <t>ผลต่าง 5000 บาท เนื่องจากเป็นบิลยกเลิก</t>
  </si>
  <si>
    <t>31.08.64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</si>
</sst>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4">
    <font>
      <sz val="10.0"/>
      <color rgb="FF000000"/>
      <name val="Arial"/>
      <scheme val="minor"/>
    </font>
    <font>
      <b/>
      <sz val="20.0"/>
      <color theme="1"/>
      <name val="&quot;Cordia New&quot;"/>
    </font>
    <font>
      <color theme="1"/>
      <name val="Arial"/>
    </font>
    <font>
      <sz val="20.0"/>
      <color theme="1"/>
      <name val="&quot;Cordia New&quot;"/>
    </font>
    <font/>
    <font>
      <sz val="20.0"/>
      <color rgb="FF000000"/>
      <name val="&quot;Cordia New&quot;"/>
    </font>
    <font>
      <sz val="13.0"/>
      <color theme="1"/>
      <name val="Arial"/>
    </font>
    <font>
      <sz val="13.0"/>
      <color rgb="FFFF0000"/>
      <name val="Arial"/>
    </font>
    <font>
      <sz val="11.0"/>
      <color theme="1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  <font>
      <sz val="14.0"/>
      <color theme="1"/>
      <name val="Arial"/>
    </font>
    <font>
      <sz val="14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5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5" fontId="6" numFmtId="38" xfId="0" applyAlignment="1" applyBorder="1" applyFont="1" applyNumberFormat="1">
      <alignment readingOrder="0" vertical="bottom"/>
    </xf>
    <xf borderId="6" fillId="5" fontId="6" numFmtId="38" xfId="0" applyAlignment="1" applyBorder="1" applyFont="1" applyNumberFormat="1">
      <alignment vertical="bottom"/>
    </xf>
    <xf borderId="6" fillId="5" fontId="6" numFmtId="164" xfId="0" applyAlignment="1" applyBorder="1" applyFont="1" applyNumberFormat="1">
      <alignment horizontal="right" vertical="bottom"/>
    </xf>
    <xf borderId="6" fillId="4" fontId="6" numFmtId="38" xfId="0" applyAlignment="1" applyBorder="1" applyFont="1" applyNumberFormat="1">
      <alignment readingOrder="0" vertical="bottom"/>
    </xf>
    <xf borderId="6" fillId="0" fontId="7" numFmtId="164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vertical="bottom"/>
    </xf>
    <xf borderId="6" fillId="5" fontId="6" numFmtId="38" xfId="0" applyAlignment="1" applyBorder="1" applyFont="1" applyNumberFormat="1">
      <alignment horizontal="right" vertical="bottom"/>
    </xf>
    <xf borderId="4" fillId="5" fontId="6" numFmtId="38" xfId="0" applyAlignment="1" applyBorder="1" applyFont="1" applyNumberFormat="1">
      <alignment horizontal="right" vertical="bottom"/>
    </xf>
    <xf borderId="4" fillId="5" fontId="2" numFmtId="38" xfId="0" applyAlignment="1" applyBorder="1" applyFont="1" applyNumberFormat="1">
      <alignment vertical="bottom"/>
    </xf>
    <xf borderId="4" fillId="5" fontId="6" numFmtId="164" xfId="0" applyAlignment="1" applyBorder="1" applyFont="1" applyNumberFormat="1">
      <alignment horizontal="right" vertical="bottom"/>
    </xf>
    <xf borderId="4" fillId="4" fontId="6" numFmtId="38" xfId="0" applyAlignment="1" applyBorder="1" applyFont="1" applyNumberFormat="1">
      <alignment horizontal="right" vertical="bottom"/>
    </xf>
    <xf borderId="4" fillId="0" fontId="7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6" fillId="4" fontId="6" numFmtId="38" xfId="0" applyAlignment="1" applyBorder="1" applyFont="1" applyNumberFormat="1">
      <alignment vertical="bottom"/>
    </xf>
    <xf borderId="6" fillId="0" fontId="6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6" fillId="0" fontId="11" numFmtId="38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readingOrder="0" vertical="bottom"/>
    </xf>
    <xf borderId="6" fillId="5" fontId="6" numFmtId="38" xfId="0" applyAlignment="1" applyBorder="1" applyFont="1" applyNumberFormat="1">
      <alignment horizontal="center" readingOrder="0" vertical="bottom"/>
    </xf>
    <xf borderId="4" fillId="5" fontId="6" numFmtId="38" xfId="0" applyAlignment="1" applyBorder="1" applyFont="1" applyNumberFormat="1">
      <alignment horizontal="right" readingOrder="0" vertical="bottom"/>
    </xf>
    <xf borderId="4" fillId="4" fontId="6" numFmtId="38" xfId="0" applyAlignment="1" applyBorder="1" applyFont="1" applyNumberFormat="1">
      <alignment horizontal="right" readingOrder="0" vertical="bottom"/>
    </xf>
    <xf borderId="4" fillId="0" fontId="8" numFmtId="0" xfId="0" applyAlignment="1" applyBorder="1" applyFont="1">
      <alignment readingOrder="0" vertical="bottom"/>
    </xf>
    <xf borderId="6" fillId="0" fontId="12" numFmtId="0" xfId="0" applyAlignment="1" applyBorder="1" applyFont="1">
      <alignment readingOrder="0" vertical="bottom"/>
    </xf>
    <xf borderId="6" fillId="5" fontId="6" numFmtId="38" xfId="0" applyAlignment="1" applyBorder="1" applyFont="1" applyNumberFormat="1">
      <alignment horizontal="right" readingOrder="0" vertical="bottom"/>
    </xf>
    <xf borderId="4" fillId="0" fontId="7" numFmtId="164" xfId="0" applyAlignment="1" applyBorder="1" applyFont="1" applyNumberFormat="1">
      <alignment horizontal="right" readingOrder="0" vertical="bottom"/>
    </xf>
    <xf borderId="4" fillId="0" fontId="12" numFmtId="0" xfId="0" applyAlignment="1" applyBorder="1" applyFont="1">
      <alignment readingOrder="0" vertical="bottom"/>
    </xf>
    <xf borderId="4" fillId="6" fontId="13" numFmtId="0" xfId="0" applyAlignment="1" applyBorder="1" applyFill="1" applyFont="1">
      <alignment readingOrder="0" vertical="bottom"/>
    </xf>
    <xf borderId="6" fillId="0" fontId="7" numFmtId="164" xfId="0" applyAlignment="1" applyBorder="1" applyFont="1" applyNumberFormat="1">
      <alignment horizontal="right" readingOrder="0" vertical="bottom"/>
    </xf>
    <xf borderId="6" fillId="5" fontId="6" numFmtId="164" xfId="0" applyAlignment="1" applyBorder="1" applyFont="1" applyNumberFormat="1">
      <alignment horizontal="right" readingOrder="0" vertical="bottom"/>
    </xf>
    <xf borderId="6" fillId="0" fontId="13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8.0"/>
    <col customWidth="1" min="11" max="11" width="62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12</v>
      </c>
      <c r="B4" s="14"/>
      <c r="C4" s="14"/>
      <c r="D4" s="15"/>
      <c r="E4" s="15"/>
      <c r="F4" s="16"/>
      <c r="G4" s="17"/>
      <c r="H4" s="17"/>
      <c r="I4" s="18"/>
      <c r="J4" s="19"/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13</v>
      </c>
      <c r="B5" s="21">
        <v>159.0</v>
      </c>
      <c r="C5" s="22">
        <v>1269460.0</v>
      </c>
      <c r="D5" s="23"/>
      <c r="E5" s="23"/>
      <c r="F5" s="24">
        <f t="shared" ref="F5:F13" si="1">SUM(C5)</f>
        <v>1269460</v>
      </c>
      <c r="G5" s="25">
        <v>159.0</v>
      </c>
      <c r="H5" s="25">
        <v>1279310.0</v>
      </c>
      <c r="I5" s="26">
        <f t="shared" ref="I5:I13" si="2">SUM(H5-F5)</f>
        <v>9850</v>
      </c>
      <c r="J5" s="27" t="s">
        <v>14</v>
      </c>
      <c r="K5" s="28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16</v>
      </c>
      <c r="B6" s="14">
        <v>122.0</v>
      </c>
      <c r="C6" s="14">
        <v>1315880.0</v>
      </c>
      <c r="D6" s="15"/>
      <c r="E6" s="15"/>
      <c r="F6" s="16">
        <f t="shared" si="1"/>
        <v>1315880</v>
      </c>
      <c r="G6" s="17">
        <v>122.0</v>
      </c>
      <c r="H6" s="17">
        <v>1334430.0</v>
      </c>
      <c r="I6" s="18">
        <f t="shared" si="2"/>
        <v>18550</v>
      </c>
      <c r="J6" s="27" t="s">
        <v>14</v>
      </c>
      <c r="K6" s="19" t="s">
        <v>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18</v>
      </c>
      <c r="B7" s="14">
        <v>106.0</v>
      </c>
      <c r="C7" s="15">
        <v>1221820.0</v>
      </c>
      <c r="D7" s="15"/>
      <c r="E7" s="15"/>
      <c r="F7" s="16">
        <f t="shared" si="1"/>
        <v>1221820</v>
      </c>
      <c r="G7" s="17">
        <v>106.0</v>
      </c>
      <c r="H7" s="29">
        <v>1234320.0</v>
      </c>
      <c r="I7" s="18">
        <f t="shared" si="2"/>
        <v>12500</v>
      </c>
      <c r="J7" s="27" t="s">
        <v>14</v>
      </c>
      <c r="K7" s="19" t="s">
        <v>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20</v>
      </c>
      <c r="B8" s="14">
        <v>77.0</v>
      </c>
      <c r="C8" s="15">
        <v>654410.0</v>
      </c>
      <c r="D8" s="15"/>
      <c r="E8" s="15"/>
      <c r="F8" s="16">
        <f t="shared" si="1"/>
        <v>654410</v>
      </c>
      <c r="G8" s="17">
        <v>77.0</v>
      </c>
      <c r="H8" s="17">
        <v>673160.0</v>
      </c>
      <c r="I8" s="18">
        <f t="shared" si="2"/>
        <v>18750</v>
      </c>
      <c r="J8" s="19" t="s">
        <v>21</v>
      </c>
      <c r="K8" s="19" t="s">
        <v>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23</v>
      </c>
      <c r="B9" s="14">
        <v>112.0</v>
      </c>
      <c r="C9" s="15">
        <v>1040990.0</v>
      </c>
      <c r="D9" s="15"/>
      <c r="E9" s="15"/>
      <c r="F9" s="16">
        <f t="shared" si="1"/>
        <v>1040990</v>
      </c>
      <c r="G9" s="17">
        <v>112.0</v>
      </c>
      <c r="H9" s="29">
        <v>1041290.0</v>
      </c>
      <c r="I9" s="18">
        <f t="shared" si="2"/>
        <v>300</v>
      </c>
      <c r="J9" s="19" t="s">
        <v>24</v>
      </c>
      <c r="K9" s="19" t="s">
        <v>25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26</v>
      </c>
      <c r="B10" s="14">
        <v>89.0</v>
      </c>
      <c r="C10" s="14">
        <v>766820.0</v>
      </c>
      <c r="D10" s="15"/>
      <c r="E10" s="15"/>
      <c r="F10" s="16">
        <f t="shared" si="1"/>
        <v>766820</v>
      </c>
      <c r="G10" s="17">
        <v>89.0</v>
      </c>
      <c r="H10" s="17">
        <v>766820.0</v>
      </c>
      <c r="I10" s="18">
        <f t="shared" si="2"/>
        <v>0</v>
      </c>
      <c r="J10" s="19" t="s">
        <v>14</v>
      </c>
      <c r="K10" s="3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27</v>
      </c>
      <c r="B11" s="14">
        <v>54.0</v>
      </c>
      <c r="C11" s="14">
        <v>538280.0</v>
      </c>
      <c r="D11" s="15"/>
      <c r="E11" s="15"/>
      <c r="F11" s="16">
        <f t="shared" si="1"/>
        <v>538280</v>
      </c>
      <c r="G11" s="17">
        <v>54.0</v>
      </c>
      <c r="H11" s="29">
        <v>538280.0</v>
      </c>
      <c r="I11" s="18">
        <f t="shared" si="2"/>
        <v>0</v>
      </c>
      <c r="J11" s="19" t="s">
        <v>14</v>
      </c>
      <c r="K11" s="3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28</v>
      </c>
      <c r="B12" s="14">
        <v>98.0</v>
      </c>
      <c r="C12" s="15">
        <v>898490.0</v>
      </c>
      <c r="D12" s="15"/>
      <c r="E12" s="15"/>
      <c r="F12" s="16">
        <f t="shared" si="1"/>
        <v>898490</v>
      </c>
      <c r="G12" s="17">
        <v>98.0</v>
      </c>
      <c r="H12" s="29">
        <v>903290.0</v>
      </c>
      <c r="I12" s="18">
        <f t="shared" si="2"/>
        <v>4800</v>
      </c>
      <c r="J12" s="19" t="s">
        <v>29</v>
      </c>
      <c r="K12" s="19" t="s">
        <v>30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31</v>
      </c>
      <c r="B13" s="14">
        <v>87.0</v>
      </c>
      <c r="C13" s="15">
        <v>936720.0</v>
      </c>
      <c r="D13" s="15"/>
      <c r="E13" s="15"/>
      <c r="F13" s="16">
        <f t="shared" si="1"/>
        <v>936720</v>
      </c>
      <c r="G13" s="17">
        <v>87.0</v>
      </c>
      <c r="H13" s="29">
        <v>937020.0</v>
      </c>
      <c r="I13" s="18">
        <f t="shared" si="2"/>
        <v>300</v>
      </c>
      <c r="J13" s="19" t="s">
        <v>29</v>
      </c>
      <c r="K13" s="19" t="s">
        <v>32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1" t="s">
        <v>33</v>
      </c>
      <c r="B14" s="5"/>
      <c r="C14" s="5"/>
      <c r="D14" s="5"/>
      <c r="E14" s="6"/>
      <c r="F14" s="32">
        <f>SUM(F4:F13)</f>
        <v>8642870</v>
      </c>
      <c r="G14" s="33"/>
      <c r="H14" s="32">
        <f>SUM(H4:H13)</f>
        <v>8707920</v>
      </c>
      <c r="I14" s="34">
        <f>SUM(I4:I10)</f>
        <v>59950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6.25"/>
    <col customWidth="1" min="11" max="11" width="62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 t="s">
        <v>34</v>
      </c>
      <c r="B4" s="36">
        <v>94.0</v>
      </c>
      <c r="C4" s="14">
        <v>800424.0</v>
      </c>
      <c r="D4" s="15"/>
      <c r="E4" s="15"/>
      <c r="F4" s="24">
        <f t="shared" ref="F4:F12" si="1">SUM(C4)</f>
        <v>800424</v>
      </c>
      <c r="G4" s="17">
        <v>94.0</v>
      </c>
      <c r="H4" s="17">
        <v>800424.0</v>
      </c>
      <c r="I4" s="26">
        <f t="shared" ref="I4:I12" si="2">SUM(H4-F4)</f>
        <v>0</v>
      </c>
      <c r="J4" s="19" t="s">
        <v>14</v>
      </c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 t="s">
        <v>35</v>
      </c>
      <c r="B5" s="36">
        <v>50.0</v>
      </c>
      <c r="C5" s="37">
        <v>751450.0</v>
      </c>
      <c r="D5" s="23"/>
      <c r="E5" s="23"/>
      <c r="F5" s="24">
        <f t="shared" si="1"/>
        <v>751450</v>
      </c>
      <c r="G5" s="38">
        <v>50.0</v>
      </c>
      <c r="H5" s="38">
        <v>773000.0</v>
      </c>
      <c r="I5" s="26">
        <f t="shared" si="2"/>
        <v>21550</v>
      </c>
      <c r="J5" s="19" t="s">
        <v>14</v>
      </c>
      <c r="K5" s="39" t="s">
        <v>36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 t="s">
        <v>37</v>
      </c>
      <c r="B6" s="36">
        <v>136.0</v>
      </c>
      <c r="C6" s="14">
        <v>1443600.0</v>
      </c>
      <c r="D6" s="15"/>
      <c r="E6" s="15"/>
      <c r="F6" s="16">
        <f t="shared" si="1"/>
        <v>1443600</v>
      </c>
      <c r="G6" s="17">
        <v>136.0</v>
      </c>
      <c r="H6" s="17">
        <v>1443600.0</v>
      </c>
      <c r="I6" s="18">
        <f t="shared" si="2"/>
        <v>0</v>
      </c>
      <c r="J6" s="19" t="s">
        <v>14</v>
      </c>
      <c r="K6" s="1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 t="s">
        <v>38</v>
      </c>
      <c r="B7" s="36">
        <v>91.0</v>
      </c>
      <c r="C7" s="14">
        <v>776740.0</v>
      </c>
      <c r="D7" s="15"/>
      <c r="E7" s="15"/>
      <c r="F7" s="16">
        <f t="shared" si="1"/>
        <v>776740</v>
      </c>
      <c r="G7" s="17">
        <v>91.0</v>
      </c>
      <c r="H7" s="17">
        <v>777340.0</v>
      </c>
      <c r="I7" s="18">
        <f t="shared" si="2"/>
        <v>600</v>
      </c>
      <c r="J7" s="19" t="s">
        <v>14</v>
      </c>
      <c r="K7" s="19" t="s">
        <v>39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5" t="s">
        <v>40</v>
      </c>
      <c r="B8" s="36">
        <v>55.0</v>
      </c>
      <c r="C8" s="15">
        <v>458640.0</v>
      </c>
      <c r="D8" s="15"/>
      <c r="E8" s="15"/>
      <c r="F8" s="16">
        <f t="shared" si="1"/>
        <v>458640</v>
      </c>
      <c r="G8" s="17">
        <v>55.0</v>
      </c>
      <c r="H8" s="29">
        <v>463640.0</v>
      </c>
      <c r="I8" s="18">
        <f t="shared" si="2"/>
        <v>5000</v>
      </c>
      <c r="J8" s="19" t="s">
        <v>41</v>
      </c>
      <c r="K8" s="39" t="s">
        <v>42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5" t="s">
        <v>43</v>
      </c>
      <c r="B9" s="36">
        <v>116.0</v>
      </c>
      <c r="C9" s="14">
        <v>969510.0</v>
      </c>
      <c r="D9" s="15"/>
      <c r="E9" s="15"/>
      <c r="F9" s="16">
        <f t="shared" si="1"/>
        <v>969510</v>
      </c>
      <c r="G9" s="17">
        <v>116.0</v>
      </c>
      <c r="H9" s="17">
        <v>973310.0</v>
      </c>
      <c r="I9" s="18">
        <f t="shared" si="2"/>
        <v>3800</v>
      </c>
      <c r="J9" s="19" t="s">
        <v>44</v>
      </c>
      <c r="K9" s="19" t="s">
        <v>45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5" t="s">
        <v>46</v>
      </c>
      <c r="B10" s="36">
        <v>100.0</v>
      </c>
      <c r="C10" s="14">
        <v>858480.0</v>
      </c>
      <c r="D10" s="15"/>
      <c r="E10" s="15"/>
      <c r="F10" s="16">
        <f t="shared" si="1"/>
        <v>858480</v>
      </c>
      <c r="G10" s="17">
        <v>100.0</v>
      </c>
      <c r="H10" s="17">
        <v>858480.0</v>
      </c>
      <c r="I10" s="18">
        <f t="shared" si="2"/>
        <v>0</v>
      </c>
      <c r="J10" s="19" t="s">
        <v>47</v>
      </c>
      <c r="K10" s="3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 t="s">
        <v>48</v>
      </c>
      <c r="B11" s="36">
        <v>119.0</v>
      </c>
      <c r="C11" s="14">
        <v>991860.0</v>
      </c>
      <c r="D11" s="15"/>
      <c r="E11" s="15"/>
      <c r="F11" s="16">
        <f t="shared" si="1"/>
        <v>991860</v>
      </c>
      <c r="G11" s="17">
        <v>119.0</v>
      </c>
      <c r="H11" s="17">
        <v>991860.0</v>
      </c>
      <c r="I11" s="18">
        <f t="shared" si="2"/>
        <v>0</v>
      </c>
      <c r="J11" s="19" t="s">
        <v>24</v>
      </c>
      <c r="K11" s="3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5" t="s">
        <v>49</v>
      </c>
      <c r="B12" s="36">
        <v>100.0</v>
      </c>
      <c r="C12" s="14">
        <v>1031880.0</v>
      </c>
      <c r="D12" s="15"/>
      <c r="E12" s="15"/>
      <c r="F12" s="16">
        <f t="shared" si="1"/>
        <v>1031880</v>
      </c>
      <c r="G12" s="17">
        <v>100.0</v>
      </c>
      <c r="H12" s="17">
        <v>1031880.0</v>
      </c>
      <c r="I12" s="18">
        <f t="shared" si="2"/>
        <v>0</v>
      </c>
      <c r="J12" s="19" t="s">
        <v>50</v>
      </c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5" t="s">
        <v>51</v>
      </c>
      <c r="B13" s="36">
        <v>127.0</v>
      </c>
      <c r="C13" s="15">
        <v>1142760.0</v>
      </c>
      <c r="D13" s="15"/>
      <c r="E13" s="15"/>
      <c r="F13" s="16">
        <v>1142760.0</v>
      </c>
      <c r="G13" s="17">
        <v>127.0</v>
      </c>
      <c r="H13" s="29">
        <v>1142760.0</v>
      </c>
      <c r="I13" s="18"/>
      <c r="J13" s="19" t="s">
        <v>29</v>
      </c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1" t="s">
        <v>33</v>
      </c>
      <c r="B14" s="5"/>
      <c r="C14" s="5"/>
      <c r="D14" s="5"/>
      <c r="E14" s="6"/>
      <c r="F14" s="32">
        <f>SUM(F4:F13)</f>
        <v>9225344</v>
      </c>
      <c r="G14" s="33"/>
      <c r="H14" s="32">
        <f>SUM(H4:H13)</f>
        <v>9256294</v>
      </c>
      <c r="I14" s="34">
        <f>SUM(I4:I10)</f>
        <v>30950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8.0"/>
    <col customWidth="1" min="11" max="11" width="62.63"/>
  </cols>
  <sheetData>
    <row r="1">
      <c r="A1" s="1" t="s">
        <v>0</v>
      </c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8" t="s">
        <v>4</v>
      </c>
      <c r="J2" s="8" t="s">
        <v>5</v>
      </c>
      <c r="K2" s="9" t="s">
        <v>6</v>
      </c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</row>
    <row r="4">
      <c r="A4" s="35" t="s">
        <v>52</v>
      </c>
      <c r="B4" s="14">
        <v>108.0</v>
      </c>
      <c r="C4" s="15">
        <v>658630.0</v>
      </c>
      <c r="D4" s="15"/>
      <c r="E4" s="15"/>
      <c r="F4" s="16">
        <v>658630.0</v>
      </c>
      <c r="G4" s="17">
        <v>108.0</v>
      </c>
      <c r="H4" s="29">
        <v>658630.0</v>
      </c>
      <c r="I4" s="18"/>
      <c r="J4" s="40" t="s">
        <v>53</v>
      </c>
      <c r="K4" s="40"/>
    </row>
    <row r="5">
      <c r="A5" s="35" t="s">
        <v>54</v>
      </c>
      <c r="B5" s="41">
        <v>62.0</v>
      </c>
      <c r="C5" s="22">
        <v>574150.0</v>
      </c>
      <c r="D5" s="23"/>
      <c r="E5" s="23"/>
      <c r="F5" s="24">
        <v>574150.0</v>
      </c>
      <c r="G5" s="38">
        <v>62.0</v>
      </c>
      <c r="H5" s="25">
        <v>575600.0</v>
      </c>
      <c r="I5" s="42">
        <v>-1450.0</v>
      </c>
      <c r="J5" s="43" t="s">
        <v>24</v>
      </c>
      <c r="K5" s="44" t="s">
        <v>55</v>
      </c>
    </row>
    <row r="6">
      <c r="A6" s="35" t="s">
        <v>56</v>
      </c>
      <c r="B6" s="14">
        <v>116.0</v>
      </c>
      <c r="C6" s="15">
        <v>987190.0</v>
      </c>
      <c r="D6" s="15"/>
      <c r="E6" s="15"/>
      <c r="F6" s="16">
        <v>987190.0</v>
      </c>
      <c r="G6" s="17">
        <v>116.0</v>
      </c>
      <c r="H6" s="29">
        <v>1014190.0</v>
      </c>
      <c r="I6" s="45">
        <v>-27000.0</v>
      </c>
      <c r="J6" s="43" t="s">
        <v>53</v>
      </c>
      <c r="K6" s="44" t="s">
        <v>57</v>
      </c>
    </row>
    <row r="7">
      <c r="A7" s="35" t="s">
        <v>58</v>
      </c>
      <c r="B7" s="14">
        <v>156.0</v>
      </c>
      <c r="C7" s="14">
        <v>1245080.0</v>
      </c>
      <c r="D7" s="15"/>
      <c r="E7" s="15"/>
      <c r="F7" s="46">
        <v>1245080.0</v>
      </c>
      <c r="G7" s="17">
        <v>156.0</v>
      </c>
      <c r="H7" s="17">
        <v>1250430.0</v>
      </c>
      <c r="I7" s="45">
        <f>H7-C7</f>
        <v>5350</v>
      </c>
      <c r="J7" s="43" t="s">
        <v>53</v>
      </c>
      <c r="K7" s="44" t="s">
        <v>59</v>
      </c>
    </row>
    <row r="8">
      <c r="A8" s="35" t="s">
        <v>60</v>
      </c>
      <c r="B8" s="14">
        <v>132.0</v>
      </c>
      <c r="C8" s="15">
        <v>759740.0</v>
      </c>
      <c r="D8" s="15"/>
      <c r="E8" s="15"/>
      <c r="F8" s="16">
        <v>759740.0</v>
      </c>
      <c r="G8" s="17">
        <v>132.0</v>
      </c>
      <c r="H8" s="29">
        <v>759740.0</v>
      </c>
      <c r="I8" s="18"/>
      <c r="J8" s="40" t="s">
        <v>29</v>
      </c>
      <c r="K8" s="40"/>
    </row>
    <row r="9">
      <c r="A9" s="35" t="s">
        <v>61</v>
      </c>
      <c r="B9" s="14">
        <v>133.0</v>
      </c>
      <c r="C9" s="15">
        <v>974418.0</v>
      </c>
      <c r="D9" s="15"/>
      <c r="E9" s="15"/>
      <c r="F9" s="16">
        <v>974418.0</v>
      </c>
      <c r="G9" s="17">
        <v>133.0</v>
      </c>
      <c r="H9" s="29">
        <v>980628.0</v>
      </c>
      <c r="I9" s="45">
        <v>-6210.0</v>
      </c>
      <c r="J9" s="40" t="s">
        <v>53</v>
      </c>
      <c r="K9" s="47" t="s">
        <v>62</v>
      </c>
    </row>
    <row r="10">
      <c r="A10" s="35" t="s">
        <v>63</v>
      </c>
      <c r="B10" s="14">
        <v>167.0</v>
      </c>
      <c r="C10" s="15">
        <v>998580.0</v>
      </c>
      <c r="D10" s="15"/>
      <c r="E10" s="15"/>
      <c r="F10" s="16">
        <v>998580.0</v>
      </c>
      <c r="G10" s="17">
        <v>167.0</v>
      </c>
      <c r="H10" s="29">
        <v>999110.0</v>
      </c>
      <c r="I10" s="45">
        <v>-530.0</v>
      </c>
      <c r="J10" s="40" t="s">
        <v>53</v>
      </c>
      <c r="K10" s="47" t="s">
        <v>64</v>
      </c>
    </row>
    <row r="11">
      <c r="A11" s="35" t="s">
        <v>65</v>
      </c>
      <c r="B11" s="14">
        <v>108.0</v>
      </c>
      <c r="C11" s="14">
        <v>738360.0</v>
      </c>
      <c r="D11" s="15"/>
      <c r="E11" s="15"/>
      <c r="F11" s="46">
        <v>738360.0</v>
      </c>
      <c r="G11" s="17">
        <v>108.0</v>
      </c>
      <c r="H11" s="17">
        <v>738360.0</v>
      </c>
      <c r="I11" s="18"/>
      <c r="J11" s="40" t="s">
        <v>53</v>
      </c>
      <c r="K11" s="48"/>
    </row>
    <row r="12">
      <c r="A12" s="35" t="s">
        <v>66</v>
      </c>
      <c r="B12" s="14">
        <v>80.0</v>
      </c>
      <c r="C12" s="15">
        <v>515300.0</v>
      </c>
      <c r="D12" s="15"/>
      <c r="E12" s="15"/>
      <c r="F12" s="16">
        <v>515300.0</v>
      </c>
      <c r="G12" s="17">
        <v>80.0</v>
      </c>
      <c r="H12" s="17">
        <v>528900.0</v>
      </c>
      <c r="I12" s="45">
        <v>-13600.0</v>
      </c>
      <c r="J12" s="40" t="s">
        <v>53</v>
      </c>
      <c r="K12" s="47" t="s">
        <v>67</v>
      </c>
    </row>
    <row r="13">
      <c r="A13" s="35" t="s">
        <v>68</v>
      </c>
      <c r="B13" s="14">
        <v>143.0</v>
      </c>
      <c r="C13" s="15">
        <v>913950.0</v>
      </c>
      <c r="D13" s="15"/>
      <c r="E13" s="15"/>
      <c r="F13" s="16">
        <v>913950.0</v>
      </c>
      <c r="G13" s="17">
        <v>143.0</v>
      </c>
      <c r="H13" s="17">
        <v>918950.0</v>
      </c>
      <c r="I13" s="45">
        <v>-5000.0</v>
      </c>
      <c r="J13" s="40" t="s">
        <v>24</v>
      </c>
      <c r="K13" s="47" t="s">
        <v>69</v>
      </c>
    </row>
    <row r="14">
      <c r="A14" s="35" t="s">
        <v>70</v>
      </c>
      <c r="B14" s="14">
        <v>131.0</v>
      </c>
      <c r="C14" s="15">
        <v>2116920.0</v>
      </c>
      <c r="D14" s="15"/>
      <c r="E14" s="15"/>
      <c r="F14" s="16">
        <v>2116920.0</v>
      </c>
      <c r="G14" s="17">
        <v>131.0</v>
      </c>
      <c r="H14" s="17">
        <v>2116920.0</v>
      </c>
      <c r="I14" s="45"/>
      <c r="J14" s="40" t="s">
        <v>53</v>
      </c>
      <c r="K14" s="47"/>
    </row>
    <row r="15">
      <c r="A15" s="31" t="s">
        <v>33</v>
      </c>
      <c r="B15" s="5"/>
      <c r="C15" s="5"/>
      <c r="D15" s="5"/>
      <c r="E15" s="6"/>
      <c r="F15" s="32">
        <f>SUM(F4:F13)</f>
        <v>8365398</v>
      </c>
      <c r="G15" s="33"/>
      <c r="H15" s="32">
        <f>SUM(H4:H13)</f>
        <v>8424538</v>
      </c>
      <c r="I15" s="34">
        <f>SUM(I4:I10)</f>
        <v>-29840</v>
      </c>
      <c r="J15" s="49"/>
      <c r="K15" s="49"/>
    </row>
    <row r="16">
      <c r="A16" s="2"/>
      <c r="B16" s="2"/>
      <c r="C16" s="2"/>
      <c r="D16" s="2"/>
      <c r="E16" s="2"/>
      <c r="F16" s="2"/>
      <c r="G16" s="2"/>
      <c r="H16" s="2"/>
      <c r="I16" s="2"/>
      <c r="J16" s="49"/>
      <c r="K16" s="49"/>
    </row>
    <row r="17">
      <c r="A17" s="2"/>
      <c r="B17" s="2"/>
      <c r="C17" s="2"/>
      <c r="D17" s="2"/>
      <c r="E17" s="2"/>
      <c r="F17" s="2"/>
      <c r="G17" s="2"/>
      <c r="H17" s="2"/>
      <c r="I17" s="2"/>
      <c r="J17" s="49"/>
      <c r="K17" s="49"/>
    </row>
    <row r="18">
      <c r="A18" s="2"/>
      <c r="B18" s="2"/>
      <c r="C18" s="2"/>
      <c r="D18" s="2"/>
      <c r="E18" s="2"/>
      <c r="F18" s="2"/>
      <c r="G18" s="2"/>
      <c r="H18" s="2"/>
      <c r="I18" s="2"/>
      <c r="J18" s="49"/>
      <c r="K18" s="49"/>
    </row>
    <row r="19">
      <c r="A19" s="2"/>
      <c r="B19" s="2"/>
      <c r="C19" s="2"/>
      <c r="D19" s="2"/>
      <c r="E19" s="2"/>
      <c r="F19" s="2"/>
      <c r="G19" s="2"/>
      <c r="H19" s="2"/>
      <c r="I19" s="2"/>
      <c r="J19" s="49"/>
      <c r="K19" s="49"/>
    </row>
    <row r="20">
      <c r="A20" s="2"/>
      <c r="B20" s="2"/>
      <c r="C20" s="2"/>
      <c r="D20" s="2"/>
      <c r="E20" s="2"/>
      <c r="F20" s="2"/>
      <c r="G20" s="2"/>
      <c r="H20" s="2"/>
      <c r="I20" s="2"/>
      <c r="J20" s="49"/>
      <c r="K20" s="49"/>
    </row>
    <row r="21">
      <c r="A21" s="2"/>
      <c r="B21" s="2"/>
      <c r="C21" s="2"/>
      <c r="D21" s="2"/>
      <c r="E21" s="2"/>
      <c r="F21" s="2"/>
      <c r="G21" s="2"/>
      <c r="H21" s="2"/>
      <c r="I21" s="2"/>
      <c r="J21" s="49"/>
      <c r="K21" s="49"/>
    </row>
    <row r="22">
      <c r="A22" s="2"/>
      <c r="B22" s="2"/>
      <c r="C22" s="2"/>
      <c r="D22" s="2"/>
      <c r="E22" s="2"/>
      <c r="F22" s="2"/>
      <c r="G22" s="2"/>
      <c r="H22" s="2"/>
      <c r="I22" s="2"/>
      <c r="J22" s="49"/>
      <c r="K22" s="49"/>
    </row>
    <row r="23">
      <c r="A23" s="2"/>
      <c r="B23" s="2"/>
      <c r="C23" s="2"/>
      <c r="D23" s="2"/>
      <c r="E23" s="2"/>
      <c r="F23" s="2"/>
      <c r="G23" s="2"/>
      <c r="H23" s="2"/>
      <c r="I23" s="2"/>
      <c r="J23" s="49"/>
      <c r="K23" s="49"/>
    </row>
    <row r="24">
      <c r="A24" s="2"/>
      <c r="B24" s="2"/>
      <c r="C24" s="2"/>
      <c r="D24" s="2"/>
      <c r="E24" s="2"/>
      <c r="F24" s="2"/>
      <c r="G24" s="2"/>
      <c r="H24" s="2"/>
      <c r="I24" s="2"/>
      <c r="J24" s="49"/>
      <c r="K24" s="49"/>
    </row>
    <row r="25">
      <c r="A25" s="2"/>
      <c r="B25" s="2"/>
      <c r="C25" s="2"/>
      <c r="D25" s="2"/>
      <c r="E25" s="2"/>
      <c r="F25" s="2"/>
      <c r="G25" s="2"/>
      <c r="H25" s="2"/>
      <c r="I25" s="2"/>
      <c r="J25" s="49"/>
      <c r="K25" s="49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
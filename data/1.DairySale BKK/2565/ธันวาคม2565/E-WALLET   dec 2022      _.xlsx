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-12-65" sheetId="1" r:id="rId4"/>
    <sheet state="visible" name="4.12.65" sheetId="2" r:id="rId5"/>
    <sheet state="visible" name="6.12.65" sheetId="3" r:id="rId6"/>
    <sheet state="visible" name="7.12.65" sheetId="4" r:id="rId7"/>
    <sheet state="visible" name="สำเนาของ 7.12.65" sheetId="5" r:id="rId8"/>
    <sheet state="visible" name="12.12.65" sheetId="6" r:id="rId9"/>
    <sheet state="visible" name="13.12.65" sheetId="7" r:id="rId10"/>
    <sheet state="visible" name="14.12.65" sheetId="8" r:id="rId11"/>
    <sheet state="visible" name="15.12.65" sheetId="9" r:id="rId12"/>
    <sheet state="visible" name="20.12.65" sheetId="10" r:id="rId13"/>
    <sheet state="visible" name="21.12.65" sheetId="11" r:id="rId14"/>
    <sheet state="visible" name="24.12.65" sheetId="12" r:id="rId15"/>
    <sheet state="visible" name="25.12.65" sheetId="13" r:id="rId16"/>
    <sheet state="visible" name="26.12.65" sheetId="14" r:id="rId17"/>
    <sheet state="visible" name="28.12.65" sheetId="15" r:id="rId18"/>
  </sheets>
  <definedNames/>
  <calcPr/>
</workbook>
</file>

<file path=xl/sharedStrings.xml><?xml version="1.0" encoding="utf-8"?>
<sst xmlns="http://schemas.openxmlformats.org/spreadsheetml/2006/main" count="359" uniqueCount="97">
  <si>
    <t xml:space="preserve">                              E-WALLET  03 dec 2022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</si>
  <si>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</si>
  <si>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</si>
  <si>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</si>
  <si>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</si>
  <si>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</si>
  <si>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</si>
  <si>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</si>
  <si>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</si>
  <si>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</si>
  <si>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</si>
  <si>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</si>
  <si>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</si>
  <si>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</si>
  <si>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</si>
  <si>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</si>
  <si>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</si>
  <si>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</si>
  <si>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ETHONLIN2212000009</t>
  </si>
  <si>
    <t>นางสาว กัญญาภัค กำเหนิดผล</t>
  </si>
  <si>
    <t>ETHBKK012212000011</t>
  </si>
  <si>
    <t>ห้างหุ้นส่วนจำกัด ไดม่อนอันดามัน เน็ตเวิร์ค (สำนักงานใหญ่)</t>
  </si>
  <si>
    <t>ETHBKK012212000012</t>
  </si>
  <si>
    <t>นาย ปริญพัชร์ ศรีศุภณัฐธนากุล</t>
  </si>
  <si>
    <t>ETHBKK012212000013</t>
  </si>
  <si>
    <t>นางสาว จินตนา อ่อนหวาน</t>
  </si>
  <si>
    <t>ETHBKK012212000014</t>
  </si>
  <si>
    <t>นางสาว ลำยง เถื่อนนก</t>
  </si>
  <si>
    <t>ETHBKK012212000015</t>
  </si>
  <si>
    <t>นาง อัมพร กุลศัตยาภิรมย์</t>
  </si>
  <si>
    <t>-</t>
  </si>
  <si>
    <t xml:space="preserve"> </t>
  </si>
  <si>
    <t xml:space="preserve">                              E-WALLET  04 dec 2022                                                                                                        </t>
  </si>
  <si>
    <t>ETHONLIN2212000010</t>
  </si>
  <si>
    <t>นางสาว รัชตวรรณ เนาวสินธ์</t>
  </si>
  <si>
    <t>ETHBKK012212000016</t>
  </si>
  <si>
    <t>นาย สมบัติ ลักษณะวิลัย</t>
  </si>
  <si>
    <t>ETHBKK012212000017</t>
  </si>
  <si>
    <t>นาย อนันต์ พันธ์จันทร์</t>
  </si>
  <si>
    <t xml:space="preserve">                              E-WALLET  06 dec 2022                                                                                                        </t>
  </si>
  <si>
    <t>ETHBKK012212000018</t>
  </si>
  <si>
    <t>นางสาว สุภาพร เคล้าเครือ</t>
  </si>
  <si>
    <t>ETHBKK012212000019</t>
  </si>
  <si>
    <t>นางสาว ธีรนุช ซุ่นสั้น</t>
  </si>
  <si>
    <t>ETHBKK012212000020</t>
  </si>
  <si>
    <t>ETHBKK012212000021</t>
  </si>
  <si>
    <t xml:space="preserve">                              E-WALLET  07 dec 2022                                                                                                        </t>
  </si>
  <si>
    <t>ETHBKK012212000022</t>
  </si>
  <si>
    <t>นาย บุญสม อุดมรักษ์</t>
  </si>
  <si>
    <t xml:space="preserve">                              E-WALLET  08 dec 2022                                                                                                        </t>
  </si>
  <si>
    <t>ETHBKK012212000023</t>
  </si>
  <si>
    <t>นาย ศราวุฒน์ สินธุวรโรจน์</t>
  </si>
  <si>
    <t xml:space="preserve">                              E-WALLET  12 dec 2022                                                                                                        </t>
  </si>
  <si>
    <t>ETHBKK012212000025</t>
  </si>
  <si>
    <t>นาย บุญเลิด จันทะวง</t>
  </si>
  <si>
    <t>ETHBKK012212000026</t>
  </si>
  <si>
    <t>นาย ประทีป อุรุวรรณ</t>
  </si>
  <si>
    <t xml:space="preserve">                              E-WALLET  13 dec 2022                                                                                                        </t>
  </si>
  <si>
    <t>ETHBKK012212000027</t>
  </si>
  <si>
    <t>บริษัท เศรษฐกวี จำกัด ( สำนักงานใหญ่ )</t>
  </si>
  <si>
    <t>ETHBKK012212000028</t>
  </si>
  <si>
    <t>ห้างหุ้นส่วนจำกัด โกรท โกลเบิล เน็ตเวิร์ก (สำนักงานใหญ่)</t>
  </si>
  <si>
    <t>ETHBKK012212000029</t>
  </si>
  <si>
    <t>นาย บุญเลิศ รวมวินิจ</t>
  </si>
  <si>
    <t xml:space="preserve">                              E-WALLET  14 dec 2022                                                                                                        </t>
  </si>
  <si>
    <t>ETHBKK012212000030</t>
  </si>
  <si>
    <t>มธุรา ชาติสุทธิ์</t>
  </si>
  <si>
    <t xml:space="preserve">                              E-WALLET  15 dec 2022                                                                                                        </t>
  </si>
  <si>
    <t>ETHBKK012212000031</t>
  </si>
  <si>
    <t>นาย พงศฺณุวัฒน์ ผะดาสีณิกุล</t>
  </si>
  <si>
    <t xml:space="preserve">                              E-WALLET  20 dec 2022                                                                                                        </t>
  </si>
  <si>
    <t>ETHBKK012212000032</t>
  </si>
  <si>
    <t>นางสาว พิมพ์มาดา เงางาม</t>
  </si>
  <si>
    <t xml:space="preserve">                              E-WALLET  21 dec 2022                                                                                                        </t>
  </si>
  <si>
    <t>ETHBKK012212000033</t>
  </si>
  <si>
    <t>นางสาว ภัทรพิดา อุ่นโสดา</t>
  </si>
  <si>
    <t>ETHBKK012212000034</t>
  </si>
  <si>
    <t>นาย พัฒน์รดิศ สุพัฒน์วณิชกร</t>
  </si>
  <si>
    <t xml:space="preserve">                              E-WALLET  24 dec 2022                                                                                                        </t>
  </si>
  <si>
    <t>ETHONLIN2212000033</t>
  </si>
  <si>
    <t>นางสาว ศศกร อมตวงษ์</t>
  </si>
  <si>
    <t>ETHONLIN2212000032</t>
  </si>
  <si>
    <t>ETHBKK012212000037</t>
  </si>
  <si>
    <t>นาย สามภพ คงเมือง</t>
  </si>
  <si>
    <t xml:space="preserve">                              E-WALLET  25 dec 2022                                                                                                        </t>
  </si>
  <si>
    <t>ETHONLIN2212000034</t>
  </si>
  <si>
    <t xml:space="preserve">                              E-WALLET  26 dec 2022                                                                                                        </t>
  </si>
  <si>
    <t>ETHBKK012212000039</t>
  </si>
  <si>
    <t>นาย ธนกร อภัยพงศ์</t>
  </si>
  <si>
    <t>ETHONLIN2212000036</t>
  </si>
  <si>
    <t>ETHONLIN2212000037</t>
  </si>
  <si>
    <t>ETHONLIN2212000038</t>
  </si>
  <si>
    <t xml:space="preserve">                              E-WALLET  28 dec 2022                                                                                                        </t>
  </si>
  <si>
    <t>ETHONLIN2212000041</t>
  </si>
  <si>
    <t>นาง สุนีย์ อ่อนรักษ์</t>
  </si>
  <si>
    <t>ETHBKK012212000040</t>
  </si>
  <si>
    <t>นางสาว หนึ่งฤทัย หอมละออ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</si>
</sst>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3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theme="1"/>
      <name val="Arial"/>
    </font>
    <font>
      <sz val="14.0"/>
      <color rgb="FFFF0000"/>
      <name val="Calibri"/>
    </font>
    <font>
      <b/>
      <sz val="18.0"/>
      <color rgb="FFFF0000"/>
      <name val="Calibri"/>
    </font>
    <font>
      <sz val="14.0"/>
      <color rgb="FFFF0000"/>
      <name val="Arial"/>
    </font>
    <font>
      <sz val="14.0"/>
      <color theme="1"/>
      <name val="Arial"/>
      <scheme val="minor"/>
    </font>
    <font>
      <b/>
      <sz val="1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top"/>
    </xf>
    <xf borderId="5" fillId="0" fontId="2" numFmtId="0" xfId="0" applyBorder="1" applyFont="1"/>
    <xf borderId="2" fillId="3" fontId="4" numFmtId="0" xfId="0" applyAlignment="1" applyBorder="1" applyFont="1">
      <alignment horizontal="center" vertical="bottom"/>
    </xf>
    <xf borderId="5" fillId="4" fontId="6" numFmtId="0" xfId="0" applyAlignment="1" applyBorder="1" applyFill="1" applyFont="1">
      <alignment horizontal="center" readingOrder="0" vertical="bottom"/>
    </xf>
    <xf borderId="2" fillId="0" fontId="7" numFmtId="165" xfId="0" applyAlignment="1" applyBorder="1" applyFont="1" applyNumberFormat="1">
      <alignment horizontal="center" readingOrder="0" vertical="bottom"/>
    </xf>
    <xf borderId="2" fillId="0" fontId="7" numFmtId="4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4" fontId="7" numFmtId="38" xfId="0" applyAlignment="1" applyBorder="1" applyFont="1" applyNumberFormat="1">
      <alignment vertical="bottom"/>
    </xf>
    <xf borderId="2" fillId="4" fontId="7" numFmtId="38" xfId="0" applyAlignment="1" applyBorder="1" applyFont="1" applyNumberFormat="1">
      <alignment readingOrder="0" vertical="bottom"/>
    </xf>
    <xf borderId="2" fillId="0" fontId="7" numFmtId="38" xfId="0" applyAlignment="1" applyBorder="1" applyFont="1" applyNumberFormat="1">
      <alignment vertical="bottom"/>
    </xf>
    <xf borderId="2" fillId="0" fontId="7" numFmtId="38" xfId="0" applyAlignment="1" applyBorder="1" applyFont="1" applyNumberFormat="1">
      <alignment readingOrder="0" vertical="bottom"/>
    </xf>
    <xf borderId="2" fillId="0" fontId="8" numFmtId="38" xfId="0" applyAlignment="1" applyBorder="1" applyFont="1" applyNumberFormat="1">
      <alignment horizontal="right" vertical="bottom"/>
    </xf>
    <xf borderId="0" fillId="4" fontId="3" numFmtId="0" xfId="0" applyAlignment="1" applyFont="1">
      <alignment vertical="bottom"/>
    </xf>
    <xf borderId="5" fillId="4" fontId="6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6" fillId="4" fontId="4" numFmtId="166" xfId="0" applyAlignment="1" applyBorder="1" applyFont="1" applyNumberFormat="1">
      <alignment horizontal="center" readingOrder="0" vertical="bottom"/>
    </xf>
    <xf borderId="6" fillId="4" fontId="4" numFmtId="166" xfId="0" applyAlignment="1" applyBorder="1" applyFont="1" applyNumberFormat="1">
      <alignment horizontal="center" vertical="bottom"/>
    </xf>
    <xf borderId="6" fillId="4" fontId="9" numFmtId="166" xfId="0" applyAlignment="1" applyBorder="1" applyFont="1" applyNumberFormat="1">
      <alignment horizontal="right" readingOrder="0" vertical="bottom"/>
    </xf>
    <xf borderId="0" fillId="4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4" fillId="4" fontId="7" numFmtId="38" xfId="0" applyAlignment="1" applyBorder="1" applyFont="1" applyNumberFormat="1">
      <alignment readingOrder="0" vertical="bottom"/>
    </xf>
    <xf borderId="4" fillId="4" fontId="7" numFmtId="38" xfId="0" applyAlignment="1" applyBorder="1" applyFont="1" applyNumberFormat="1">
      <alignment vertical="bottom"/>
    </xf>
    <xf borderId="4" fillId="0" fontId="7" numFmtId="38" xfId="0" applyAlignment="1" applyBorder="1" applyFont="1" applyNumberFormat="1">
      <alignment vertical="bottom"/>
    </xf>
    <xf borderId="1" fillId="0" fontId="7" numFmtId="0" xfId="0" applyAlignment="1" applyBorder="1" applyFont="1">
      <alignment vertical="bottom"/>
    </xf>
    <xf borderId="7" fillId="4" fontId="4" numFmtId="166" xfId="0" applyAlignment="1" applyBorder="1" applyFont="1" applyNumberFormat="1">
      <alignment horizontal="center" readingOrder="0" vertical="bottom"/>
    </xf>
    <xf borderId="8" fillId="4" fontId="4" numFmtId="166" xfId="0" applyAlignment="1" applyBorder="1" applyFont="1" applyNumberFormat="1">
      <alignment horizontal="right" readingOrder="0" vertical="bottom"/>
    </xf>
    <xf borderId="8" fillId="4" fontId="4" numFmtId="166" xfId="0" applyAlignment="1" applyBorder="1" applyFont="1" applyNumberFormat="1">
      <alignment horizontal="center" readingOrder="0" vertical="bottom"/>
    </xf>
    <xf borderId="9" fillId="4" fontId="4" numFmtId="166" xfId="0" applyAlignment="1" applyBorder="1" applyFont="1" applyNumberFormat="1">
      <alignment horizontal="center" readingOrder="0" vertical="bottom"/>
    </xf>
    <xf borderId="6" fillId="4" fontId="6" numFmtId="0" xfId="0" applyAlignment="1" applyBorder="1" applyFont="1">
      <alignment horizontal="center" readingOrder="0" vertical="bottom"/>
    </xf>
    <xf borderId="6" fillId="0" fontId="7" numFmtId="165" xfId="0" applyAlignment="1" applyBorder="1" applyFont="1" applyNumberFormat="1">
      <alignment horizontal="center" readingOrder="0" vertical="bottom"/>
    </xf>
    <xf borderId="6" fillId="0" fontId="7" numFmtId="4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4" fontId="7" numFmtId="38" xfId="0" applyAlignment="1" applyBorder="1" applyFont="1" applyNumberFormat="1">
      <alignment vertical="bottom"/>
    </xf>
    <xf borderId="6" fillId="4" fontId="7" numFmtId="38" xfId="0" applyAlignment="1" applyBorder="1" applyFont="1" applyNumberFormat="1">
      <alignment readingOrder="0" vertical="bottom"/>
    </xf>
    <xf borderId="6" fillId="0" fontId="7" numFmtId="38" xfId="0" applyAlignment="1" applyBorder="1" applyFont="1" applyNumberFormat="1">
      <alignment readingOrder="0" vertical="bottom"/>
    </xf>
    <xf borderId="2" fillId="0" fontId="8" numFmtId="38" xfId="0" applyAlignment="1" applyBorder="1" applyFont="1" applyNumberFormat="1">
      <alignment horizontal="right" readingOrder="0" vertical="bottom"/>
    </xf>
    <xf borderId="6" fillId="0" fontId="7" numFmtId="38" xfId="0" applyAlignment="1" applyBorder="1" applyFont="1" applyNumberFormat="1">
      <alignment vertical="bottom"/>
    </xf>
    <xf borderId="6" fillId="0" fontId="11" numFmtId="0" xfId="0" applyAlignment="1" applyBorder="1" applyFont="1">
      <alignment horizontal="center" readingOrder="0"/>
    </xf>
    <xf borderId="8" fillId="4" fontId="12" numFmtId="166" xfId="0" applyAlignment="1" applyBorder="1" applyFont="1" applyNumberFormat="1">
      <alignment horizontal="center" readingOrder="0" vertical="bottom"/>
    </xf>
    <xf borderId="9" fillId="4" fontId="4" numFmtId="166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44898.0</v>
      </c>
      <c r="C5" s="16" t="s">
        <v>18</v>
      </c>
      <c r="D5" s="17">
        <v>48657.0</v>
      </c>
      <c r="E5" s="18" t="s">
        <v>19</v>
      </c>
      <c r="F5" s="19"/>
      <c r="G5" s="19"/>
      <c r="H5" s="20">
        <v>6450.0</v>
      </c>
      <c r="I5" s="19"/>
      <c r="J5" s="19"/>
      <c r="K5" s="21"/>
      <c r="L5" s="22">
        <v>6450.0</v>
      </c>
      <c r="M5" s="23">
        <f t="shared" ref="M5:M10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44898.0</v>
      </c>
      <c r="C6" s="16" t="s">
        <v>20</v>
      </c>
      <c r="D6" s="17">
        <v>21818.0</v>
      </c>
      <c r="E6" s="18" t="s">
        <v>21</v>
      </c>
      <c r="F6" s="19"/>
      <c r="G6" s="19"/>
      <c r="H6" s="19"/>
      <c r="I6" s="19"/>
      <c r="J6" s="20">
        <v>4050.0</v>
      </c>
      <c r="K6" s="21"/>
      <c r="L6" s="22">
        <v>4050.0</v>
      </c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5">
        <v>3.0</v>
      </c>
      <c r="B7" s="15">
        <v>44898.0</v>
      </c>
      <c r="C7" s="16" t="s">
        <v>22</v>
      </c>
      <c r="D7" s="17">
        <v>10249.0</v>
      </c>
      <c r="E7" s="18" t="s">
        <v>23</v>
      </c>
      <c r="F7" s="19"/>
      <c r="G7" s="19"/>
      <c r="H7" s="19"/>
      <c r="I7" s="20">
        <v>182.0</v>
      </c>
      <c r="J7" s="19"/>
      <c r="K7" s="21"/>
      <c r="L7" s="22">
        <v>182.0</v>
      </c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5">
        <v>4.0</v>
      </c>
      <c r="B8" s="15">
        <v>44898.0</v>
      </c>
      <c r="C8" s="16" t="s">
        <v>24</v>
      </c>
      <c r="D8" s="17">
        <v>73589.0</v>
      </c>
      <c r="E8" s="18" t="s">
        <v>25</v>
      </c>
      <c r="F8" s="19"/>
      <c r="G8" s="19"/>
      <c r="H8" s="19"/>
      <c r="I8" s="19"/>
      <c r="J8" s="19"/>
      <c r="K8" s="22">
        <v>200.0</v>
      </c>
      <c r="L8" s="22">
        <v>200.0</v>
      </c>
      <c r="M8" s="23">
        <f t="shared" si="1"/>
        <v>0</v>
      </c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5">
        <v>5.0</v>
      </c>
      <c r="B9" s="15">
        <v>44898.0</v>
      </c>
      <c r="C9" s="16" t="s">
        <v>26</v>
      </c>
      <c r="D9" s="17">
        <v>36996.0</v>
      </c>
      <c r="E9" s="18" t="s">
        <v>27</v>
      </c>
      <c r="F9" s="19"/>
      <c r="G9" s="19"/>
      <c r="H9" s="19"/>
      <c r="I9" s="20">
        <v>130.0</v>
      </c>
      <c r="J9" s="19"/>
      <c r="K9" s="21"/>
      <c r="L9" s="22">
        <v>130.0</v>
      </c>
      <c r="M9" s="23">
        <f t="shared" si="1"/>
        <v>0</v>
      </c>
      <c r="N9" s="21"/>
      <c r="O9" s="2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15">
        <v>44898.0</v>
      </c>
      <c r="C10" s="17" t="s">
        <v>28</v>
      </c>
      <c r="D10" s="17">
        <v>33054.0</v>
      </c>
      <c r="E10" s="18" t="s">
        <v>29</v>
      </c>
      <c r="F10" s="20"/>
      <c r="G10" s="19"/>
      <c r="H10" s="19"/>
      <c r="I10" s="19"/>
      <c r="J10" s="20">
        <v>200.0</v>
      </c>
      <c r="K10" s="21"/>
      <c r="L10" s="22">
        <v>200.0</v>
      </c>
      <c r="M10" s="23">
        <f t="shared" si="1"/>
        <v>0</v>
      </c>
      <c r="N10" s="21"/>
      <c r="O10" s="24"/>
      <c r="P10" s="2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6"/>
      <c r="B11" s="27"/>
      <c r="C11" s="27"/>
      <c r="D11" s="27"/>
      <c r="E11" s="27"/>
      <c r="F11" s="28" t="s">
        <v>30</v>
      </c>
      <c r="G11" s="28" t="s">
        <v>30</v>
      </c>
      <c r="H11" s="29">
        <f t="shared" ref="H11:L11" si="2">SUM(H5:H10)</f>
        <v>6450</v>
      </c>
      <c r="I11" s="29">
        <f t="shared" si="2"/>
        <v>312</v>
      </c>
      <c r="J11" s="29">
        <f t="shared" si="2"/>
        <v>4250</v>
      </c>
      <c r="K11" s="29">
        <f t="shared" si="2"/>
        <v>200</v>
      </c>
      <c r="L11" s="30">
        <f t="shared" si="2"/>
        <v>11212</v>
      </c>
      <c r="M11" s="29"/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34" t="s">
        <v>31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</cols>
  <sheetData>
    <row r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44899.0</v>
      </c>
      <c r="C5" s="16" t="s">
        <v>33</v>
      </c>
      <c r="D5" s="17">
        <v>23221.0</v>
      </c>
      <c r="E5" s="18" t="s">
        <v>34</v>
      </c>
      <c r="F5" s="19"/>
      <c r="G5" s="19"/>
      <c r="H5" s="20"/>
      <c r="I5" s="19"/>
      <c r="J5" s="19"/>
      <c r="K5" s="22">
        <v>168.0</v>
      </c>
      <c r="L5" s="22">
        <v>168.0</v>
      </c>
      <c r="M5" s="23">
        <f t="shared" ref="M5:M10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44899.0</v>
      </c>
      <c r="C6" s="16" t="s">
        <v>35</v>
      </c>
      <c r="D6" s="17">
        <v>50079.0</v>
      </c>
      <c r="E6" s="18" t="s">
        <v>36</v>
      </c>
      <c r="F6" s="19"/>
      <c r="G6" s="19"/>
      <c r="H6" s="19"/>
      <c r="I6" s="20">
        <v>355.0</v>
      </c>
      <c r="J6" s="20"/>
      <c r="K6" s="21"/>
      <c r="L6" s="22">
        <v>355.0</v>
      </c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5">
        <v>3.0</v>
      </c>
      <c r="B7" s="15">
        <v>44899.0</v>
      </c>
      <c r="C7" s="16" t="s">
        <v>37</v>
      </c>
      <c r="D7" s="17">
        <v>50077.0</v>
      </c>
      <c r="E7" s="18" t="s">
        <v>38</v>
      </c>
      <c r="F7" s="19"/>
      <c r="G7" s="19"/>
      <c r="H7" s="19"/>
      <c r="I7" s="20">
        <v>715.0</v>
      </c>
      <c r="J7" s="19"/>
      <c r="K7" s="21"/>
      <c r="L7" s="22">
        <v>715.0</v>
      </c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5">
        <v>4.0</v>
      </c>
      <c r="B8" s="15"/>
      <c r="C8" s="16"/>
      <c r="D8" s="17"/>
      <c r="E8" s="18"/>
      <c r="F8" s="19"/>
      <c r="G8" s="19"/>
      <c r="H8" s="19"/>
      <c r="I8" s="19"/>
      <c r="J8" s="19"/>
      <c r="K8" s="22"/>
      <c r="L8" s="22"/>
      <c r="M8" s="23">
        <f t="shared" si="1"/>
        <v>0</v>
      </c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5">
        <v>5.0</v>
      </c>
      <c r="B9" s="15"/>
      <c r="C9" s="16"/>
      <c r="D9" s="17"/>
      <c r="E9" s="18"/>
      <c r="F9" s="19"/>
      <c r="G9" s="19"/>
      <c r="H9" s="19"/>
      <c r="I9" s="20"/>
      <c r="J9" s="19"/>
      <c r="K9" s="21"/>
      <c r="L9" s="22"/>
      <c r="M9" s="23">
        <f t="shared" si="1"/>
        <v>0</v>
      </c>
      <c r="N9" s="21"/>
      <c r="O9" s="2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15"/>
      <c r="C10" s="17"/>
      <c r="D10" s="17"/>
      <c r="E10" s="18"/>
      <c r="F10" s="20"/>
      <c r="G10" s="19"/>
      <c r="H10" s="19"/>
      <c r="I10" s="19"/>
      <c r="J10" s="20"/>
      <c r="K10" s="21"/>
      <c r="L10" s="22"/>
      <c r="M10" s="23">
        <f t="shared" si="1"/>
        <v>0</v>
      </c>
      <c r="N10" s="21"/>
      <c r="O10" s="24"/>
      <c r="P10" s="2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6"/>
      <c r="B11" s="27"/>
      <c r="C11" s="27"/>
      <c r="D11" s="27"/>
      <c r="E11" s="27"/>
      <c r="F11" s="28" t="s">
        <v>30</v>
      </c>
      <c r="G11" s="28" t="s">
        <v>30</v>
      </c>
      <c r="H11" s="29">
        <f t="shared" ref="H11:L11" si="2">SUM(H5:H10)</f>
        <v>0</v>
      </c>
      <c r="I11" s="29">
        <f t="shared" si="2"/>
        <v>1070</v>
      </c>
      <c r="J11" s="29">
        <f t="shared" si="2"/>
        <v>0</v>
      </c>
      <c r="K11" s="29">
        <f t="shared" si="2"/>
        <v>168</v>
      </c>
      <c r="L11" s="30">
        <f t="shared" si="2"/>
        <v>1238</v>
      </c>
      <c r="M11" s="29"/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34" t="s">
        <v>31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</cols>
  <sheetData>
    <row r="1">
      <c r="A1" s="1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44901.0</v>
      </c>
      <c r="C5" s="16" t="s">
        <v>40</v>
      </c>
      <c r="D5" s="17">
        <v>65232.0</v>
      </c>
      <c r="E5" s="18" t="s">
        <v>41</v>
      </c>
      <c r="F5" s="19"/>
      <c r="G5" s="19"/>
      <c r="H5" s="20"/>
      <c r="I5" s="20">
        <v>290.0</v>
      </c>
      <c r="J5" s="19"/>
      <c r="K5" s="22"/>
      <c r="L5" s="22">
        <v>290.0</v>
      </c>
      <c r="M5" s="23">
        <f t="shared" ref="M5:M10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44901.0</v>
      </c>
      <c r="C6" s="16" t="s">
        <v>42</v>
      </c>
      <c r="D6" s="17">
        <v>69143.0</v>
      </c>
      <c r="E6" s="18" t="s">
        <v>43</v>
      </c>
      <c r="F6" s="19"/>
      <c r="G6" s="19"/>
      <c r="H6" s="19"/>
      <c r="I6" s="20">
        <v>1000.0</v>
      </c>
      <c r="J6" s="20"/>
      <c r="K6" s="21"/>
      <c r="L6" s="22">
        <v>1000.0</v>
      </c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5">
        <v>3.0</v>
      </c>
      <c r="B7" s="15">
        <v>44901.0</v>
      </c>
      <c r="C7" s="16" t="s">
        <v>44</v>
      </c>
      <c r="D7" s="17">
        <v>21818.0</v>
      </c>
      <c r="E7" s="18" t="s">
        <v>21</v>
      </c>
      <c r="F7" s="19"/>
      <c r="G7" s="19"/>
      <c r="H7" s="19"/>
      <c r="I7" s="20">
        <v>900.0</v>
      </c>
      <c r="J7" s="19"/>
      <c r="K7" s="21"/>
      <c r="L7" s="22">
        <v>900.0</v>
      </c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5">
        <v>4.0</v>
      </c>
      <c r="B8" s="15">
        <v>44901.0</v>
      </c>
      <c r="C8" s="16" t="s">
        <v>45</v>
      </c>
      <c r="D8" s="17">
        <v>21818.0</v>
      </c>
      <c r="E8" s="18" t="s">
        <v>21</v>
      </c>
      <c r="F8" s="19"/>
      <c r="G8" s="19"/>
      <c r="H8" s="19"/>
      <c r="I8" s="20">
        <v>6000.0</v>
      </c>
      <c r="J8" s="19"/>
      <c r="K8" s="22"/>
      <c r="L8" s="22">
        <v>6000.0</v>
      </c>
      <c r="M8" s="23">
        <f t="shared" si="1"/>
        <v>0</v>
      </c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5">
        <v>5.0</v>
      </c>
      <c r="B9" s="15"/>
      <c r="C9" s="16"/>
      <c r="D9" s="17"/>
      <c r="E9" s="18"/>
      <c r="F9" s="19"/>
      <c r="G9" s="19"/>
      <c r="H9" s="19"/>
      <c r="I9" s="20"/>
      <c r="J9" s="19"/>
      <c r="K9" s="21"/>
      <c r="L9" s="22"/>
      <c r="M9" s="23">
        <f t="shared" si="1"/>
        <v>0</v>
      </c>
      <c r="N9" s="21"/>
      <c r="O9" s="2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15"/>
      <c r="C10" s="17"/>
      <c r="D10" s="17"/>
      <c r="E10" s="18"/>
      <c r="F10" s="35"/>
      <c r="G10" s="36"/>
      <c r="H10" s="36"/>
      <c r="I10" s="36">
        <f>SUM(I5:I9)</f>
        <v>8190</v>
      </c>
      <c r="J10" s="35"/>
      <c r="K10" s="37"/>
      <c r="L10" s="22">
        <f>SUM(L5:L9)</f>
        <v>8190</v>
      </c>
      <c r="M10" s="23">
        <f t="shared" si="1"/>
        <v>0</v>
      </c>
      <c r="N10" s="21"/>
      <c r="O10" s="24"/>
      <c r="P10" s="2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6"/>
      <c r="B11" s="27"/>
      <c r="C11" s="27"/>
      <c r="D11" s="27"/>
      <c r="E11" s="38"/>
      <c r="F11" s="39">
        <f>SUM(F10+G10+H10+I10+J10+K10)</f>
        <v>8190</v>
      </c>
      <c r="G11" s="40"/>
      <c r="H11" s="41"/>
      <c r="I11" s="41"/>
      <c r="J11" s="41"/>
      <c r="K11" s="42"/>
      <c r="L11" s="42"/>
      <c r="M11" s="29"/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34" t="s">
        <v>31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</cols>
  <sheetData>
    <row r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44902.0</v>
      </c>
      <c r="C5" s="16" t="s">
        <v>47</v>
      </c>
      <c r="D5" s="17">
        <v>16390.0</v>
      </c>
      <c r="E5" s="18" t="s">
        <v>48</v>
      </c>
      <c r="F5" s="19"/>
      <c r="G5" s="19"/>
      <c r="H5" s="20"/>
      <c r="I5" s="20"/>
      <c r="J5" s="20">
        <v>600.0</v>
      </c>
      <c r="K5" s="22"/>
      <c r="L5" s="22">
        <v>600.0</v>
      </c>
      <c r="M5" s="23">
        <f t="shared" ref="M5:M10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/>
      <c r="C6" s="16"/>
      <c r="D6" s="17"/>
      <c r="E6" s="18"/>
      <c r="F6" s="19"/>
      <c r="G6" s="19"/>
      <c r="H6" s="19"/>
      <c r="I6" s="20"/>
      <c r="J6" s="20"/>
      <c r="K6" s="21"/>
      <c r="L6" s="22"/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5">
        <v>3.0</v>
      </c>
      <c r="B7" s="15"/>
      <c r="C7" s="16"/>
      <c r="D7" s="17"/>
      <c r="E7" s="18"/>
      <c r="F7" s="19"/>
      <c r="G7" s="19"/>
      <c r="H7" s="19"/>
      <c r="I7" s="20"/>
      <c r="J7" s="19"/>
      <c r="K7" s="21"/>
      <c r="L7" s="22"/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5">
        <v>4.0</v>
      </c>
      <c r="B8" s="15"/>
      <c r="C8" s="16"/>
      <c r="D8" s="17"/>
      <c r="E8" s="18"/>
      <c r="F8" s="19"/>
      <c r="G8" s="19"/>
      <c r="H8" s="19"/>
      <c r="I8" s="20"/>
      <c r="J8" s="19"/>
      <c r="K8" s="22"/>
      <c r="L8" s="22"/>
      <c r="M8" s="23">
        <f t="shared" si="1"/>
        <v>0</v>
      </c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5">
        <v>5.0</v>
      </c>
      <c r="B9" s="15"/>
      <c r="C9" s="16"/>
      <c r="D9" s="17"/>
      <c r="E9" s="18"/>
      <c r="F9" s="19"/>
      <c r="G9" s="19"/>
      <c r="H9" s="19"/>
      <c r="I9" s="20"/>
      <c r="J9" s="19"/>
      <c r="K9" s="21"/>
      <c r="L9" s="22"/>
      <c r="M9" s="23">
        <f t="shared" si="1"/>
        <v>0</v>
      </c>
      <c r="N9" s="21"/>
      <c r="O9" s="2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15"/>
      <c r="C10" s="17"/>
      <c r="D10" s="17"/>
      <c r="E10" s="18"/>
      <c r="F10" s="35"/>
      <c r="G10" s="36"/>
      <c r="H10" s="36"/>
      <c r="I10" s="36"/>
      <c r="J10" s="35">
        <f>SUM(J5:J9)</f>
        <v>600</v>
      </c>
      <c r="K10" s="37"/>
      <c r="L10" s="22">
        <f>SUM(L5:L9)</f>
        <v>600</v>
      </c>
      <c r="M10" s="23">
        <f t="shared" si="1"/>
        <v>0</v>
      </c>
      <c r="N10" s="21"/>
      <c r="O10" s="24"/>
      <c r="P10" s="2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6"/>
      <c r="B11" s="27"/>
      <c r="C11" s="27"/>
      <c r="D11" s="27"/>
      <c r="E11" s="38"/>
      <c r="F11" s="39">
        <f>SUM(F10+G10+H10+I10+J10+K10)</f>
        <v>600</v>
      </c>
      <c r="G11" s="40"/>
      <c r="H11" s="41"/>
      <c r="I11" s="41"/>
      <c r="J11" s="41"/>
      <c r="K11" s="42"/>
      <c r="L11" s="42"/>
      <c r="M11" s="29"/>
      <c r="N11" s="31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34" t="s">
        <v>31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</cols>
  <sheetData>
    <row r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44903.0</v>
      </c>
      <c r="C5" s="16" t="s">
        <v>50</v>
      </c>
      <c r="D5" s="17">
        <v>49194.0</v>
      </c>
      <c r="E5" s="18" t="s">
        <v>51</v>
      </c>
      <c r="F5" s="19"/>
      <c r="G5" s="19"/>
      <c r="H5" s="20"/>
      <c r="I5" s="20">
        <v>337.0</v>
      </c>
      <c r="J5" s="20"/>
      <c r="K5" s="22"/>
      <c r="L5" s="22">
        <v>337.0</v>
      </c>
      <c r="M5" s="23">
        <f t="shared" ref="M5:M6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/>
      <c r="B6" s="15"/>
      <c r="C6" s="17"/>
      <c r="D6" s="17"/>
      <c r="E6" s="18"/>
      <c r="F6" s="35"/>
      <c r="G6" s="36"/>
      <c r="H6" s="36"/>
      <c r="I6" s="36"/>
      <c r="J6" s="35"/>
      <c r="K6" s="37"/>
      <c r="L6" s="22"/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6"/>
      <c r="B7" s="27"/>
      <c r="C7" s="27"/>
      <c r="D7" s="27"/>
      <c r="E7" s="38"/>
      <c r="F7" s="39">
        <f>SUM(F6+G6+H6+I6+J6+K6)</f>
        <v>0</v>
      </c>
      <c r="G7" s="40"/>
      <c r="H7" s="41"/>
      <c r="I7" s="41">
        <v>337.0</v>
      </c>
      <c r="J7" s="41"/>
      <c r="K7" s="42"/>
      <c r="L7" s="42"/>
      <c r="M7" s="29"/>
      <c r="N7" s="31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2"/>
      <c r="N8" s="3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34" t="s">
        <v>31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</cols>
  <sheetData>
    <row r="1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3">
        <v>1.0</v>
      </c>
      <c r="B5" s="44">
        <v>44907.0</v>
      </c>
      <c r="C5" s="45" t="s">
        <v>53</v>
      </c>
      <c r="D5" s="46">
        <v>61596.0</v>
      </c>
      <c r="E5" s="47" t="s">
        <v>54</v>
      </c>
      <c r="F5" s="48"/>
      <c r="G5" s="48"/>
      <c r="H5" s="49"/>
      <c r="I5" s="49">
        <v>0.0</v>
      </c>
      <c r="J5" s="49"/>
      <c r="K5" s="50"/>
      <c r="L5" s="22">
        <v>20646.0</v>
      </c>
      <c r="M5" s="23">
        <f>SUM(F5+G5+H5+I5+J5+K5-L5)</f>
        <v>-20646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3">
        <v>2.0</v>
      </c>
      <c r="B6" s="44">
        <v>44907.0</v>
      </c>
      <c r="C6" s="45" t="s">
        <v>55</v>
      </c>
      <c r="D6" s="46">
        <v>68285.0</v>
      </c>
      <c r="E6" s="47" t="s">
        <v>56</v>
      </c>
      <c r="F6" s="48"/>
      <c r="G6" s="48"/>
      <c r="H6" s="49"/>
      <c r="I6" s="49">
        <v>200.0</v>
      </c>
      <c r="J6" s="49"/>
      <c r="K6" s="50"/>
      <c r="L6" s="22">
        <v>200.0</v>
      </c>
      <c r="M6" s="51">
        <v>-200.0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3"/>
      <c r="B7" s="44"/>
      <c r="C7" s="46"/>
      <c r="D7" s="46"/>
      <c r="E7" s="47"/>
      <c r="F7" s="49"/>
      <c r="G7" s="48"/>
      <c r="H7" s="48"/>
      <c r="I7" s="48">
        <f>SUM(I5:I6)</f>
        <v>200</v>
      </c>
      <c r="J7" s="49"/>
      <c r="K7" s="52"/>
      <c r="L7" s="22">
        <f>SUM(L5:L6)</f>
        <v>20846</v>
      </c>
      <c r="M7" s="23">
        <f>SUM(F7+G7+H7+I7+J7+K7-L7)</f>
        <v>-20646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6"/>
      <c r="B8" s="27"/>
      <c r="C8" s="27"/>
      <c r="D8" s="27"/>
      <c r="E8" s="38"/>
      <c r="F8" s="39"/>
      <c r="G8" s="40"/>
      <c r="H8" s="41"/>
      <c r="I8" s="41">
        <v>200.0</v>
      </c>
      <c r="J8" s="41"/>
      <c r="K8" s="42"/>
      <c r="L8" s="42"/>
      <c r="M8" s="29"/>
      <c r="N8" s="3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  <c r="M9" s="32"/>
      <c r="N9" s="3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34" t="s">
        <v>31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  <col customWidth="1" min="14" max="14" width="21.13"/>
  </cols>
  <sheetData>
    <row r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44908.0</v>
      </c>
      <c r="C5" s="45" t="s">
        <v>58</v>
      </c>
      <c r="D5" s="46">
        <v>35245.0</v>
      </c>
      <c r="E5" s="47" t="s">
        <v>59</v>
      </c>
      <c r="F5" s="48"/>
      <c r="G5" s="48"/>
      <c r="H5" s="49"/>
      <c r="I5" s="49">
        <v>5000.0</v>
      </c>
      <c r="J5" s="49"/>
      <c r="K5" s="50"/>
      <c r="L5" s="22">
        <v>5000.0</v>
      </c>
      <c r="M5" s="23">
        <f t="shared" ref="M5:M9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>
        <v>2.0</v>
      </c>
      <c r="B6" s="44">
        <v>44908.0</v>
      </c>
      <c r="C6" s="45" t="s">
        <v>60</v>
      </c>
      <c r="D6" s="46">
        <v>47787.0</v>
      </c>
      <c r="E6" s="47" t="s">
        <v>61</v>
      </c>
      <c r="F6" s="48"/>
      <c r="G6" s="48"/>
      <c r="H6" s="49"/>
      <c r="I6" s="49">
        <v>0.0</v>
      </c>
      <c r="J6" s="49"/>
      <c r="K6" s="50"/>
      <c r="L6" s="22">
        <v>20646.0</v>
      </c>
      <c r="M6" s="23">
        <f t="shared" si="1"/>
        <v>-20646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3">
        <v>3.0</v>
      </c>
      <c r="B7" s="44">
        <v>44908.0</v>
      </c>
      <c r="C7" s="45" t="s">
        <v>62</v>
      </c>
      <c r="D7" s="46">
        <v>49831.0</v>
      </c>
      <c r="E7" s="47" t="s">
        <v>63</v>
      </c>
      <c r="F7" s="48"/>
      <c r="G7" s="48"/>
      <c r="H7" s="49"/>
      <c r="I7" s="49"/>
      <c r="J7" s="49">
        <v>50.0</v>
      </c>
      <c r="K7" s="50"/>
      <c r="L7" s="22">
        <v>50.0</v>
      </c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3">
        <v>4.0</v>
      </c>
      <c r="B8" s="44"/>
      <c r="C8" s="45"/>
      <c r="D8" s="46"/>
      <c r="E8" s="47"/>
      <c r="F8" s="48"/>
      <c r="G8" s="48"/>
      <c r="H8" s="49"/>
      <c r="I8" s="49"/>
      <c r="J8" s="49"/>
      <c r="K8" s="50"/>
      <c r="L8" s="22"/>
      <c r="M8" s="23">
        <f t="shared" si="1"/>
        <v>0</v>
      </c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3">
        <v>5.0</v>
      </c>
      <c r="B9" s="44"/>
      <c r="C9" s="46"/>
      <c r="D9" s="46"/>
      <c r="E9" s="47"/>
      <c r="F9" s="49"/>
      <c r="G9" s="48"/>
      <c r="H9" s="48"/>
      <c r="I9" s="48">
        <f t="shared" ref="I9:J9" si="2">SUM(I5:I8)</f>
        <v>5000</v>
      </c>
      <c r="J9" s="49">
        <f t="shared" si="2"/>
        <v>50</v>
      </c>
      <c r="K9" s="52"/>
      <c r="L9" s="22">
        <f>SUM(L5:L8)</f>
        <v>25696</v>
      </c>
      <c r="M9" s="23">
        <f t="shared" si="1"/>
        <v>-20646</v>
      </c>
      <c r="N9" s="21"/>
      <c r="O9" s="2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6"/>
      <c r="B10" s="27"/>
      <c r="C10" s="27"/>
      <c r="D10" s="27"/>
      <c r="E10" s="38"/>
      <c r="F10" s="39"/>
      <c r="G10" s="40"/>
      <c r="H10" s="41"/>
      <c r="I10" s="41">
        <v>5050.0</v>
      </c>
      <c r="J10" s="41"/>
      <c r="K10" s="42"/>
      <c r="L10" s="42"/>
      <c r="M10" s="29"/>
      <c r="N10" s="3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2"/>
      <c r="N11" s="3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34" t="s">
        <v>31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  <col customWidth="1" min="14" max="14" width="21.13"/>
  </cols>
  <sheetData>
    <row r="1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44909.0</v>
      </c>
      <c r="C5" s="45" t="s">
        <v>65</v>
      </c>
      <c r="D5" s="46">
        <v>38098.0</v>
      </c>
      <c r="E5" s="47" t="s">
        <v>66</v>
      </c>
      <c r="F5" s="48"/>
      <c r="G5" s="48"/>
      <c r="H5" s="49"/>
      <c r="I5" s="49"/>
      <c r="J5" s="49">
        <v>561.0</v>
      </c>
      <c r="K5" s="50"/>
      <c r="L5" s="22">
        <v>561.0</v>
      </c>
      <c r="M5" s="23">
        <f t="shared" ref="M5:M6" si="2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/>
      <c r="B6" s="44"/>
      <c r="C6" s="46"/>
      <c r="D6" s="46"/>
      <c r="E6" s="47"/>
      <c r="F6" s="49"/>
      <c r="G6" s="48"/>
      <c r="H6" s="48"/>
      <c r="I6" s="48">
        <f t="shared" ref="I6:J6" si="1">SUM(I5)</f>
        <v>0</v>
      </c>
      <c r="J6" s="49">
        <f t="shared" si="1"/>
        <v>561</v>
      </c>
      <c r="K6" s="52"/>
      <c r="L6" s="22">
        <f>SUM(L5)</f>
        <v>561</v>
      </c>
      <c r="M6" s="23">
        <f t="shared" si="2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6"/>
      <c r="B7" s="27"/>
      <c r="C7" s="27"/>
      <c r="D7" s="27"/>
      <c r="E7" s="38"/>
      <c r="F7" s="39"/>
      <c r="G7" s="40"/>
      <c r="H7" s="41"/>
      <c r="I7" s="54">
        <v>561.0</v>
      </c>
      <c r="J7" s="41"/>
      <c r="K7" s="42"/>
      <c r="L7" s="42"/>
      <c r="M7" s="29"/>
      <c r="N7" s="31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2"/>
      <c r="N8" s="3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34" t="s">
        <v>31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  <col customWidth="1" min="14" max="14" width="21.13"/>
  </cols>
  <sheetData>
    <row r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24091.0</v>
      </c>
      <c r="C5" s="45" t="s">
        <v>68</v>
      </c>
      <c r="D5" s="46">
        <v>35518.0</v>
      </c>
      <c r="E5" s="47" t="s">
        <v>69</v>
      </c>
      <c r="F5" s="48"/>
      <c r="G5" s="48"/>
      <c r="H5" s="49"/>
      <c r="I5" s="49">
        <v>8.0</v>
      </c>
      <c r="J5" s="49"/>
      <c r="K5" s="50"/>
      <c r="L5" s="22">
        <v>8.0</v>
      </c>
      <c r="M5" s="23">
        <f t="shared" ref="M5:M6" si="2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/>
      <c r="B6" s="44"/>
      <c r="C6" s="46"/>
      <c r="D6" s="46"/>
      <c r="E6" s="47"/>
      <c r="F6" s="49"/>
      <c r="G6" s="48"/>
      <c r="H6" s="48"/>
      <c r="I6" s="48">
        <f t="shared" ref="I6:J6" si="1">SUM(I5)</f>
        <v>8</v>
      </c>
      <c r="J6" s="49">
        <f t="shared" si="1"/>
        <v>0</v>
      </c>
      <c r="K6" s="52"/>
      <c r="L6" s="22">
        <f>SUM(L5)</f>
        <v>8</v>
      </c>
      <c r="M6" s="23">
        <f t="shared" si="2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6"/>
      <c r="B7" s="27"/>
      <c r="C7" s="27"/>
      <c r="D7" s="27"/>
      <c r="E7" s="38"/>
      <c r="F7" s="39"/>
      <c r="G7" s="40"/>
      <c r="H7" s="41"/>
      <c r="I7" s="54">
        <v>8.0</v>
      </c>
      <c r="J7" s="41"/>
      <c r="K7" s="42"/>
      <c r="L7" s="42"/>
      <c r="M7" s="29"/>
      <c r="N7" s="31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2"/>
      <c r="N8" s="3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34" t="s">
        <v>31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  <col customWidth="1" min="14" max="14" width="21.13"/>
  </cols>
  <sheetData>
    <row r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44915.0</v>
      </c>
      <c r="C5" s="45" t="s">
        <v>71</v>
      </c>
      <c r="D5" s="46">
        <v>36555.0</v>
      </c>
      <c r="E5" s="47" t="s">
        <v>72</v>
      </c>
      <c r="F5" s="48"/>
      <c r="G5" s="48"/>
      <c r="H5" s="49"/>
      <c r="I5" s="49">
        <v>1493.0</v>
      </c>
      <c r="J5" s="49"/>
      <c r="K5" s="50"/>
      <c r="L5" s="22">
        <v>1493.0</v>
      </c>
      <c r="M5" s="23">
        <f t="shared" ref="M5:M6" si="2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/>
      <c r="B6" s="44"/>
      <c r="C6" s="46"/>
      <c r="D6" s="46"/>
      <c r="E6" s="47"/>
      <c r="F6" s="49"/>
      <c r="G6" s="48"/>
      <c r="H6" s="48"/>
      <c r="I6" s="48">
        <f t="shared" ref="I6:J6" si="1">SUM(I5)</f>
        <v>1493</v>
      </c>
      <c r="J6" s="49">
        <f t="shared" si="1"/>
        <v>0</v>
      </c>
      <c r="K6" s="52"/>
      <c r="L6" s="22">
        <f>SUM(L5)</f>
        <v>1493</v>
      </c>
      <c r="M6" s="23">
        <f t="shared" si="2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6"/>
      <c r="B7" s="27"/>
      <c r="C7" s="27"/>
      <c r="D7" s="27"/>
      <c r="E7" s="38"/>
      <c r="F7" s="39"/>
      <c r="G7" s="40"/>
      <c r="H7" s="41"/>
      <c r="I7" s="54">
        <v>1493.0</v>
      </c>
      <c r="J7" s="41"/>
      <c r="K7" s="42"/>
      <c r="L7" s="42"/>
      <c r="M7" s="29"/>
      <c r="N7" s="31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2"/>
      <c r="N8" s="3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34" t="s">
        <v>31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5" max="5" width="57.13"/>
    <col customWidth="1" min="12" max="12" width="13.88"/>
    <col customWidth="1" min="14" max="14" width="21.13"/>
  </cols>
  <sheetData>
    <row r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44916.0</v>
      </c>
      <c r="C5" s="45" t="s">
        <v>74</v>
      </c>
      <c r="D5" s="46">
        <v>51697.0</v>
      </c>
      <c r="E5" s="47" t="s">
        <v>75</v>
      </c>
      <c r="F5" s="48"/>
      <c r="G5" s="48"/>
      <c r="H5" s="49"/>
      <c r="I5" s="49"/>
      <c r="J5" s="49">
        <v>17520.0</v>
      </c>
      <c r="K5" s="50"/>
      <c r="L5" s="22">
        <v>17520.0</v>
      </c>
      <c r="M5" s="23">
        <f t="shared" ref="M5:M7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>
        <v>2.0</v>
      </c>
      <c r="B6" s="44">
        <v>44916.0</v>
      </c>
      <c r="C6" s="45" t="s">
        <v>76</v>
      </c>
      <c r="D6" s="46">
        <v>10002.0</v>
      </c>
      <c r="E6" s="47" t="s">
        <v>77</v>
      </c>
      <c r="F6" s="49">
        <v>8040.0</v>
      </c>
      <c r="G6" s="48"/>
      <c r="H6" s="49"/>
      <c r="I6" s="49"/>
      <c r="J6" s="49"/>
      <c r="K6" s="50"/>
      <c r="L6" s="22">
        <v>8040.0</v>
      </c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3"/>
      <c r="B7" s="44"/>
      <c r="C7" s="46"/>
      <c r="D7" s="46"/>
      <c r="E7" s="47"/>
      <c r="F7" s="49">
        <f>SUM(F5:F6)</f>
        <v>8040</v>
      </c>
      <c r="G7" s="48"/>
      <c r="H7" s="48"/>
      <c r="I7" s="48">
        <f t="shared" ref="I7:J7" si="2">SUM(I5)</f>
        <v>0</v>
      </c>
      <c r="J7" s="49">
        <f t="shared" si="2"/>
        <v>17520</v>
      </c>
      <c r="K7" s="52"/>
      <c r="L7" s="22">
        <f>SUM(L5:L6)</f>
        <v>25560</v>
      </c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6"/>
      <c r="B8" s="27"/>
      <c r="C8" s="27"/>
      <c r="D8" s="27"/>
      <c r="E8" s="38"/>
      <c r="F8" s="39"/>
      <c r="G8" s="40"/>
      <c r="H8" s="41"/>
      <c r="I8" s="54">
        <f>SUM(F7+J7)</f>
        <v>25560</v>
      </c>
      <c r="J8" s="41"/>
      <c r="K8" s="42"/>
      <c r="L8" s="42"/>
      <c r="M8" s="29"/>
      <c r="N8" s="3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  <c r="M9" s="32"/>
      <c r="N9" s="3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34" t="s">
        <v>31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7.5"/>
    <col customWidth="1" min="5" max="5" width="29.63"/>
    <col customWidth="1" min="12" max="12" width="13.88"/>
    <col customWidth="1" min="14" max="14" width="21.13"/>
  </cols>
  <sheetData>
    <row r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44919.0</v>
      </c>
      <c r="C5" s="45" t="s">
        <v>79</v>
      </c>
      <c r="D5" s="46">
        <v>25650.0</v>
      </c>
      <c r="E5" s="47" t="s">
        <v>80</v>
      </c>
      <c r="F5" s="48"/>
      <c r="G5" s="48"/>
      <c r="H5" s="49">
        <v>4400.0</v>
      </c>
      <c r="I5" s="49"/>
      <c r="J5" s="49"/>
      <c r="K5" s="50"/>
      <c r="L5" s="22">
        <v>4400.0</v>
      </c>
      <c r="M5" s="23">
        <f t="shared" ref="M5:M7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>
        <v>2.0</v>
      </c>
      <c r="B6" s="44">
        <v>44919.0</v>
      </c>
      <c r="C6" s="45" t="s">
        <v>81</v>
      </c>
      <c r="D6" s="46">
        <v>25650.0</v>
      </c>
      <c r="E6" s="47" t="s">
        <v>80</v>
      </c>
      <c r="F6" s="49"/>
      <c r="G6" s="48"/>
      <c r="H6" s="49">
        <v>3700.0</v>
      </c>
      <c r="I6" s="49"/>
      <c r="J6" s="49"/>
      <c r="K6" s="50"/>
      <c r="L6" s="22">
        <v>3700.0</v>
      </c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3">
        <v>3.0</v>
      </c>
      <c r="B7" s="44">
        <v>44919.0</v>
      </c>
      <c r="C7" s="45" t="s">
        <v>82</v>
      </c>
      <c r="D7" s="46">
        <v>52240.0</v>
      </c>
      <c r="E7" s="47" t="s">
        <v>83</v>
      </c>
      <c r="F7" s="49"/>
      <c r="G7" s="48"/>
      <c r="H7" s="49"/>
      <c r="I7" s="49"/>
      <c r="J7" s="49">
        <v>40.0</v>
      </c>
      <c r="K7" s="50"/>
      <c r="L7" s="22">
        <v>40.0</v>
      </c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3"/>
      <c r="B8" s="44"/>
      <c r="C8" s="46"/>
      <c r="D8" s="46"/>
      <c r="E8" s="47"/>
      <c r="F8" s="49">
        <f>SUM(F5:F6)</f>
        <v>0</v>
      </c>
      <c r="G8" s="48"/>
      <c r="H8" s="48">
        <f>SUM(H5:H7)</f>
        <v>8100</v>
      </c>
      <c r="I8" s="48">
        <f>SUM(I5)</f>
        <v>0</v>
      </c>
      <c r="J8" s="49">
        <f>SUM(J5:J7)</f>
        <v>40</v>
      </c>
      <c r="K8" s="52"/>
      <c r="L8" s="22"/>
      <c r="M8" s="23"/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6"/>
      <c r="B9" s="27"/>
      <c r="C9" s="27"/>
      <c r="D9" s="27"/>
      <c r="E9" s="38"/>
      <c r="F9" s="39"/>
      <c r="G9" s="40"/>
      <c r="H9" s="41"/>
      <c r="I9" s="54">
        <f>H8+J8</f>
        <v>8140</v>
      </c>
      <c r="J9" s="41"/>
      <c r="K9" s="42"/>
      <c r="L9" s="55"/>
      <c r="M9" s="29"/>
      <c r="N9" s="31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  <c r="M10" s="32"/>
      <c r="N10" s="3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34" t="s">
        <v>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7.5"/>
    <col customWidth="1" min="5" max="5" width="29.63"/>
    <col customWidth="1" min="12" max="12" width="13.88"/>
    <col customWidth="1" min="14" max="14" width="21.13"/>
  </cols>
  <sheetData>
    <row r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44920.0</v>
      </c>
      <c r="C5" s="45" t="s">
        <v>85</v>
      </c>
      <c r="D5" s="46">
        <v>25650.0</v>
      </c>
      <c r="E5" s="47" t="s">
        <v>80</v>
      </c>
      <c r="F5" s="48"/>
      <c r="G5" s="48"/>
      <c r="H5" s="49">
        <v>1700.0</v>
      </c>
      <c r="I5" s="49"/>
      <c r="J5" s="49"/>
      <c r="K5" s="50"/>
      <c r="L5" s="22">
        <v>1700.0</v>
      </c>
      <c r="M5" s="23">
        <f t="shared" ref="M5:M6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/>
      <c r="B6" s="44"/>
      <c r="C6" s="45"/>
      <c r="D6" s="46"/>
      <c r="E6" s="47"/>
      <c r="F6" s="49"/>
      <c r="G6" s="48"/>
      <c r="H6" s="49"/>
      <c r="I6" s="49"/>
      <c r="J6" s="49"/>
      <c r="K6" s="50"/>
      <c r="L6" s="22"/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3"/>
      <c r="B7" s="44"/>
      <c r="C7" s="45"/>
      <c r="D7" s="46"/>
      <c r="E7" s="47"/>
      <c r="F7" s="49"/>
      <c r="G7" s="48"/>
      <c r="H7" s="49"/>
      <c r="I7" s="49"/>
      <c r="J7" s="49"/>
      <c r="K7" s="50"/>
      <c r="L7" s="22"/>
      <c r="M7" s="23"/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3"/>
      <c r="B8" s="44"/>
      <c r="C8" s="46"/>
      <c r="D8" s="46"/>
      <c r="E8" s="47"/>
      <c r="F8" s="49">
        <f>SUM(F5:F6)</f>
        <v>0</v>
      </c>
      <c r="G8" s="48"/>
      <c r="H8" s="48">
        <f>SUM(H5:H7)</f>
        <v>1700</v>
      </c>
      <c r="I8" s="48">
        <f>SUM(I5)</f>
        <v>0</v>
      </c>
      <c r="J8" s="49">
        <v>0.0</v>
      </c>
      <c r="K8" s="52"/>
      <c r="L8" s="22"/>
      <c r="M8" s="23"/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6"/>
      <c r="B9" s="27"/>
      <c r="C9" s="27"/>
      <c r="D9" s="27"/>
      <c r="E9" s="38"/>
      <c r="F9" s="39"/>
      <c r="G9" s="40"/>
      <c r="H9" s="41"/>
      <c r="I9" s="54">
        <f>H8+J8</f>
        <v>1700</v>
      </c>
      <c r="J9" s="41"/>
      <c r="K9" s="42"/>
      <c r="L9" s="55"/>
      <c r="M9" s="29"/>
      <c r="N9" s="31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  <c r="M10" s="32"/>
      <c r="N10" s="3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34" t="s">
        <v>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7.5"/>
    <col customWidth="1" min="5" max="5" width="29.63"/>
    <col customWidth="1" min="12" max="12" width="13.88"/>
    <col customWidth="1" min="14" max="14" width="21.13"/>
  </cols>
  <sheetData>
    <row r="1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44921.0</v>
      </c>
      <c r="C5" s="45" t="s">
        <v>87</v>
      </c>
      <c r="D5" s="46">
        <v>42046.0</v>
      </c>
      <c r="E5" s="47" t="s">
        <v>88</v>
      </c>
      <c r="F5" s="48"/>
      <c r="G5" s="48"/>
      <c r="H5" s="49"/>
      <c r="I5" s="49">
        <v>50.0</v>
      </c>
      <c r="J5" s="49"/>
      <c r="K5" s="50"/>
      <c r="L5" s="22">
        <v>50.0</v>
      </c>
      <c r="M5" s="23">
        <f t="shared" ref="M5:M8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>
        <v>2.0</v>
      </c>
      <c r="B6" s="44">
        <v>44921.0</v>
      </c>
      <c r="C6" s="45" t="s">
        <v>89</v>
      </c>
      <c r="D6" s="46">
        <v>23221.0</v>
      </c>
      <c r="E6" s="47" t="s">
        <v>34</v>
      </c>
      <c r="F6" s="49"/>
      <c r="G6" s="48"/>
      <c r="H6" s="49"/>
      <c r="I6" s="49"/>
      <c r="J6" s="49"/>
      <c r="K6" s="50">
        <v>765.0</v>
      </c>
      <c r="L6" s="22">
        <v>765.0</v>
      </c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3">
        <v>3.0</v>
      </c>
      <c r="B7" s="44">
        <v>44921.0</v>
      </c>
      <c r="C7" s="45" t="s">
        <v>90</v>
      </c>
      <c r="D7" s="46">
        <v>23221.0</v>
      </c>
      <c r="E7" s="47" t="s">
        <v>34</v>
      </c>
      <c r="F7" s="49"/>
      <c r="G7" s="48"/>
      <c r="H7" s="49"/>
      <c r="I7" s="49"/>
      <c r="J7" s="49"/>
      <c r="K7" s="50">
        <v>942.0</v>
      </c>
      <c r="L7" s="22">
        <v>942.0</v>
      </c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3">
        <v>4.0</v>
      </c>
      <c r="B8" s="44">
        <v>44921.0</v>
      </c>
      <c r="C8" s="45" t="s">
        <v>91</v>
      </c>
      <c r="D8" s="46">
        <v>23221.0</v>
      </c>
      <c r="E8" s="47" t="s">
        <v>34</v>
      </c>
      <c r="F8" s="49"/>
      <c r="G8" s="48"/>
      <c r="H8" s="49"/>
      <c r="I8" s="49"/>
      <c r="J8" s="49"/>
      <c r="K8" s="50">
        <v>1900.0</v>
      </c>
      <c r="L8" s="22">
        <v>1900.0</v>
      </c>
      <c r="M8" s="23">
        <f t="shared" si="1"/>
        <v>0</v>
      </c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3"/>
      <c r="B9" s="44"/>
      <c r="C9" s="46"/>
      <c r="D9" s="46"/>
      <c r="E9" s="47"/>
      <c r="F9" s="49">
        <f>SUM(F5:F6)</f>
        <v>0</v>
      </c>
      <c r="G9" s="48"/>
      <c r="H9" s="48">
        <f>SUM(H5:H7)</f>
        <v>0</v>
      </c>
      <c r="I9" s="48">
        <f>SUM(I5)</f>
        <v>50</v>
      </c>
      <c r="J9" s="49">
        <v>0.0</v>
      </c>
      <c r="K9" s="52">
        <f t="shared" ref="K9:L9" si="2">SUM(K5:K8)</f>
        <v>3607</v>
      </c>
      <c r="L9" s="22">
        <f t="shared" si="2"/>
        <v>3657</v>
      </c>
      <c r="M9" s="23"/>
      <c r="N9" s="21"/>
      <c r="O9" s="2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6"/>
      <c r="B10" s="27"/>
      <c r="C10" s="27"/>
      <c r="D10" s="27"/>
      <c r="E10" s="38"/>
      <c r="F10" s="39"/>
      <c r="G10" s="40"/>
      <c r="H10" s="41"/>
      <c r="I10" s="54">
        <f>SUM(F9+G9+H9+I9+J9+K9)</f>
        <v>3657</v>
      </c>
      <c r="J10" s="41"/>
      <c r="K10" s="42"/>
      <c r="L10" s="55"/>
      <c r="M10" s="29"/>
      <c r="N10" s="3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2"/>
      <c r="N11" s="3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34" t="s">
        <v>31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7.5"/>
    <col customWidth="1" min="5" max="5" width="29.63"/>
    <col customWidth="1" min="12" max="12" width="13.88"/>
    <col customWidth="1" min="14" max="14" width="21.13"/>
  </cols>
  <sheetData>
    <row r="1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3">
        <v>1.0</v>
      </c>
      <c r="B5" s="44">
        <v>44923.0</v>
      </c>
      <c r="C5" s="45" t="s">
        <v>93</v>
      </c>
      <c r="D5" s="46">
        <v>48476.0</v>
      </c>
      <c r="E5" s="47" t="s">
        <v>94</v>
      </c>
      <c r="F5" s="48"/>
      <c r="G5" s="48"/>
      <c r="H5" s="49"/>
      <c r="I5" s="49"/>
      <c r="J5" s="49"/>
      <c r="K5" s="50">
        <v>300.0</v>
      </c>
      <c r="L5" s="22">
        <v>300.0</v>
      </c>
      <c r="M5" s="23">
        <f t="shared" ref="M5:M8" si="1">SUM(F5+G5+H5+I5+J5+K5-L5)</f>
        <v>0</v>
      </c>
      <c r="N5" s="21"/>
      <c r="O5" s="24"/>
      <c r="P5" s="2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3">
        <v>2.0</v>
      </c>
      <c r="B6" s="44">
        <v>44923.0</v>
      </c>
      <c r="C6" s="45" t="s">
        <v>95</v>
      </c>
      <c r="D6" s="46">
        <v>60149.0</v>
      </c>
      <c r="E6" s="47" t="s">
        <v>96</v>
      </c>
      <c r="F6" s="49"/>
      <c r="G6" s="48"/>
      <c r="H6" s="49"/>
      <c r="I6" s="49"/>
      <c r="J6" s="49">
        <v>150.0</v>
      </c>
      <c r="K6" s="50"/>
      <c r="L6" s="22">
        <v>150.0</v>
      </c>
      <c r="M6" s="23">
        <f t="shared" si="1"/>
        <v>0</v>
      </c>
      <c r="N6" s="21"/>
      <c r="O6" s="24"/>
      <c r="P6" s="2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3">
        <v>3.0</v>
      </c>
      <c r="B7" s="44"/>
      <c r="C7" s="45"/>
      <c r="D7" s="46"/>
      <c r="E7" s="47"/>
      <c r="F7" s="49"/>
      <c r="G7" s="48"/>
      <c r="H7" s="49"/>
      <c r="I7" s="49"/>
      <c r="J7" s="49"/>
      <c r="K7" s="50"/>
      <c r="L7" s="22"/>
      <c r="M7" s="23">
        <f t="shared" si="1"/>
        <v>0</v>
      </c>
      <c r="N7" s="21"/>
      <c r="O7" s="24"/>
      <c r="P7" s="2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3">
        <v>4.0</v>
      </c>
      <c r="B8" s="44"/>
      <c r="C8" s="45"/>
      <c r="D8" s="46"/>
      <c r="E8" s="47"/>
      <c r="F8" s="49"/>
      <c r="G8" s="48"/>
      <c r="H8" s="49"/>
      <c r="I8" s="49"/>
      <c r="J8" s="49"/>
      <c r="K8" s="50"/>
      <c r="L8" s="22"/>
      <c r="M8" s="23">
        <f t="shared" si="1"/>
        <v>0</v>
      </c>
      <c r="N8" s="21"/>
      <c r="O8" s="24"/>
      <c r="P8" s="2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3"/>
      <c r="B9" s="44"/>
      <c r="C9" s="46"/>
      <c r="D9" s="46"/>
      <c r="E9" s="47"/>
      <c r="F9" s="49">
        <f>SUM(F5:F6)</f>
        <v>0</v>
      </c>
      <c r="G9" s="48"/>
      <c r="H9" s="48">
        <f>SUM(H5:H7)</f>
        <v>0</v>
      </c>
      <c r="I9" s="48">
        <f>SUM(I5)</f>
        <v>0</v>
      </c>
      <c r="J9" s="49">
        <f t="shared" ref="J9:L9" si="2">SUM(J5:J8)</f>
        <v>150</v>
      </c>
      <c r="K9" s="52">
        <f t="shared" si="2"/>
        <v>300</v>
      </c>
      <c r="L9" s="22">
        <f t="shared" si="2"/>
        <v>450</v>
      </c>
      <c r="M9" s="23"/>
      <c r="N9" s="21"/>
      <c r="O9" s="24"/>
      <c r="P9" s="2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6"/>
      <c r="B10" s="27"/>
      <c r="C10" s="27"/>
      <c r="D10" s="27"/>
      <c r="E10" s="38"/>
      <c r="F10" s="39"/>
      <c r="G10" s="40"/>
      <c r="H10" s="41"/>
      <c r="I10" s="54">
        <f>SUM(F9+G9+H9+I9+J9+K9)</f>
        <v>450</v>
      </c>
      <c r="J10" s="41"/>
      <c r="K10" s="42"/>
      <c r="L10" s="55"/>
      <c r="M10" s="29"/>
      <c r="N10" s="31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2"/>
      <c r="N11" s="3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34" t="s">
        <v>31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
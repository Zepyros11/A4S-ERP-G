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</sheets>
  <definedNames/>
  <calcPr/>
</workbook>
</file>

<file path=xl/sharedStrings.xml><?xml version="1.0" encoding="utf-8"?>
<sst xmlns="http://schemas.openxmlformats.org/spreadsheetml/2006/main" count="66" uniqueCount="25">
  <si>
    <t>ตรวจบิล ก.ย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</si>
  <si>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</si>
  <si>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</si>
  <si>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</si>
  <si>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</si>
  <si>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</si>
  <si>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</si>
  <si>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</si>
  <si>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</si>
  <si>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</si>
  <si>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31-2 /9/65</t>
  </si>
  <si>
    <t>ปูน</t>
  </si>
  <si>
    <t>ผลต่าง 2500 บาท เนื่องจากเป็นบิลยกเลิก 31/8/65 STHBKK012208002863</t>
  </si>
  <si>
    <t>นี</t>
  </si>
  <si>
    <t>ผลต่าง 37500 บาท เนื่องจากเป็นบิลยกเลิก2/9/65 STHBKK012209000259</t>
  </si>
  <si>
    <t>ผลต่าง 108400 บาท เนื่องจากเป็นบิลยกเลิก4/9/65 STHONLIN2209000074</t>
  </si>
  <si>
    <t>ผลต่าง 1340 บาท เนื่องจากเป็นบิลยกเลิก 6/9/65 STHBKK012209000551</t>
  </si>
  <si>
    <t>เอิง</t>
  </si>
  <si>
    <t>รวม</t>
  </si>
  <si>
    <t>.</t>
  </si>
  <si>
    <t>ผลต่าง 70400 บาท เนื่องจากเป็นบิลยกเลิก9,12/09/65 2 บิล STHBKK012209001033 และ STHBKK012209000842</t>
  </si>
  <si>
    <t>ผลต่าง 221150 บาท เนื่องจากเป็นบิลยกเลิก 2/9/65 และ 18/09/65 2 บิล  STHBKK012209000110 และ STHBKK012209001530</t>
  </si>
  <si>
    <t>ผลต่าง 60000 บาท เนื่องจากเป็นบิลยกเลิก 20/9/65 STHONLIN2209000453</t>
  </si>
  <si>
    <t>ผลต่าง 2800 บาท เนื่องจากเป็นบิลยกเลิก 20/9/65 STHONLIN2209000467</t>
  </si>
  <si>
    <t>เอิิง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</si>
</sst>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/m/yy"/>
  </numFmts>
  <fonts count="10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</font>
    <font/>
    <font>
      <sz val="16.0"/>
      <color theme="1"/>
      <name val="Calibri"/>
    </font>
    <font>
      <sz val="16.0"/>
      <color rgb="FFFF0000"/>
      <name val="Calibri"/>
    </font>
    <font>
      <sz val="14.0"/>
      <color theme="1"/>
      <name val="Arial"/>
    </font>
    <font>
      <sz val="17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5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5" fontId="4" numFmtId="38" xfId="0" applyAlignment="1" applyBorder="1" applyFont="1" applyNumberFormat="1">
      <alignment horizontal="right" readingOrder="0" vertical="bottom"/>
    </xf>
    <xf borderId="6" fillId="5" fontId="4" numFmtId="38" xfId="0" applyAlignment="1" applyBorder="1" applyFont="1" applyNumberFormat="1">
      <alignment horizontal="right" vertical="bottom"/>
    </xf>
    <xf borderId="6" fillId="4" fontId="4" numFmtId="38" xfId="0" applyAlignment="1" applyBorder="1" applyFont="1" applyNumberFormat="1">
      <alignment horizontal="right" readingOrder="0" vertical="bottom"/>
    </xf>
    <xf borderId="6" fillId="4" fontId="4" numFmtId="38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6" fillId="0" fontId="4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6" fillId="0" fontId="4" numFmtId="165" xfId="0" applyAlignment="1" applyBorder="1" applyFont="1" applyNumberFormat="1">
      <alignment horizontal="center" readingOrder="0" vertical="bottom"/>
    </xf>
    <xf borderId="6" fillId="5" fontId="4" numFmtId="164" xfId="0" applyAlignment="1" applyBorder="1" applyFont="1" applyNumberFormat="1">
      <alignment horizontal="right" readingOrder="0" vertical="bottom"/>
    </xf>
    <xf borderId="6" fillId="5" fontId="4" numFmtId="164" xfId="0" applyAlignment="1" applyBorder="1" applyFont="1" applyNumberFormat="1">
      <alignment horizontal="right" vertical="bottom"/>
    </xf>
    <xf borderId="6" fillId="6" fontId="4" numFmtId="0" xfId="0" applyAlignment="1" applyBorder="1" applyFill="1" applyFont="1">
      <alignment vertical="bottom"/>
    </xf>
    <xf borderId="6" fillId="6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7" numFmtId="165" xfId="0" applyAlignment="1" applyBorder="1" applyFont="1" applyNumberFormat="1">
      <alignment horizontal="center" readingOrder="0" vertical="bottom"/>
    </xf>
    <xf borderId="6" fillId="5" fontId="7" numFmtId="38" xfId="0" applyAlignment="1" applyBorder="1" applyFont="1" applyNumberFormat="1">
      <alignment horizontal="right" readingOrder="0" vertical="bottom"/>
    </xf>
    <xf borderId="6" fillId="4" fontId="7" numFmtId="38" xfId="0" applyAlignment="1" applyBorder="1" applyFont="1" applyNumberFormat="1">
      <alignment horizontal="right" readingOrder="0" vertical="bottom"/>
    </xf>
    <xf borderId="2" fillId="0" fontId="8" numFmtId="0" xfId="0" applyAlignment="1" applyBorder="1" applyFont="1">
      <alignment horizontal="center" vertical="bottom"/>
    </xf>
    <xf borderId="6" fillId="0" fontId="9" numFmtId="38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6" fillId="6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8" max="8" width="17.13"/>
    <col customWidth="1" min="9" max="9" width="82.3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10</v>
      </c>
      <c r="B4" s="14">
        <v>211.0</v>
      </c>
      <c r="C4" s="15">
        <v>1973380.0</v>
      </c>
      <c r="D4" s="15">
        <v>1973380.0</v>
      </c>
      <c r="E4" s="16">
        <v>211.0</v>
      </c>
      <c r="F4" s="17">
        <v>1975880.0</v>
      </c>
      <c r="G4" s="18">
        <f t="shared" ref="G4:G18" si="1">SUM(F4-D4)</f>
        <v>2500</v>
      </c>
      <c r="H4" s="19" t="s">
        <v>11</v>
      </c>
      <c r="I4" s="20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1">
        <v>23988.0</v>
      </c>
      <c r="B5" s="14">
        <v>99.0</v>
      </c>
      <c r="C5" s="22">
        <v>560325.0</v>
      </c>
      <c r="D5" s="23">
        <f t="shared" ref="D5:D17" si="2">SUM(C5)</f>
        <v>560325</v>
      </c>
      <c r="E5" s="16">
        <v>99.0</v>
      </c>
      <c r="F5" s="16">
        <v>597825.0</v>
      </c>
      <c r="G5" s="18">
        <f t="shared" si="1"/>
        <v>37500</v>
      </c>
      <c r="H5" s="19" t="s">
        <v>13</v>
      </c>
      <c r="I5" s="20" t="s">
        <v>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1">
        <v>23989.0</v>
      </c>
      <c r="B6" s="14">
        <v>58.0</v>
      </c>
      <c r="C6" s="23">
        <v>464680.0</v>
      </c>
      <c r="D6" s="23">
        <f t="shared" si="2"/>
        <v>464680</v>
      </c>
      <c r="E6" s="16">
        <v>58.0</v>
      </c>
      <c r="F6" s="17">
        <v>464680.0</v>
      </c>
      <c r="G6" s="18">
        <f t="shared" si="1"/>
        <v>0</v>
      </c>
      <c r="H6" s="19" t="s">
        <v>11</v>
      </c>
      <c r="I6" s="2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>
        <v>23990.0</v>
      </c>
      <c r="B7" s="14">
        <v>108.0</v>
      </c>
      <c r="C7" s="15">
        <v>887690.0</v>
      </c>
      <c r="D7" s="23">
        <f t="shared" si="2"/>
        <v>887690</v>
      </c>
      <c r="E7" s="16">
        <v>108.0</v>
      </c>
      <c r="F7" s="17">
        <v>887690.0</v>
      </c>
      <c r="G7" s="18">
        <f t="shared" si="1"/>
        <v>0</v>
      </c>
      <c r="H7" s="19" t="s">
        <v>11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1">
        <v>23991.0</v>
      </c>
      <c r="B8" s="14">
        <v>110.0</v>
      </c>
      <c r="C8" s="15">
        <v>864615.0</v>
      </c>
      <c r="D8" s="23">
        <f t="shared" si="2"/>
        <v>864615</v>
      </c>
      <c r="E8" s="16">
        <v>110.0</v>
      </c>
      <c r="F8" s="16">
        <v>973015.0</v>
      </c>
      <c r="G8" s="18">
        <f t="shared" si="1"/>
        <v>108400</v>
      </c>
      <c r="H8" s="19" t="s">
        <v>11</v>
      </c>
      <c r="I8" s="20" t="s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>
        <v>23992.0</v>
      </c>
      <c r="B9" s="14">
        <v>90.0</v>
      </c>
      <c r="C9" s="14">
        <v>1870665.0</v>
      </c>
      <c r="D9" s="23">
        <f t="shared" si="2"/>
        <v>1870665</v>
      </c>
      <c r="E9" s="16">
        <v>90.0</v>
      </c>
      <c r="F9" s="16">
        <v>1870665.0</v>
      </c>
      <c r="G9" s="18">
        <f t="shared" si="1"/>
        <v>0</v>
      </c>
      <c r="H9" s="19" t="s">
        <v>13</v>
      </c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>
        <v>23993.0</v>
      </c>
      <c r="B10" s="14">
        <v>67.0</v>
      </c>
      <c r="C10" s="15">
        <v>487975.0</v>
      </c>
      <c r="D10" s="23">
        <f t="shared" si="2"/>
        <v>487975</v>
      </c>
      <c r="E10" s="16">
        <v>67.0</v>
      </c>
      <c r="F10" s="17">
        <v>487975.0</v>
      </c>
      <c r="G10" s="18">
        <f t="shared" si="1"/>
        <v>0</v>
      </c>
      <c r="H10" s="19" t="s">
        <v>11</v>
      </c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>
        <v>23994.0</v>
      </c>
      <c r="B11" s="14">
        <v>66.0</v>
      </c>
      <c r="C11" s="15">
        <v>1055545.0</v>
      </c>
      <c r="D11" s="23">
        <f t="shared" si="2"/>
        <v>1055545</v>
      </c>
      <c r="E11" s="16">
        <v>66.0</v>
      </c>
      <c r="F11" s="16">
        <v>1056885.0</v>
      </c>
      <c r="G11" s="18">
        <f t="shared" si="1"/>
        <v>1340</v>
      </c>
      <c r="H11" s="19" t="s">
        <v>11</v>
      </c>
      <c r="I11" s="20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>
        <v>23995.0</v>
      </c>
      <c r="B12" s="14">
        <v>60.0</v>
      </c>
      <c r="C12" s="14">
        <v>528430.0</v>
      </c>
      <c r="D12" s="23">
        <f t="shared" si="2"/>
        <v>528430</v>
      </c>
      <c r="E12" s="16">
        <v>60.0</v>
      </c>
      <c r="F12" s="16">
        <v>528430.0</v>
      </c>
      <c r="G12" s="18">
        <f t="shared" si="1"/>
        <v>0</v>
      </c>
      <c r="H12" s="19" t="s">
        <v>17</v>
      </c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>
        <v>23996.0</v>
      </c>
      <c r="B13" s="14">
        <v>22.0</v>
      </c>
      <c r="C13" s="15">
        <v>170575.0</v>
      </c>
      <c r="D13" s="23">
        <f t="shared" si="2"/>
        <v>170575</v>
      </c>
      <c r="E13" s="16">
        <v>22.0</v>
      </c>
      <c r="F13" s="17">
        <v>170575.0</v>
      </c>
      <c r="G13" s="18">
        <f t="shared" si="1"/>
        <v>0</v>
      </c>
      <c r="H13" s="19" t="s">
        <v>11</v>
      </c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23997.0</v>
      </c>
      <c r="B14" s="14">
        <v>82.0</v>
      </c>
      <c r="C14" s="14">
        <v>947345.0</v>
      </c>
      <c r="D14" s="23">
        <f t="shared" si="2"/>
        <v>947345</v>
      </c>
      <c r="E14" s="16">
        <v>82.0</v>
      </c>
      <c r="F14" s="16">
        <v>947345.0</v>
      </c>
      <c r="G14" s="18">
        <f t="shared" si="1"/>
        <v>0</v>
      </c>
      <c r="H14" s="19" t="s">
        <v>11</v>
      </c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>
        <v>23998.0</v>
      </c>
      <c r="B15" s="28">
        <v>91.0</v>
      </c>
      <c r="C15" s="15">
        <v>690340.0</v>
      </c>
      <c r="D15" s="23">
        <f t="shared" si="2"/>
        <v>690340</v>
      </c>
      <c r="E15" s="29">
        <v>91.0</v>
      </c>
      <c r="F15" s="17">
        <v>690340.0</v>
      </c>
      <c r="G15" s="18">
        <f t="shared" si="1"/>
        <v>0</v>
      </c>
      <c r="H15" s="19" t="s">
        <v>11</v>
      </c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>
        <v>23999.0</v>
      </c>
      <c r="B16" s="14">
        <v>68.0</v>
      </c>
      <c r="C16" s="15">
        <v>644385.0</v>
      </c>
      <c r="D16" s="23">
        <f t="shared" si="2"/>
        <v>644385</v>
      </c>
      <c r="E16" s="16">
        <v>68.0</v>
      </c>
      <c r="F16" s="17">
        <v>644385.0</v>
      </c>
      <c r="G16" s="18">
        <f t="shared" si="1"/>
        <v>0</v>
      </c>
      <c r="H16" s="19" t="s">
        <v>11</v>
      </c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1">
        <v>24000.0</v>
      </c>
      <c r="B17" s="14">
        <v>74.0</v>
      </c>
      <c r="C17" s="23">
        <v>794835.0</v>
      </c>
      <c r="D17" s="23">
        <f t="shared" si="2"/>
        <v>794835</v>
      </c>
      <c r="E17" s="16">
        <v>74.0</v>
      </c>
      <c r="F17" s="16">
        <v>794835.0</v>
      </c>
      <c r="G17" s="18">
        <f t="shared" si="1"/>
        <v>0</v>
      </c>
      <c r="H17" s="19" t="s">
        <v>11</v>
      </c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 t="s">
        <v>18</v>
      </c>
      <c r="B18" s="5"/>
      <c r="C18" s="6"/>
      <c r="D18" s="31">
        <f>SUM(D4:D17)</f>
        <v>11940785</v>
      </c>
      <c r="E18" s="26"/>
      <c r="F18" s="31">
        <f>SUM(F4:F17)</f>
        <v>12090525</v>
      </c>
      <c r="G18" s="18">
        <f t="shared" si="1"/>
        <v>149740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32" t="s">
        <v>19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38"/>
    <col customWidth="1" min="8" max="8" width="17.13"/>
    <col customWidth="1" min="9" max="9" width="132.88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1">
        <v>24001.0</v>
      </c>
      <c r="B4" s="14">
        <v>46.0</v>
      </c>
      <c r="C4" s="15">
        <v>592425.0</v>
      </c>
      <c r="D4" s="15">
        <v>592425.0</v>
      </c>
      <c r="E4" s="16">
        <v>46.0</v>
      </c>
      <c r="F4" s="17">
        <v>592425.0</v>
      </c>
      <c r="G4" s="18">
        <f t="shared" ref="G4:G17" si="1">SUM(F4-D4)</f>
        <v>0</v>
      </c>
      <c r="H4" s="19" t="s">
        <v>11</v>
      </c>
      <c r="I4" s="2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1">
        <v>24002.0</v>
      </c>
      <c r="B5" s="14">
        <v>45.0</v>
      </c>
      <c r="C5" s="22">
        <v>460000.0</v>
      </c>
      <c r="D5" s="22">
        <v>460000.0</v>
      </c>
      <c r="E5" s="16">
        <v>45.0</v>
      </c>
      <c r="F5" s="16">
        <v>389600.0</v>
      </c>
      <c r="G5" s="18">
        <f t="shared" si="1"/>
        <v>-70400</v>
      </c>
      <c r="H5" s="19" t="s">
        <v>17</v>
      </c>
      <c r="I5" s="20" t="s">
        <v>20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1">
        <v>24003.0</v>
      </c>
      <c r="B6" s="14">
        <v>40.0</v>
      </c>
      <c r="C6" s="23">
        <v>513710.0</v>
      </c>
      <c r="D6" s="23">
        <v>513710.0</v>
      </c>
      <c r="E6" s="16">
        <v>40.0</v>
      </c>
      <c r="F6" s="17">
        <v>513710.0</v>
      </c>
      <c r="G6" s="18">
        <f t="shared" si="1"/>
        <v>0</v>
      </c>
      <c r="H6" s="19" t="s">
        <v>11</v>
      </c>
      <c r="I6" s="2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>
        <v>24004.0</v>
      </c>
      <c r="B7" s="14">
        <v>84.0</v>
      </c>
      <c r="C7" s="15">
        <v>926440.0</v>
      </c>
      <c r="D7" s="15">
        <v>926440.0</v>
      </c>
      <c r="E7" s="16">
        <v>84.0</v>
      </c>
      <c r="F7" s="16">
        <v>1147590.0</v>
      </c>
      <c r="G7" s="18">
        <f t="shared" si="1"/>
        <v>221150</v>
      </c>
      <c r="H7" s="19" t="s">
        <v>11</v>
      </c>
      <c r="I7" s="33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1">
        <v>24005.0</v>
      </c>
      <c r="B8" s="14">
        <v>78.0</v>
      </c>
      <c r="C8" s="15">
        <v>945230.0</v>
      </c>
      <c r="D8" s="15">
        <v>945230.0</v>
      </c>
      <c r="E8" s="16">
        <v>78.0</v>
      </c>
      <c r="F8" s="16">
        <v>945230.0</v>
      </c>
      <c r="G8" s="18">
        <f t="shared" si="1"/>
        <v>0</v>
      </c>
      <c r="H8" s="19" t="s">
        <v>11</v>
      </c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>
        <v>24006.0</v>
      </c>
      <c r="B9" s="14">
        <v>54.0</v>
      </c>
      <c r="C9" s="14">
        <v>452225.0</v>
      </c>
      <c r="D9" s="22">
        <v>452225.0</v>
      </c>
      <c r="E9" s="16">
        <v>54.0</v>
      </c>
      <c r="F9" s="16">
        <v>512225.0</v>
      </c>
      <c r="G9" s="18">
        <f t="shared" si="1"/>
        <v>60000</v>
      </c>
      <c r="H9" s="19" t="s">
        <v>11</v>
      </c>
      <c r="I9" s="20" t="s">
        <v>22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>
        <v>24007.0</v>
      </c>
      <c r="B10" s="14">
        <v>82.0</v>
      </c>
      <c r="C10" s="15">
        <v>785920.0</v>
      </c>
      <c r="D10" s="15">
        <v>785920.0</v>
      </c>
      <c r="E10" s="16">
        <v>82.0</v>
      </c>
      <c r="F10" s="16">
        <v>788720.0</v>
      </c>
      <c r="G10" s="18">
        <f t="shared" si="1"/>
        <v>2800</v>
      </c>
      <c r="H10" s="19" t="s">
        <v>11</v>
      </c>
      <c r="I10" s="20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>
        <v>24008.0</v>
      </c>
      <c r="B11" s="14">
        <v>49.0</v>
      </c>
      <c r="C11" s="15">
        <v>677075.0</v>
      </c>
      <c r="D11" s="23">
        <v>677075.0</v>
      </c>
      <c r="E11" s="16">
        <v>49.0</v>
      </c>
      <c r="F11" s="16">
        <v>677075.0</v>
      </c>
      <c r="G11" s="18">
        <f t="shared" si="1"/>
        <v>0</v>
      </c>
      <c r="H11" s="19" t="s">
        <v>11</v>
      </c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>
        <v>24009.0</v>
      </c>
      <c r="B12" s="14">
        <v>50.0</v>
      </c>
      <c r="C12" s="14">
        <v>408525.0</v>
      </c>
      <c r="D12" s="22">
        <v>408525.0</v>
      </c>
      <c r="E12" s="16">
        <v>49.0</v>
      </c>
      <c r="F12" s="16">
        <v>408525.0</v>
      </c>
      <c r="G12" s="18">
        <f t="shared" si="1"/>
        <v>0</v>
      </c>
      <c r="H12" s="19" t="s">
        <v>17</v>
      </c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>
        <v>24010.0</v>
      </c>
      <c r="B13" s="14">
        <v>35.0</v>
      </c>
      <c r="C13" s="14">
        <v>229177.0</v>
      </c>
      <c r="D13" s="22">
        <v>229177.0</v>
      </c>
      <c r="E13" s="16">
        <v>35.0</v>
      </c>
      <c r="F13" s="16">
        <v>229177.0</v>
      </c>
      <c r="G13" s="18">
        <f t="shared" si="1"/>
        <v>0</v>
      </c>
      <c r="H13" s="19" t="s">
        <v>24</v>
      </c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24011.0</v>
      </c>
      <c r="B14" s="14">
        <v>62.0</v>
      </c>
      <c r="C14" s="14">
        <v>630885.0</v>
      </c>
      <c r="D14" s="14">
        <v>630885.0</v>
      </c>
      <c r="E14" s="16">
        <v>62.0</v>
      </c>
      <c r="F14" s="16">
        <v>630885.0</v>
      </c>
      <c r="G14" s="18">
        <f t="shared" si="1"/>
        <v>0</v>
      </c>
      <c r="H14" s="19" t="s">
        <v>11</v>
      </c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>
        <v>24012.0</v>
      </c>
      <c r="B15" s="28">
        <v>42.0</v>
      </c>
      <c r="C15" s="15">
        <v>408055.0</v>
      </c>
      <c r="D15" s="15">
        <v>408055.0</v>
      </c>
      <c r="E15" s="29">
        <v>42.0</v>
      </c>
      <c r="F15" s="17">
        <v>408055.0</v>
      </c>
      <c r="G15" s="18">
        <f t="shared" si="1"/>
        <v>0</v>
      </c>
      <c r="H15" s="19" t="s">
        <v>11</v>
      </c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>
        <v>24013.0</v>
      </c>
      <c r="B16" s="14">
        <v>65.0</v>
      </c>
      <c r="C16" s="15">
        <v>432540.0</v>
      </c>
      <c r="D16" s="15">
        <v>432540.0</v>
      </c>
      <c r="E16" s="16">
        <v>65.0</v>
      </c>
      <c r="F16" s="17">
        <v>432540.0</v>
      </c>
      <c r="G16" s="18">
        <f t="shared" si="1"/>
        <v>0</v>
      </c>
      <c r="H16" s="19" t="s">
        <v>11</v>
      </c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1">
        <v>24014.0</v>
      </c>
      <c r="B17" s="14">
        <v>57.0</v>
      </c>
      <c r="C17" s="22">
        <v>492980.0</v>
      </c>
      <c r="D17" s="22">
        <v>492980.0</v>
      </c>
      <c r="E17" s="16">
        <v>57.0</v>
      </c>
      <c r="F17" s="16">
        <v>492980.0</v>
      </c>
      <c r="G17" s="18">
        <f t="shared" si="1"/>
        <v>0</v>
      </c>
      <c r="H17" s="19" t="s">
        <v>11</v>
      </c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1">
        <v>24015.0</v>
      </c>
      <c r="B18" s="14">
        <v>93.0</v>
      </c>
      <c r="C18" s="22">
        <v>755645.0</v>
      </c>
      <c r="D18" s="22">
        <v>755645.0</v>
      </c>
      <c r="E18" s="16">
        <v>93.0</v>
      </c>
      <c r="F18" s="17">
        <v>755645.0</v>
      </c>
      <c r="G18" s="18"/>
      <c r="H18" s="19" t="s">
        <v>11</v>
      </c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 t="s">
        <v>18</v>
      </c>
      <c r="B19" s="5"/>
      <c r="C19" s="6"/>
      <c r="D19" s="31">
        <f>SUM(D4:D17)</f>
        <v>7955187</v>
      </c>
      <c r="E19" s="26"/>
      <c r="F19" s="31">
        <f>SUM(F4:F17)</f>
        <v>8168737</v>
      </c>
      <c r="G19" s="18">
        <f>SUM(F19-D19)</f>
        <v>213550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32" t="s">
        <v>19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
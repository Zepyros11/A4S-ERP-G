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65" sheetId="1" r:id="rId4"/>
    <sheet state="visible" name="4965" sheetId="2" r:id="rId5"/>
    <sheet state="visible" name="5965" sheetId="3" r:id="rId6"/>
    <sheet state="visible" name="6965" sheetId="4" r:id="rId7"/>
    <sheet state="visible" name="7965" sheetId="5" r:id="rId8"/>
    <sheet state="visible" name="9965" sheetId="6" r:id="rId9"/>
    <sheet state="visible" name="10965" sheetId="7" r:id="rId10"/>
    <sheet state="visible" name="11965" sheetId="8" r:id="rId11"/>
    <sheet state="visible" name="12.965" sheetId="9" r:id="rId12"/>
    <sheet state="visible" name="14965" sheetId="10" r:id="rId13"/>
    <sheet state="visible" name="15.09.65" sheetId="11" r:id="rId14"/>
    <sheet state="visible" name="16.09.65" sheetId="12" r:id="rId15"/>
    <sheet state="visible" name="17.09.65" sheetId="13" r:id="rId16"/>
    <sheet state="visible" name="19.09.65" sheetId="14" r:id="rId17"/>
    <sheet state="visible" name="20.09.65" sheetId="15" r:id="rId18"/>
    <sheet state="visible" name="21.09.65" sheetId="16" r:id="rId19"/>
    <sheet state="visible" name="23.09.65" sheetId="17" r:id="rId20"/>
    <sheet state="visible" name="24.09.65" sheetId="18" r:id="rId21"/>
    <sheet state="visible" name="25.09.65" sheetId="19" r:id="rId22"/>
    <sheet state="visible" name="28.09.65" sheetId="20" r:id="rId23"/>
  </sheets>
  <definedNames/>
  <calcPr/>
</workbook>
</file>

<file path=xl/sharedStrings.xml><?xml version="1.0" encoding="utf-8"?>
<sst xmlns="http://schemas.openxmlformats.org/spreadsheetml/2006/main" count="493" uniqueCount="147">
  <si>
    <t xml:space="preserve">  E-WALLET  31-2 September  2022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</si>
  <si>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</si>
  <si>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</si>
  <si>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</si>
  <si>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</si>
  <si>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</si>
  <si>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</si>
  <si>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</si>
  <si>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</si>
  <si>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</si>
  <si>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</si>
  <si>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</si>
  <si>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</si>
  <si>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</si>
  <si>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</si>
  <si>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</si>
  <si>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</si>
  <si>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</si>
  <si>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ETHONLIN2208000040</t>
  </si>
  <si>
    <t>นางสาว รัชตวรรณ เนาวสินธ์</t>
  </si>
  <si>
    <t>ETHBKK012209000001</t>
  </si>
  <si>
    <t>นาย ศราวุฒน์ สินธุวรโรจน์</t>
  </si>
  <si>
    <t>ETHBKK012209000002</t>
  </si>
  <si>
    <t>นางสาว นภัทร อินทราพงษ์</t>
  </si>
  <si>
    <t>ETHBKK012209000003</t>
  </si>
  <si>
    <t>นาง ชะม้อย เถื่อนนก</t>
  </si>
  <si>
    <t>ETHBKK012209000004</t>
  </si>
  <si>
    <t>นาง ศศกร  อมตวงษ์</t>
  </si>
  <si>
    <t>ETHBKK012209000005</t>
  </si>
  <si>
    <t>ETHBKK012209000006</t>
  </si>
  <si>
    <t>นาย พัฒน์รดิศ สุพัฒน์วณิชกร</t>
  </si>
  <si>
    <t>ETHBKK012209000007</t>
  </si>
  <si>
    <t>นางสาว กุลนาถ ไตรทัตธนากร</t>
  </si>
  <si>
    <t>ETHBKK012209000008</t>
  </si>
  <si>
    <t>ห้างหุ้นส่วนจำกัด ไดม่อนอันดามัน เน็ตเวิร์ค  (สำนักงานใหญ่)</t>
  </si>
  <si>
    <t>ETHBKK012209000009</t>
  </si>
  <si>
    <t>นาย นิธิสิษฐ์  วารีรักษ์</t>
  </si>
  <si>
    <t>ETHBKK012209000010</t>
  </si>
  <si>
    <t>นาย กิตติศักดิ์ ฐานพีรสิทธิ์</t>
  </si>
  <si>
    <t>ETHBKK012209000011</t>
  </si>
  <si>
    <t>นาย บุญเลิศ รวมวินิจ</t>
  </si>
  <si>
    <t>ETHBKK012209000012</t>
  </si>
  <si>
    <t>ETHBKK012209000013</t>
  </si>
  <si>
    <t>นางสาว กัลยรัตน์ ฤทธิ์น้อย</t>
  </si>
  <si>
    <t>ETHBKK012209000014</t>
  </si>
  <si>
    <t>นาย ธีราเศรษฐ์ พิสุทธิ์รัตน์</t>
  </si>
  <si>
    <t>ETHONLIN2209000001</t>
  </si>
  <si>
    <t>นาง ทิพยาภรณ์ ฆ้องวงษ์</t>
  </si>
  <si>
    <t>ETHONLIN2209000002</t>
  </si>
  <si>
    <t>นาย จักรพงศ์ สินธุรักษ์</t>
  </si>
  <si>
    <t>ETHONLIN2209000003</t>
  </si>
  <si>
    <t>ETHONLIN2209000004</t>
  </si>
  <si>
    <t>ETHONLIN2209000005</t>
  </si>
  <si>
    <t>ETHONLIN2209000006</t>
  </si>
  <si>
    <t xml:space="preserve">  E-WALLET  4 September  2022                                                                                                        </t>
  </si>
  <si>
    <t>ETHONLIN2209000008</t>
  </si>
  <si>
    <t>ETHONLIN2209000009</t>
  </si>
  <si>
    <t>ETHBKK012209000016</t>
  </si>
  <si>
    <t>นางสาว แก้วภัค ทวีรุ่งเรือง</t>
  </si>
  <si>
    <t xml:space="preserve">  E-WALLET  5 September  2022                                                                                                        </t>
  </si>
  <si>
    <t>ETHBKK012209000017</t>
  </si>
  <si>
    <t>นาง วง สีสุมัง</t>
  </si>
  <si>
    <t>ค่าคอม</t>
  </si>
  <si>
    <t>ETHBKK012209000018</t>
  </si>
  <si>
    <t>นาง ภัทรพิดา อุ่นโสดา</t>
  </si>
  <si>
    <t>ETHBKK012209000019</t>
  </si>
  <si>
    <t>นาย จักรกฤษณ์ ผิวเขียว</t>
  </si>
  <si>
    <t>ETHBKK012209000020</t>
  </si>
  <si>
    <t>นาง อนัญญา รอสูงเนิน</t>
  </si>
  <si>
    <t xml:space="preserve">  E-WALLET 6September  2022                                                                                                        </t>
  </si>
  <si>
    <t>ETHBKK012209000021</t>
  </si>
  <si>
    <t>นาย พิชัย รัตนธิวัฒ</t>
  </si>
  <si>
    <t>ETHBKK012209000022</t>
  </si>
  <si>
    <t>นาง ยินดี ไตยมูล</t>
  </si>
  <si>
    <t>ETHBKK012209000023</t>
  </si>
  <si>
    <t>ETHBKK012209000024</t>
  </si>
  <si>
    <t>นาง หยาดนภา มุระดา</t>
  </si>
  <si>
    <t xml:space="preserve">  E-WALLET 7 September  2022                                                                                                        </t>
  </si>
  <si>
    <t>ETHBKK012209000025</t>
  </si>
  <si>
    <t>นางสาว รตนพร สุนทรารักษ์</t>
  </si>
  <si>
    <t>ETHONLIN2209000010</t>
  </si>
  <si>
    <t>นาย ประดิษฐ์</t>
  </si>
  <si>
    <t xml:space="preserve">  E-WALLET 9 September  2022                                                                                                        </t>
  </si>
  <si>
    <t>ETHONLIN2209000014</t>
  </si>
  <si>
    <t>ETHONLIN2209000015</t>
  </si>
  <si>
    <t>นาย ธนบูลย์ แสงฐิตาพันธุ์</t>
  </si>
  <si>
    <t>ETHBKK012209000027</t>
  </si>
  <si>
    <t>ETHBKK012209000028</t>
  </si>
  <si>
    <t>นาย นาย ฐากร ตันสิรานนท์</t>
  </si>
  <si>
    <t xml:space="preserve">  E-WALLET 10 September  2022                                                                                                        </t>
  </si>
  <si>
    <t>ETHONLIN2209000017</t>
  </si>
  <si>
    <t>นาง ศศกร อมตวงษ์</t>
  </si>
  <si>
    <t>ETHONLIN2209000016</t>
  </si>
  <si>
    <t>ETHBKK012209000030</t>
  </si>
  <si>
    <t>นาย อุเทน ฉวีวรรณ์</t>
  </si>
  <si>
    <t>ETHBKK012209000031</t>
  </si>
  <si>
    <t>นาง พรรณี สมบูรณ์</t>
  </si>
  <si>
    <t>ETHBKK012209000032</t>
  </si>
  <si>
    <t>นางสาว รัตนา กันทะเขียว</t>
  </si>
  <si>
    <t>c4</t>
  </si>
  <si>
    <t>ETHBKK012209000033</t>
  </si>
  <si>
    <t>นาง กนกวรรณ สำรี</t>
  </si>
  <si>
    <t xml:space="preserve">  E-WALLET 11 September  2022                                                                                                        </t>
  </si>
  <si>
    <t>ETHBKK012209000034</t>
  </si>
  <si>
    <t>นาง ขวัญดาว สองแกะ</t>
  </si>
  <si>
    <t>ETHONLIN2209000018</t>
  </si>
  <si>
    <t xml:space="preserve">  E-WALLET 12 September  2022                                                                                                        </t>
  </si>
  <si>
    <t>ETHBKK012209000035</t>
  </si>
  <si>
    <t>นาง เกศร วงษ์วิภาค</t>
  </si>
  <si>
    <t xml:space="preserve">  E-WALLET 14 September  2022                                                                                                        </t>
  </si>
  <si>
    <t>ETHONLIN2209000020</t>
  </si>
  <si>
    <t>ETHBKK012209000036</t>
  </si>
  <si>
    <t>นาง ฐานมญ ชลคีรี</t>
  </si>
  <si>
    <t>ETHBKK012209000037</t>
  </si>
  <si>
    <t>นาย กัมพล วงษ์ธัญกรณ์</t>
  </si>
  <si>
    <t xml:space="preserve">  E-WALLET 15 September  2022                                                                                                        </t>
  </si>
  <si>
    <t>ETHBKK012209000038</t>
  </si>
  <si>
    <t>นาย KHAMHOU INTHAVONG</t>
  </si>
  <si>
    <t>ค่าคอมคนลาว</t>
  </si>
  <si>
    <t xml:space="preserve">  E-WALLET 16 September  2022                                                                                                        </t>
  </si>
  <si>
    <t>ETHBKK012209000039</t>
  </si>
  <si>
    <t>นาง นงคาน แหวนรุ่งมะนี</t>
  </si>
  <si>
    <t xml:space="preserve">  E-WALLET 17 September  2022                                                                                                        </t>
  </si>
  <si>
    <t>ETHONLIN2209000023</t>
  </si>
  <si>
    <t>ETHONLIN2209000022</t>
  </si>
  <si>
    <t xml:space="preserve">  E-WALLET 19September  2022                                                                                                        </t>
  </si>
  <si>
    <t>ETHBKK012209000040</t>
  </si>
  <si>
    <t xml:space="preserve">  E-WALLET 20 September  2022                                                                                                        </t>
  </si>
  <si>
    <t>ETHBKK012209000041</t>
  </si>
  <si>
    <t>บริษัท เศรษฐกวี จำกัด ( สำนักงานใหญ่ )</t>
  </si>
  <si>
    <t>ETHBKK012209000042</t>
  </si>
  <si>
    <t>นาย เอกชลิต ธวัชกฤตยา</t>
  </si>
  <si>
    <t>c4  47789</t>
  </si>
  <si>
    <t xml:space="preserve">  E-WALLET 21 September  2022                                                                                                        </t>
  </si>
  <si>
    <t>ETHBKK012209000043</t>
  </si>
  <si>
    <t>ETHBKK012209000044</t>
  </si>
  <si>
    <t>ETHBKK012209000045</t>
  </si>
  <si>
    <t>บริษัท เอ็น.พี มาร์ดก็ตติ้ง แบรนด์ จำกัด (สำนักงานใหญ)</t>
  </si>
  <si>
    <t xml:space="preserve">  E-WALLET 23 September  2022                                                                                                        </t>
  </si>
  <si>
    <t>ETHONLIN2209000027</t>
  </si>
  <si>
    <t xml:space="preserve">  E-WALLET 24 September  2022                                                                                                        </t>
  </si>
  <si>
    <t>ETHONLIN2209000029</t>
  </si>
  <si>
    <t xml:space="preserve">  E-WALLET 25 September  2022                                                                                                        </t>
  </si>
  <si>
    <t>ETHONLIN2209000030</t>
  </si>
  <si>
    <t xml:space="preserve">  E-WALLET 28 September  2022                                                                                                        </t>
  </si>
  <si>
    <t>ETHBKK012209000046</t>
  </si>
  <si>
    <t>นาย ยศพัทธิ์ ศรีอุทิศ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</si>
</sst>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16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4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18.0"/>
      <color rgb="FFFF0000"/>
      <name val="Calibri"/>
    </font>
    <font>
      <sz val="18.0"/>
      <color theme="4"/>
      <name val="Calibri"/>
    </font>
    <font>
      <b/>
      <sz val="18.0"/>
      <color theme="1"/>
      <name val="Calibri"/>
    </font>
    <font>
      <sz val="18.0"/>
      <color theme="1"/>
      <name val="Arial"/>
    </font>
    <font>
      <sz val="18.0"/>
      <color rgb="FF4285F4"/>
      <name val="Calibri"/>
    </font>
    <font>
      <sz val="14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3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vertical="top"/>
    </xf>
    <xf borderId="7" fillId="0" fontId="4" numFmtId="0" xfId="0" applyBorder="1" applyFont="1"/>
    <xf borderId="1" fillId="3" fontId="3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7" numFmtId="165" xfId="0" applyAlignment="1" applyBorder="1" applyFont="1" applyNumberFormat="1">
      <alignment horizontal="left" readingOrder="0" vertical="bottom"/>
    </xf>
    <xf borderId="1" fillId="0" fontId="7" numFmtId="4" xfId="0" applyAlignment="1" applyBorder="1" applyFont="1" applyNumberForma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1" fillId="4" fontId="8" numFmtId="38" xfId="0" applyAlignment="1" applyBorder="1" applyFont="1" applyNumberFormat="1">
      <alignment vertical="bottom"/>
    </xf>
    <xf borderId="1" fillId="0" fontId="8" numFmtId="38" xfId="0" applyAlignment="1" applyBorder="1" applyFont="1" applyNumberFormat="1">
      <alignment horizontal="right" readingOrder="0" vertical="bottom"/>
    </xf>
    <xf borderId="1" fillId="0" fontId="9" numFmtId="38" xfId="0" applyAlignment="1" applyBorder="1" applyFont="1" applyNumberFormat="1">
      <alignment horizontal="right" vertical="bottom"/>
    </xf>
    <xf borderId="1" fillId="0" fontId="2" numFmtId="38" xfId="0" applyAlignment="1" applyBorder="1" applyFont="1" applyNumberFormat="1">
      <alignment vertical="bottom"/>
    </xf>
    <xf borderId="0" fillId="4" fontId="2" numFmtId="0" xfId="0" applyAlignment="1" applyFont="1">
      <alignment vertical="bottom"/>
    </xf>
    <xf borderId="1" fillId="4" fontId="8" numFmtId="38" xfId="0" applyAlignment="1" applyBorder="1" applyFont="1" applyNumberFormat="1">
      <alignment readingOrder="0" vertical="bottom"/>
    </xf>
    <xf borderId="1" fillId="0" fontId="8" numFmtId="38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10" numFmtId="166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horizontal="center" vertical="bottom"/>
    </xf>
    <xf borderId="1" fillId="0" fontId="2" numFmtId="166" xfId="0" applyAlignment="1" applyBorder="1" applyFont="1" applyNumberFormat="1">
      <alignment vertical="bottom"/>
    </xf>
    <xf borderId="3" fillId="4" fontId="11" numFmtId="166" xfId="0" applyAlignment="1" applyBorder="1" applyFont="1" applyNumberFormat="1">
      <alignment horizontal="center" readingOrder="0" vertical="bottom"/>
    </xf>
    <xf borderId="1" fillId="0" fontId="2" numFmtId="38" xfId="0" applyAlignment="1" applyBorder="1" applyFont="1" applyNumberFormat="1">
      <alignment readingOrder="0" vertical="bottom"/>
    </xf>
    <xf borderId="1" fillId="0" fontId="9" numFmtId="38" xfId="0" applyAlignment="1" applyBorder="1" applyFont="1" applyNumberFormat="1">
      <alignment horizontal="right" readingOrder="0" vertical="bottom"/>
    </xf>
    <xf borderId="1" fillId="0" fontId="12" numFmtId="38" xfId="0" applyAlignment="1" applyBorder="1" applyFont="1" applyNumberFormat="1">
      <alignment readingOrder="0" vertical="bottom"/>
    </xf>
    <xf borderId="1" fillId="0" fontId="13" numFmtId="166" xfId="0" applyAlignment="1" applyBorder="1" applyFont="1" applyNumberFormat="1">
      <alignment horizontal="center" readingOrder="0" vertical="bottom"/>
    </xf>
    <xf borderId="1" fillId="0" fontId="14" numFmtId="38" xfId="0" applyAlignment="1" applyBorder="1" applyFont="1" applyNumberFormat="1">
      <alignment readingOrder="0" vertical="bottom"/>
    </xf>
    <xf borderId="1" fillId="0" fontId="7" numFmtId="167" xfId="0" applyAlignment="1" applyBorder="1" applyFont="1" applyNumberFormat="1">
      <alignment horizontal="left" readingOrder="0" vertical="bottom"/>
    </xf>
    <xf borderId="1" fillId="4" fontId="6" numFmtId="0" xfId="0" applyAlignment="1" applyBorder="1" applyFon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 vertical="bottom"/>
    </xf>
    <xf borderId="1" fillId="4" fontId="11" numFmtId="166" xfId="0" applyAlignment="1" applyBorder="1" applyFont="1" applyNumberFormat="1">
      <alignment horizontal="center" readingOrder="0" vertical="bottom"/>
    </xf>
    <xf borderId="0" fillId="4" fontId="11" numFmtId="166" xfId="0" applyAlignment="1" applyFont="1" applyNumberFormat="1">
      <alignment horizontal="center" readingOrder="0" vertical="bottom"/>
    </xf>
    <xf borderId="2" fillId="4" fontId="11" numFmtId="166" xfId="0" applyAlignment="1" applyBorder="1" applyFont="1" applyNumberFormat="1">
      <alignment horizontal="center" readingOrder="0" vertical="bottom"/>
    </xf>
    <xf borderId="2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4" fontId="8" numFmtId="38" xfId="0" applyAlignment="1" applyBorder="1" applyFont="1" applyNumberFormat="1">
      <alignment horizontal="center" readingOrder="0" vertical="bottom"/>
    </xf>
    <xf borderId="1" fillId="0" fontId="8" numFmtId="38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2" fillId="4" fontId="12" numFmtId="38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0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44804.0</v>
      </c>
      <c r="C5" s="15" t="s">
        <v>18</v>
      </c>
      <c r="D5" s="16">
        <v>23221.0</v>
      </c>
      <c r="E5" s="16" t="s">
        <v>19</v>
      </c>
      <c r="F5" s="17"/>
      <c r="G5" s="17"/>
      <c r="H5" s="17"/>
      <c r="I5" s="17"/>
      <c r="J5" s="17"/>
      <c r="K5" s="18">
        <v>300.0</v>
      </c>
      <c r="L5" s="18">
        <v>300.0</v>
      </c>
      <c r="M5" s="19">
        <f t="shared" ref="M5:M26" si="1">SUM(F5+G5+H5+I5+J5+K5-L5)</f>
        <v>0</v>
      </c>
      <c r="N5" s="20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44806.0</v>
      </c>
      <c r="C6" s="15" t="s">
        <v>20</v>
      </c>
      <c r="D6" s="16">
        <v>49194.0</v>
      </c>
      <c r="E6" s="16" t="s">
        <v>21</v>
      </c>
      <c r="F6" s="17"/>
      <c r="G6" s="17"/>
      <c r="H6" s="17"/>
      <c r="I6" s="22">
        <v>3588.0</v>
      </c>
      <c r="J6" s="17"/>
      <c r="K6" s="23"/>
      <c r="L6" s="18">
        <v>3588.0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44806.0</v>
      </c>
      <c r="C7" s="15" t="s">
        <v>22</v>
      </c>
      <c r="D7" s="16">
        <v>48192.0</v>
      </c>
      <c r="E7" s="16" t="s">
        <v>23</v>
      </c>
      <c r="F7" s="17"/>
      <c r="G7" s="17"/>
      <c r="H7" s="17"/>
      <c r="I7" s="17"/>
      <c r="J7" s="22">
        <v>71.0</v>
      </c>
      <c r="K7" s="23"/>
      <c r="L7" s="18">
        <v>71.0</v>
      </c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>
        <v>44806.0</v>
      </c>
      <c r="C8" s="15" t="s">
        <v>24</v>
      </c>
      <c r="D8" s="16">
        <v>40957.0</v>
      </c>
      <c r="E8" s="16" t="s">
        <v>25</v>
      </c>
      <c r="F8" s="17"/>
      <c r="G8" s="17"/>
      <c r="H8" s="17"/>
      <c r="I8" s="17"/>
      <c r="J8" s="22">
        <v>15.0</v>
      </c>
      <c r="K8" s="23"/>
      <c r="L8" s="18">
        <v>15.0</v>
      </c>
      <c r="M8" s="19">
        <f t="shared" si="1"/>
        <v>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>
        <v>5.0</v>
      </c>
      <c r="B9" s="14">
        <v>44806.0</v>
      </c>
      <c r="C9" s="15" t="s">
        <v>26</v>
      </c>
      <c r="D9" s="16">
        <v>25650.0</v>
      </c>
      <c r="E9" s="16" t="s">
        <v>27</v>
      </c>
      <c r="F9" s="17"/>
      <c r="G9" s="17"/>
      <c r="H9" s="17"/>
      <c r="I9" s="22">
        <v>0.0</v>
      </c>
      <c r="J9" s="17"/>
      <c r="K9" s="23"/>
      <c r="L9" s="18">
        <v>30000.0</v>
      </c>
      <c r="M9" s="19">
        <f t="shared" si="1"/>
        <v>-30000</v>
      </c>
      <c r="N9" s="20"/>
      <c r="O9" s="21"/>
      <c r="P9" s="21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>
        <v>6.0</v>
      </c>
      <c r="B10" s="14">
        <v>44806.0</v>
      </c>
      <c r="C10" s="15" t="s">
        <v>28</v>
      </c>
      <c r="D10" s="16">
        <v>25650.0</v>
      </c>
      <c r="E10" s="16" t="s">
        <v>27</v>
      </c>
      <c r="F10" s="17"/>
      <c r="G10" s="17"/>
      <c r="H10" s="17"/>
      <c r="I10" s="22">
        <v>0.0</v>
      </c>
      <c r="J10" s="17"/>
      <c r="K10" s="23"/>
      <c r="L10" s="18">
        <v>29100.0</v>
      </c>
      <c r="M10" s="19">
        <f t="shared" si="1"/>
        <v>-29100</v>
      </c>
      <c r="N10" s="20"/>
      <c r="O10" s="21"/>
      <c r="P10" s="2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>
        <v>7.0</v>
      </c>
      <c r="B11" s="14">
        <v>44806.0</v>
      </c>
      <c r="C11" s="15" t="s">
        <v>29</v>
      </c>
      <c r="D11" s="16">
        <v>10002.0</v>
      </c>
      <c r="E11" s="16" t="s">
        <v>30</v>
      </c>
      <c r="F11" s="17"/>
      <c r="G11" s="17"/>
      <c r="H11" s="17"/>
      <c r="I11" s="22">
        <v>0.0</v>
      </c>
      <c r="J11" s="17"/>
      <c r="K11" s="23"/>
      <c r="L11" s="18">
        <v>19400.0</v>
      </c>
      <c r="M11" s="19">
        <f t="shared" si="1"/>
        <v>-19400</v>
      </c>
      <c r="N11" s="20"/>
      <c r="O11" s="21"/>
      <c r="P11" s="2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>
        <v>8.0</v>
      </c>
      <c r="B12" s="14">
        <v>44806.0</v>
      </c>
      <c r="C12" s="15" t="s">
        <v>31</v>
      </c>
      <c r="D12" s="16">
        <v>31738.0</v>
      </c>
      <c r="E12" s="16" t="s">
        <v>32</v>
      </c>
      <c r="F12" s="17"/>
      <c r="G12" s="17"/>
      <c r="H12" s="17"/>
      <c r="I12" s="22">
        <v>0.0</v>
      </c>
      <c r="J12" s="17"/>
      <c r="K12" s="23"/>
      <c r="L12" s="18">
        <v>19400.0</v>
      </c>
      <c r="M12" s="19">
        <f t="shared" si="1"/>
        <v>-19400</v>
      </c>
      <c r="N12" s="20"/>
      <c r="O12" s="21"/>
      <c r="P12" s="2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3">
        <v>9.0</v>
      </c>
      <c r="B13" s="14">
        <v>44806.0</v>
      </c>
      <c r="C13" s="15" t="s">
        <v>33</v>
      </c>
      <c r="D13" s="16">
        <v>21818.0</v>
      </c>
      <c r="E13" s="16" t="s">
        <v>34</v>
      </c>
      <c r="F13" s="17"/>
      <c r="G13" s="17"/>
      <c r="H13" s="17"/>
      <c r="I13" s="22">
        <v>0.0</v>
      </c>
      <c r="J13" s="17"/>
      <c r="K13" s="23"/>
      <c r="L13" s="18">
        <v>83200.0</v>
      </c>
      <c r="M13" s="19">
        <f t="shared" si="1"/>
        <v>-83200</v>
      </c>
      <c r="N13" s="20"/>
      <c r="O13" s="21"/>
      <c r="P13" s="21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3">
        <v>10.0</v>
      </c>
      <c r="B14" s="14">
        <v>44806.0</v>
      </c>
      <c r="C14" s="15" t="s">
        <v>35</v>
      </c>
      <c r="D14" s="16">
        <v>72446.0</v>
      </c>
      <c r="E14" s="16" t="s">
        <v>36</v>
      </c>
      <c r="F14" s="17"/>
      <c r="G14" s="17"/>
      <c r="H14" s="17"/>
      <c r="I14" s="22">
        <v>0.0</v>
      </c>
      <c r="J14" s="17"/>
      <c r="K14" s="23"/>
      <c r="L14" s="18">
        <v>29100.0</v>
      </c>
      <c r="M14" s="19">
        <f t="shared" si="1"/>
        <v>-29100</v>
      </c>
      <c r="N14" s="20"/>
      <c r="O14" s="21"/>
      <c r="P14" s="21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3">
        <v>11.0</v>
      </c>
      <c r="B15" s="14">
        <v>44806.0</v>
      </c>
      <c r="C15" s="15" t="s">
        <v>37</v>
      </c>
      <c r="D15" s="16">
        <v>60787.0</v>
      </c>
      <c r="E15" s="16" t="s">
        <v>38</v>
      </c>
      <c r="F15" s="17"/>
      <c r="G15" s="17"/>
      <c r="H15" s="17"/>
      <c r="I15" s="22">
        <v>0.0</v>
      </c>
      <c r="J15" s="17"/>
      <c r="K15" s="23"/>
      <c r="L15" s="18">
        <v>19400.0</v>
      </c>
      <c r="M15" s="19">
        <f t="shared" si="1"/>
        <v>-19400</v>
      </c>
      <c r="N15" s="20"/>
      <c r="O15" s="21"/>
      <c r="P15" s="21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3">
        <v>12.0</v>
      </c>
      <c r="B16" s="14">
        <v>44806.0</v>
      </c>
      <c r="C16" s="15" t="s">
        <v>39</v>
      </c>
      <c r="D16" s="16">
        <v>49831.0</v>
      </c>
      <c r="E16" s="16" t="s">
        <v>40</v>
      </c>
      <c r="F16" s="17"/>
      <c r="G16" s="17"/>
      <c r="H16" s="17"/>
      <c r="I16" s="17"/>
      <c r="J16" s="22">
        <v>358.0</v>
      </c>
      <c r="K16" s="23"/>
      <c r="L16" s="18">
        <v>358.0</v>
      </c>
      <c r="M16" s="19">
        <f t="shared" si="1"/>
        <v>0</v>
      </c>
      <c r="N16" s="20"/>
      <c r="O16" s="21"/>
      <c r="P16" s="2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3">
        <v>13.0</v>
      </c>
      <c r="B17" s="14">
        <v>44806.0</v>
      </c>
      <c r="C17" s="15" t="s">
        <v>41</v>
      </c>
      <c r="D17" s="16">
        <v>49831.0</v>
      </c>
      <c r="E17" s="16" t="s">
        <v>40</v>
      </c>
      <c r="F17" s="17"/>
      <c r="G17" s="17"/>
      <c r="H17" s="17"/>
      <c r="I17" s="17"/>
      <c r="J17" s="22">
        <v>142.0</v>
      </c>
      <c r="K17" s="23"/>
      <c r="L17" s="18">
        <v>142.0</v>
      </c>
      <c r="M17" s="19">
        <f t="shared" si="1"/>
        <v>0</v>
      </c>
      <c r="N17" s="20"/>
      <c r="O17" s="21"/>
      <c r="P17" s="2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3">
        <v>14.0</v>
      </c>
      <c r="B18" s="14">
        <v>44806.0</v>
      </c>
      <c r="C18" s="15" t="s">
        <v>42</v>
      </c>
      <c r="D18" s="16">
        <v>66932.0</v>
      </c>
      <c r="E18" s="16" t="s">
        <v>43</v>
      </c>
      <c r="F18" s="17"/>
      <c r="G18" s="17"/>
      <c r="H18" s="17"/>
      <c r="I18" s="22">
        <v>200.0</v>
      </c>
      <c r="J18" s="17"/>
      <c r="K18" s="23"/>
      <c r="L18" s="18">
        <v>200.0</v>
      </c>
      <c r="M18" s="19">
        <f t="shared" si="1"/>
        <v>0</v>
      </c>
      <c r="N18" s="20"/>
      <c r="O18" s="21"/>
      <c r="P18" s="2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3">
        <v>15.0</v>
      </c>
      <c r="B19" s="14">
        <v>44806.0</v>
      </c>
      <c r="C19" s="15" t="s">
        <v>44</v>
      </c>
      <c r="D19" s="16">
        <v>56132.0</v>
      </c>
      <c r="E19" s="16" t="s">
        <v>45</v>
      </c>
      <c r="F19" s="17"/>
      <c r="G19" s="17"/>
      <c r="H19" s="17"/>
      <c r="I19" s="22">
        <v>190.0</v>
      </c>
      <c r="J19" s="17"/>
      <c r="K19" s="23"/>
      <c r="L19" s="18">
        <v>190.0</v>
      </c>
      <c r="M19" s="19">
        <f t="shared" si="1"/>
        <v>0</v>
      </c>
      <c r="N19" s="20"/>
      <c r="O19" s="21"/>
      <c r="P19" s="2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3">
        <v>16.0</v>
      </c>
      <c r="B20" s="14">
        <v>44806.0</v>
      </c>
      <c r="C20" s="15" t="s">
        <v>46</v>
      </c>
      <c r="D20" s="16">
        <v>31927.0</v>
      </c>
      <c r="E20" s="16" t="s">
        <v>47</v>
      </c>
      <c r="F20" s="17"/>
      <c r="G20" s="17"/>
      <c r="H20" s="17"/>
      <c r="I20" s="17"/>
      <c r="J20" s="22">
        <v>765.0</v>
      </c>
      <c r="K20" s="23"/>
      <c r="L20" s="18">
        <v>765.0</v>
      </c>
      <c r="M20" s="19">
        <f t="shared" si="1"/>
        <v>0</v>
      </c>
      <c r="N20" s="20"/>
      <c r="O20" s="21"/>
      <c r="P20" s="2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3">
        <v>17.0</v>
      </c>
      <c r="B21" s="14">
        <v>44806.0</v>
      </c>
      <c r="C21" s="15" t="s">
        <v>48</v>
      </c>
      <c r="D21" s="16">
        <v>50342.0</v>
      </c>
      <c r="E21" s="16" t="s">
        <v>49</v>
      </c>
      <c r="F21" s="17"/>
      <c r="G21" s="17"/>
      <c r="H21" s="22">
        <v>6000.0</v>
      </c>
      <c r="I21" s="17"/>
      <c r="J21" s="17"/>
      <c r="K21" s="23"/>
      <c r="L21" s="18">
        <v>6000.0</v>
      </c>
      <c r="M21" s="19">
        <f t="shared" si="1"/>
        <v>0</v>
      </c>
      <c r="N21" s="20"/>
      <c r="O21" s="21"/>
      <c r="P21" s="2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3">
        <v>18.0</v>
      </c>
      <c r="B22" s="14">
        <v>44806.0</v>
      </c>
      <c r="C22" s="15" t="s">
        <v>50</v>
      </c>
      <c r="D22" s="16">
        <v>50342.0</v>
      </c>
      <c r="E22" s="16" t="s">
        <v>49</v>
      </c>
      <c r="F22" s="17"/>
      <c r="G22" s="17"/>
      <c r="H22" s="22">
        <v>1000.0</v>
      </c>
      <c r="I22" s="17"/>
      <c r="J22" s="17"/>
      <c r="K22" s="23"/>
      <c r="L22" s="18">
        <v>1000.0</v>
      </c>
      <c r="M22" s="19">
        <f t="shared" si="1"/>
        <v>0</v>
      </c>
      <c r="N22" s="20"/>
      <c r="O22" s="21"/>
      <c r="P22" s="2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3">
        <v>19.0</v>
      </c>
      <c r="B23" s="14">
        <v>44806.0</v>
      </c>
      <c r="C23" s="15" t="s">
        <v>51</v>
      </c>
      <c r="D23" s="16">
        <v>50342.0</v>
      </c>
      <c r="E23" s="16" t="s">
        <v>49</v>
      </c>
      <c r="F23" s="17"/>
      <c r="G23" s="17"/>
      <c r="H23" s="22">
        <v>3000.0</v>
      </c>
      <c r="I23" s="17"/>
      <c r="J23" s="17"/>
      <c r="K23" s="23"/>
      <c r="L23" s="18">
        <v>3000.0</v>
      </c>
      <c r="M23" s="19">
        <f t="shared" si="1"/>
        <v>0</v>
      </c>
      <c r="N23" s="20"/>
      <c r="O23" s="21"/>
      <c r="P23" s="2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3">
        <v>20.0</v>
      </c>
      <c r="B24" s="14">
        <v>44806.0</v>
      </c>
      <c r="C24" s="15" t="s">
        <v>52</v>
      </c>
      <c r="D24" s="16">
        <v>25650.0</v>
      </c>
      <c r="E24" s="16" t="s">
        <v>27</v>
      </c>
      <c r="F24" s="17"/>
      <c r="G24" s="17"/>
      <c r="H24" s="22">
        <v>3600.0</v>
      </c>
      <c r="I24" s="17"/>
      <c r="J24" s="17"/>
      <c r="K24" s="23"/>
      <c r="L24" s="18">
        <v>3600.0</v>
      </c>
      <c r="M24" s="19">
        <f t="shared" si="1"/>
        <v>0</v>
      </c>
      <c r="N24" s="20"/>
      <c r="O24" s="21"/>
      <c r="P24" s="2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3">
        <v>21.0</v>
      </c>
      <c r="B25" s="14">
        <v>44806.0</v>
      </c>
      <c r="C25" s="15" t="s">
        <v>53</v>
      </c>
      <c r="D25" s="16">
        <v>25650.0</v>
      </c>
      <c r="E25" s="16" t="s">
        <v>27</v>
      </c>
      <c r="F25" s="17"/>
      <c r="G25" s="17"/>
      <c r="H25" s="22">
        <v>2500.0</v>
      </c>
      <c r="I25" s="17"/>
      <c r="J25" s="17"/>
      <c r="K25" s="23"/>
      <c r="L25" s="18">
        <v>2500.0</v>
      </c>
      <c r="M25" s="19">
        <f t="shared" si="1"/>
        <v>0</v>
      </c>
      <c r="N25" s="20"/>
      <c r="O25" s="21"/>
      <c r="P25" s="2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3"/>
      <c r="B26" s="24"/>
      <c r="C26" s="24"/>
      <c r="D26" s="24"/>
      <c r="E26" s="24"/>
      <c r="F26" s="25">
        <f t="shared" ref="F26:G26" si="2">SUM(F5:F6)</f>
        <v>0</v>
      </c>
      <c r="G26" s="25">
        <f t="shared" si="2"/>
        <v>0</v>
      </c>
      <c r="H26" s="25">
        <f>SUM(H5:H25)</f>
        <v>16100</v>
      </c>
      <c r="I26" s="25">
        <f>SUM(I5:I6)</f>
        <v>3588</v>
      </c>
      <c r="J26" s="25">
        <f>SUM(J5:J25)</f>
        <v>1351</v>
      </c>
      <c r="K26" s="25">
        <f>SUM(K5:K6)</f>
        <v>300</v>
      </c>
      <c r="L26" s="26">
        <f>SUM(L5:L25)</f>
        <v>251329</v>
      </c>
      <c r="M26" s="19">
        <f t="shared" si="1"/>
        <v>-229990</v>
      </c>
      <c r="N26" s="27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4"/>
      <c r="B27" s="24"/>
      <c r="C27" s="24"/>
      <c r="D27" s="24"/>
      <c r="E27" s="24"/>
      <c r="F27" s="28">
        <f>SUM(F26+G26+H26+I26+J26+K26)</f>
        <v>21339</v>
      </c>
      <c r="G27" s="6"/>
      <c r="H27" s="6"/>
      <c r="I27" s="6"/>
      <c r="J27" s="7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</sheetData>
  <mergeCells count="15">
    <mergeCell ref="M2:M4"/>
    <mergeCell ref="N2:N4"/>
    <mergeCell ref="F3:F4"/>
    <mergeCell ref="G3:H3"/>
    <mergeCell ref="F27:J2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54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44808.0</v>
      </c>
      <c r="C5" s="15" t="s">
        <v>55</v>
      </c>
      <c r="D5" s="16">
        <v>23221.0</v>
      </c>
      <c r="E5" s="16" t="s">
        <v>19</v>
      </c>
      <c r="F5" s="17"/>
      <c r="G5" s="17"/>
      <c r="H5" s="17"/>
      <c r="I5" s="17"/>
      <c r="J5" s="17"/>
      <c r="K5" s="18">
        <v>700.0</v>
      </c>
      <c r="L5" s="18">
        <v>700.0</v>
      </c>
      <c r="M5" s="19">
        <f t="shared" ref="M5:M9" si="1">SUM(F5+G5+H5+I5+J5+K5-L5)</f>
        <v>0</v>
      </c>
      <c r="N5" s="20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44808.0</v>
      </c>
      <c r="C6" s="15" t="s">
        <v>56</v>
      </c>
      <c r="D6" s="16">
        <v>23221.0</v>
      </c>
      <c r="E6" s="16" t="s">
        <v>19</v>
      </c>
      <c r="F6" s="17"/>
      <c r="G6" s="17"/>
      <c r="H6" s="17"/>
      <c r="I6" s="22"/>
      <c r="J6" s="17"/>
      <c r="K6" s="18">
        <v>3000.0</v>
      </c>
      <c r="L6" s="18">
        <v>3000.0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44808.0</v>
      </c>
      <c r="C7" s="15" t="s">
        <v>57</v>
      </c>
      <c r="D7" s="16">
        <v>72885.0</v>
      </c>
      <c r="E7" s="16" t="s">
        <v>58</v>
      </c>
      <c r="F7" s="17"/>
      <c r="G7" s="17"/>
      <c r="H7" s="17"/>
      <c r="I7" s="22">
        <v>3450.0</v>
      </c>
      <c r="J7" s="22"/>
      <c r="K7" s="23"/>
      <c r="L7" s="18">
        <v>3450.0</v>
      </c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/>
      <c r="B8" s="14"/>
      <c r="C8" s="15"/>
      <c r="D8" s="16"/>
      <c r="E8" s="16"/>
      <c r="F8" s="17"/>
      <c r="G8" s="17"/>
      <c r="H8" s="22"/>
      <c r="I8" s="17"/>
      <c r="J8" s="17"/>
      <c r="K8" s="23"/>
      <c r="L8" s="18"/>
      <c r="M8" s="19">
        <f t="shared" si="1"/>
        <v>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4"/>
      <c r="C9" s="24"/>
      <c r="D9" s="24"/>
      <c r="E9" s="24"/>
      <c r="F9" s="25">
        <f t="shared" ref="F9:G9" si="2">SUM(F5:F6)</f>
        <v>0</v>
      </c>
      <c r="G9" s="25">
        <f t="shared" si="2"/>
        <v>0</v>
      </c>
      <c r="H9" s="25">
        <f>SUM(H5:H8)</f>
        <v>0</v>
      </c>
      <c r="I9" s="25">
        <f>SUM(I4:I8)</f>
        <v>3450</v>
      </c>
      <c r="J9" s="25">
        <f>SUM(J5:J8)</f>
        <v>0</v>
      </c>
      <c r="K9" s="25">
        <f>SUM(K5:K6)</f>
        <v>3700</v>
      </c>
      <c r="L9" s="26">
        <f>SUM(L5:L8)</f>
        <v>7150</v>
      </c>
      <c r="M9" s="19">
        <f t="shared" si="1"/>
        <v>0</v>
      </c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4"/>
      <c r="B10" s="24"/>
      <c r="C10" s="24"/>
      <c r="D10" s="24"/>
      <c r="E10" s="24"/>
      <c r="F10" s="28">
        <f>SUM(F9+G9+H9+I9+J9+K9)</f>
        <v>7150</v>
      </c>
      <c r="G10" s="6"/>
      <c r="H10" s="6"/>
      <c r="I10" s="6"/>
      <c r="J10" s="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59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44809.0</v>
      </c>
      <c r="C5" s="15" t="s">
        <v>60</v>
      </c>
      <c r="D5" s="16">
        <v>69155.0</v>
      </c>
      <c r="E5" s="16" t="s">
        <v>61</v>
      </c>
      <c r="F5" s="17"/>
      <c r="G5" s="17"/>
      <c r="H5" s="17"/>
      <c r="I5" s="22">
        <v>0.0</v>
      </c>
      <c r="J5" s="17"/>
      <c r="K5" s="18"/>
      <c r="L5" s="18">
        <v>16481.5</v>
      </c>
      <c r="M5" s="19">
        <f t="shared" ref="M5:M9" si="1">SUM(F5+G5+H5+I5+J5+K5-L5)</f>
        <v>-16481.5</v>
      </c>
      <c r="N5" s="29" t="s">
        <v>62</v>
      </c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44809.0</v>
      </c>
      <c r="C6" s="15" t="s">
        <v>63</v>
      </c>
      <c r="D6" s="16">
        <v>51697.0</v>
      </c>
      <c r="E6" s="16" t="s">
        <v>64</v>
      </c>
      <c r="F6" s="17"/>
      <c r="G6" s="17"/>
      <c r="H6" s="17"/>
      <c r="I6" s="22">
        <v>30114.0</v>
      </c>
      <c r="J6" s="17"/>
      <c r="K6" s="18"/>
      <c r="L6" s="18">
        <v>30114.0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44809.0</v>
      </c>
      <c r="C7" s="15" t="s">
        <v>65</v>
      </c>
      <c r="D7" s="16">
        <v>69620.0</v>
      </c>
      <c r="E7" s="16" t="s">
        <v>66</v>
      </c>
      <c r="F7" s="17"/>
      <c r="G7" s="17"/>
      <c r="H7" s="17"/>
      <c r="I7" s="22"/>
      <c r="J7" s="22">
        <v>17305.0</v>
      </c>
      <c r="K7" s="23"/>
      <c r="L7" s="18">
        <v>17305.0</v>
      </c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>
        <v>44809.0</v>
      </c>
      <c r="C8" s="15" t="s">
        <v>67</v>
      </c>
      <c r="D8" s="16">
        <v>71443.0</v>
      </c>
      <c r="E8" s="16" t="s">
        <v>68</v>
      </c>
      <c r="F8" s="17"/>
      <c r="G8" s="17"/>
      <c r="H8" s="17"/>
      <c r="I8" s="22"/>
      <c r="J8" s="22">
        <v>200.0</v>
      </c>
      <c r="K8" s="23"/>
      <c r="L8" s="18">
        <v>200.0</v>
      </c>
      <c r="M8" s="19">
        <f t="shared" si="1"/>
        <v>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4"/>
      <c r="C9" s="24"/>
      <c r="D9" s="24"/>
      <c r="E9" s="24"/>
      <c r="F9" s="25">
        <f t="shared" ref="F9:G9" si="2">SUM(F5:F6)</f>
        <v>0</v>
      </c>
      <c r="G9" s="25">
        <f t="shared" si="2"/>
        <v>0</v>
      </c>
      <c r="H9" s="25">
        <f>SUM(H5:H8)</f>
        <v>0</v>
      </c>
      <c r="I9" s="25">
        <f>SUM(I4:I8)</f>
        <v>30114</v>
      </c>
      <c r="J9" s="25">
        <f>SUM(J5:J8)</f>
        <v>17505</v>
      </c>
      <c r="K9" s="25">
        <f>SUM(K5:K6)</f>
        <v>0</v>
      </c>
      <c r="L9" s="26">
        <f>SUM(L5:L8)</f>
        <v>64100.5</v>
      </c>
      <c r="M9" s="19">
        <f t="shared" si="1"/>
        <v>-16481.5</v>
      </c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4"/>
      <c r="B10" s="24"/>
      <c r="C10" s="24"/>
      <c r="D10" s="24"/>
      <c r="E10" s="24"/>
      <c r="F10" s="28">
        <f>SUM(F9+G9+H9+I9+J9+K9)</f>
        <v>47619</v>
      </c>
      <c r="G10" s="6"/>
      <c r="H10" s="6"/>
      <c r="I10" s="6"/>
      <c r="J10" s="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69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44810.0</v>
      </c>
      <c r="C5" s="15" t="s">
        <v>70</v>
      </c>
      <c r="D5" s="16">
        <v>58333.0</v>
      </c>
      <c r="E5" s="16" t="s">
        <v>71</v>
      </c>
      <c r="F5" s="17"/>
      <c r="G5" s="17"/>
      <c r="H5" s="17"/>
      <c r="I5" s="22">
        <v>21.0</v>
      </c>
      <c r="J5" s="17"/>
      <c r="K5" s="18"/>
      <c r="L5" s="18">
        <v>21.0</v>
      </c>
      <c r="M5" s="19">
        <f t="shared" ref="M5:M9" si="1">SUM(F5+G5+H5+I5+J5+K5-L5)</f>
        <v>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44810.0</v>
      </c>
      <c r="C6" s="15" t="s">
        <v>72</v>
      </c>
      <c r="D6" s="16">
        <v>36979.0</v>
      </c>
      <c r="E6" s="16" t="s">
        <v>73</v>
      </c>
      <c r="F6" s="17"/>
      <c r="G6" s="17"/>
      <c r="H6" s="17"/>
      <c r="I6" s="22">
        <v>200.0</v>
      </c>
      <c r="J6" s="17"/>
      <c r="K6" s="18"/>
      <c r="L6" s="18">
        <v>200.0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44810.0</v>
      </c>
      <c r="C7" s="15" t="s">
        <v>74</v>
      </c>
      <c r="D7" s="16">
        <v>49194.0</v>
      </c>
      <c r="E7" s="16" t="s">
        <v>21</v>
      </c>
      <c r="F7" s="17"/>
      <c r="G7" s="17"/>
      <c r="H7" s="17"/>
      <c r="I7" s="22">
        <v>1484.0</v>
      </c>
      <c r="J7" s="22"/>
      <c r="K7" s="23"/>
      <c r="L7" s="18">
        <v>1484.0</v>
      </c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>
        <v>44810.0</v>
      </c>
      <c r="C8" s="15" t="s">
        <v>75</v>
      </c>
      <c r="D8" s="16">
        <v>65085.0</v>
      </c>
      <c r="E8" s="16" t="s">
        <v>76</v>
      </c>
      <c r="F8" s="17"/>
      <c r="G8" s="17"/>
      <c r="H8" s="17"/>
      <c r="I8" s="22">
        <v>3990.0</v>
      </c>
      <c r="J8" s="22"/>
      <c r="K8" s="23"/>
      <c r="L8" s="18">
        <v>3990.0</v>
      </c>
      <c r="M8" s="19">
        <f t="shared" si="1"/>
        <v>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4"/>
      <c r="C9" s="24"/>
      <c r="D9" s="24"/>
      <c r="E9" s="24"/>
      <c r="F9" s="25">
        <f t="shared" ref="F9:G9" si="2">SUM(F5:F6)</f>
        <v>0</v>
      </c>
      <c r="G9" s="25">
        <f t="shared" si="2"/>
        <v>0</v>
      </c>
      <c r="H9" s="25">
        <f>SUM(H5:H8)</f>
        <v>0</v>
      </c>
      <c r="I9" s="25">
        <f>SUM(I4:I8)</f>
        <v>5695</v>
      </c>
      <c r="J9" s="25">
        <f>SUM(J5:J8)</f>
        <v>0</v>
      </c>
      <c r="K9" s="25">
        <f>SUM(K5:K6)</f>
        <v>0</v>
      </c>
      <c r="L9" s="26">
        <f>SUM(L5:L8)</f>
        <v>5695</v>
      </c>
      <c r="M9" s="19">
        <f t="shared" si="1"/>
        <v>0</v>
      </c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4"/>
      <c r="B10" s="24"/>
      <c r="C10" s="24"/>
      <c r="D10" s="24"/>
      <c r="E10" s="24"/>
      <c r="F10" s="28">
        <f>SUM(F9+G9+H9+I9+J9+K9)</f>
        <v>5695</v>
      </c>
      <c r="G10" s="6"/>
      <c r="H10" s="6"/>
      <c r="I10" s="6"/>
      <c r="J10" s="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77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44811.0</v>
      </c>
      <c r="C5" s="15" t="s">
        <v>78</v>
      </c>
      <c r="D5" s="16">
        <v>52058.0</v>
      </c>
      <c r="E5" s="16" t="s">
        <v>79</v>
      </c>
      <c r="F5" s="17"/>
      <c r="G5" s="22">
        <v>215.0</v>
      </c>
      <c r="H5" s="17"/>
      <c r="I5" s="22"/>
      <c r="J5" s="17"/>
      <c r="K5" s="18"/>
      <c r="L5" s="18"/>
      <c r="M5" s="19">
        <f t="shared" ref="M5:M9" si="1">SUM(F5+G5+H5+I5+J5+K5-L5)</f>
        <v>215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44811.0</v>
      </c>
      <c r="C6" s="15" t="s">
        <v>80</v>
      </c>
      <c r="D6" s="16">
        <v>72191.0</v>
      </c>
      <c r="E6" s="16" t="s">
        <v>81</v>
      </c>
      <c r="F6" s="17"/>
      <c r="G6" s="17"/>
      <c r="H6" s="17"/>
      <c r="I6" s="22"/>
      <c r="J6" s="17"/>
      <c r="K6" s="18">
        <v>600.0</v>
      </c>
      <c r="L6" s="18">
        <v>600.0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/>
      <c r="C7" s="15"/>
      <c r="D7" s="16"/>
      <c r="E7" s="16"/>
      <c r="F7" s="17"/>
      <c r="G7" s="17"/>
      <c r="H7" s="17"/>
      <c r="I7" s="22"/>
      <c r="J7" s="22"/>
      <c r="K7" s="23"/>
      <c r="L7" s="18"/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/>
      <c r="C8" s="15"/>
      <c r="D8" s="16"/>
      <c r="E8" s="16"/>
      <c r="F8" s="17"/>
      <c r="G8" s="17"/>
      <c r="H8" s="17"/>
      <c r="I8" s="22"/>
      <c r="J8" s="22"/>
      <c r="K8" s="23"/>
      <c r="L8" s="18"/>
      <c r="M8" s="19">
        <f t="shared" si="1"/>
        <v>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4"/>
      <c r="C9" s="24"/>
      <c r="D9" s="24"/>
      <c r="E9" s="24"/>
      <c r="F9" s="25">
        <f t="shared" ref="F9:G9" si="2">SUM(F5:F6)</f>
        <v>0</v>
      </c>
      <c r="G9" s="25">
        <f t="shared" si="2"/>
        <v>215</v>
      </c>
      <c r="H9" s="25">
        <f>SUM(H5:H8)</f>
        <v>0</v>
      </c>
      <c r="I9" s="25">
        <f>SUM(I4:I8)</f>
        <v>0</v>
      </c>
      <c r="J9" s="25">
        <f>SUM(J5:J8)</f>
        <v>0</v>
      </c>
      <c r="K9" s="25">
        <f>SUM(K5:K6)</f>
        <v>600</v>
      </c>
      <c r="L9" s="26">
        <f>SUM(L5:L8)</f>
        <v>600</v>
      </c>
      <c r="M9" s="19">
        <f t="shared" si="1"/>
        <v>215</v>
      </c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4"/>
      <c r="B10" s="24"/>
      <c r="C10" s="24"/>
      <c r="D10" s="24"/>
      <c r="E10" s="24"/>
      <c r="F10" s="28">
        <f>SUM(F9+G9+H9+I9+J9+K9)</f>
        <v>815</v>
      </c>
      <c r="G10" s="6"/>
      <c r="H10" s="6"/>
      <c r="I10" s="6"/>
      <c r="J10" s="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82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44812.0</v>
      </c>
      <c r="C5" s="15" t="s">
        <v>83</v>
      </c>
      <c r="D5" s="16">
        <v>23221.0</v>
      </c>
      <c r="E5" s="16" t="s">
        <v>19</v>
      </c>
      <c r="F5" s="17"/>
      <c r="G5" s="22"/>
      <c r="H5" s="17"/>
      <c r="I5" s="22"/>
      <c r="J5" s="17"/>
      <c r="K5" s="18">
        <v>300.0</v>
      </c>
      <c r="L5" s="18">
        <v>300.0</v>
      </c>
      <c r="M5" s="19">
        <f t="shared" ref="M5:M6" si="1">SUM(F5+G5+H5+I5+J5+K5-L5)</f>
        <v>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44813.0</v>
      </c>
      <c r="C6" s="15" t="s">
        <v>84</v>
      </c>
      <c r="D6" s="16">
        <v>21828.0</v>
      </c>
      <c r="E6" s="16" t="s">
        <v>85</v>
      </c>
      <c r="F6" s="17"/>
      <c r="G6" s="17"/>
      <c r="H6" s="17"/>
      <c r="I6" s="22"/>
      <c r="J6" s="17"/>
      <c r="K6" s="18">
        <v>20450.0</v>
      </c>
      <c r="L6" s="18">
        <v>20450.0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44813.0</v>
      </c>
      <c r="C7" s="15" t="s">
        <v>86</v>
      </c>
      <c r="D7" s="16">
        <v>23221.0</v>
      </c>
      <c r="E7" s="16" t="s">
        <v>19</v>
      </c>
      <c r="F7" s="17"/>
      <c r="G7" s="17"/>
      <c r="H7" s="17"/>
      <c r="I7" s="22">
        <v>3600.0</v>
      </c>
      <c r="J7" s="22"/>
      <c r="K7" s="23"/>
      <c r="L7" s="18">
        <v>3600.0</v>
      </c>
      <c r="M7" s="30">
        <v>0.0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>
        <v>44813.0</v>
      </c>
      <c r="C8" s="15" t="s">
        <v>87</v>
      </c>
      <c r="D8" s="16">
        <v>47510.0</v>
      </c>
      <c r="E8" s="16" t="s">
        <v>88</v>
      </c>
      <c r="F8" s="17"/>
      <c r="G8" s="17"/>
      <c r="H8" s="17"/>
      <c r="I8" s="22">
        <v>150.0</v>
      </c>
      <c r="J8" s="22"/>
      <c r="K8" s="23"/>
      <c r="L8" s="18">
        <v>150.0</v>
      </c>
      <c r="M8" s="30">
        <v>0.0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4"/>
      <c r="C9" s="24"/>
      <c r="D9" s="24"/>
      <c r="E9" s="24"/>
      <c r="F9" s="25">
        <f t="shared" ref="F9:G9" si="2">SUM(F5:F6)</f>
        <v>0</v>
      </c>
      <c r="G9" s="25">
        <f t="shared" si="2"/>
        <v>0</v>
      </c>
      <c r="H9" s="25">
        <f>SUM(H5:H8)</f>
        <v>0</v>
      </c>
      <c r="I9" s="25">
        <f>SUM(I4:I8)</f>
        <v>3750</v>
      </c>
      <c r="J9" s="25">
        <f>SUM(J5:J8)</f>
        <v>0</v>
      </c>
      <c r="K9" s="25">
        <f>SUM(K5:K6)</f>
        <v>20750</v>
      </c>
      <c r="L9" s="26">
        <f t="shared" ref="L9:M9" si="3">SUM(L5:L8)</f>
        <v>24500</v>
      </c>
      <c r="M9" s="19">
        <f t="shared" si="3"/>
        <v>0</v>
      </c>
      <c r="N9" s="27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4"/>
      <c r="B10" s="24"/>
      <c r="C10" s="24"/>
      <c r="D10" s="24"/>
      <c r="E10" s="24"/>
      <c r="F10" s="28">
        <f>SUM(F9+G9+H9+I9+J9+K9)</f>
        <v>24500</v>
      </c>
      <c r="G10" s="6"/>
      <c r="H10" s="6"/>
      <c r="I10" s="6"/>
      <c r="J10" s="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89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44814.0</v>
      </c>
      <c r="C5" s="15" t="s">
        <v>90</v>
      </c>
      <c r="D5" s="16">
        <v>25650.0</v>
      </c>
      <c r="E5" s="16" t="s">
        <v>91</v>
      </c>
      <c r="F5" s="17"/>
      <c r="G5" s="22"/>
      <c r="H5" s="22">
        <v>22000.0</v>
      </c>
      <c r="I5" s="22"/>
      <c r="J5" s="17"/>
      <c r="K5" s="18"/>
      <c r="L5" s="18">
        <v>22000.0</v>
      </c>
      <c r="M5" s="19">
        <f t="shared" ref="M5:M6" si="1">SUM(F5+G5+H5+I5+J5+K5-L5)</f>
        <v>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44814.0</v>
      </c>
      <c r="C6" s="15" t="s">
        <v>92</v>
      </c>
      <c r="D6" s="16">
        <v>23221.0</v>
      </c>
      <c r="E6" s="16" t="s">
        <v>19</v>
      </c>
      <c r="F6" s="17"/>
      <c r="G6" s="17"/>
      <c r="H6" s="17"/>
      <c r="I6" s="22"/>
      <c r="J6" s="17"/>
      <c r="K6" s="18">
        <v>1268.0</v>
      </c>
      <c r="L6" s="18">
        <v>1268.0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44814.0</v>
      </c>
      <c r="C7" s="15" t="s">
        <v>93</v>
      </c>
      <c r="D7" s="16">
        <v>53943.0</v>
      </c>
      <c r="E7" s="16" t="s">
        <v>94</v>
      </c>
      <c r="F7" s="17"/>
      <c r="G7" s="17"/>
      <c r="H7" s="17"/>
      <c r="I7" s="22">
        <v>200.0</v>
      </c>
      <c r="J7" s="22"/>
      <c r="K7" s="23"/>
      <c r="L7" s="18">
        <v>200.0</v>
      </c>
      <c r="M7" s="30">
        <v>0.0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4.0</v>
      </c>
      <c r="B8" s="14">
        <v>44814.0</v>
      </c>
      <c r="C8" s="15" t="s">
        <v>95</v>
      </c>
      <c r="D8" s="16">
        <v>63154.0</v>
      </c>
      <c r="E8" s="16" t="s">
        <v>96</v>
      </c>
      <c r="F8" s="17"/>
      <c r="G8" s="17"/>
      <c r="H8" s="17"/>
      <c r="I8" s="22"/>
      <c r="J8" s="22">
        <v>200.0</v>
      </c>
      <c r="K8" s="23"/>
      <c r="L8" s="18">
        <v>200.0</v>
      </c>
      <c r="M8" s="30">
        <v>0.0</v>
      </c>
      <c r="N8" s="20"/>
      <c r="O8" s="21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>
        <v>5.0</v>
      </c>
      <c r="B9" s="14">
        <v>44814.0</v>
      </c>
      <c r="C9" s="15" t="s">
        <v>97</v>
      </c>
      <c r="D9" s="16">
        <v>58456.0</v>
      </c>
      <c r="E9" s="16" t="s">
        <v>98</v>
      </c>
      <c r="F9" s="22">
        <v>0.0</v>
      </c>
      <c r="G9" s="17"/>
      <c r="H9" s="17"/>
      <c r="I9" s="22"/>
      <c r="J9" s="22"/>
      <c r="K9" s="23"/>
      <c r="L9" s="18">
        <v>300.0</v>
      </c>
      <c r="M9" s="30">
        <v>0.0</v>
      </c>
      <c r="N9" s="31" t="s">
        <v>99</v>
      </c>
      <c r="O9" s="21"/>
      <c r="P9" s="21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>
        <v>6.0</v>
      </c>
      <c r="B10" s="14">
        <v>44814.0</v>
      </c>
      <c r="C10" s="15" t="s">
        <v>100</v>
      </c>
      <c r="D10" s="16">
        <v>53054.0</v>
      </c>
      <c r="E10" s="16" t="s">
        <v>101</v>
      </c>
      <c r="F10" s="22">
        <v>0.0</v>
      </c>
      <c r="G10" s="17"/>
      <c r="H10" s="17"/>
      <c r="I10" s="22"/>
      <c r="J10" s="22"/>
      <c r="K10" s="23"/>
      <c r="L10" s="18">
        <v>300.0</v>
      </c>
      <c r="M10" s="30">
        <v>0.0</v>
      </c>
      <c r="N10" s="31" t="s">
        <v>99</v>
      </c>
      <c r="O10" s="21"/>
      <c r="P10" s="2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>
        <v>7.0</v>
      </c>
      <c r="B11" s="14"/>
      <c r="C11" s="15"/>
      <c r="D11" s="16"/>
      <c r="E11" s="16"/>
      <c r="F11" s="17"/>
      <c r="G11" s="17"/>
      <c r="H11" s="17"/>
      <c r="I11" s="22"/>
      <c r="J11" s="22"/>
      <c r="K11" s="23"/>
      <c r="L11" s="18"/>
      <c r="M11" s="30">
        <v>0.0</v>
      </c>
      <c r="N11" s="20"/>
      <c r="O11" s="21"/>
      <c r="P11" s="2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>
        <v>8.0</v>
      </c>
      <c r="B12" s="14"/>
      <c r="C12" s="15"/>
      <c r="D12" s="16"/>
      <c r="E12" s="16"/>
      <c r="F12" s="17"/>
      <c r="G12" s="17"/>
      <c r="H12" s="17"/>
      <c r="I12" s="22"/>
      <c r="J12" s="22"/>
      <c r="K12" s="23"/>
      <c r="L12" s="18"/>
      <c r="M12" s="30">
        <v>0.0</v>
      </c>
      <c r="N12" s="20"/>
      <c r="O12" s="21"/>
      <c r="P12" s="2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3">
        <v>9.0</v>
      </c>
      <c r="B13" s="24"/>
      <c r="C13" s="24"/>
      <c r="D13" s="24"/>
      <c r="E13" s="24"/>
      <c r="F13" s="32">
        <f>SUM(F5:F12)</f>
        <v>0</v>
      </c>
      <c r="G13" s="25">
        <f>SUM(G5:G6)</f>
        <v>0</v>
      </c>
      <c r="H13" s="25">
        <f>SUM(H5:H8)</f>
        <v>22000</v>
      </c>
      <c r="I13" s="25">
        <f>SUM(I4:I8)</f>
        <v>200</v>
      </c>
      <c r="J13" s="25">
        <f>SUM(J5:J8)</f>
        <v>200</v>
      </c>
      <c r="K13" s="25">
        <f>SUM(K5:K6)</f>
        <v>1268</v>
      </c>
      <c r="L13" s="26">
        <f>SUM(L5:L12)</f>
        <v>24268</v>
      </c>
      <c r="M13" s="19">
        <f>SUM(M5:M8)</f>
        <v>0</v>
      </c>
      <c r="N13" s="27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4"/>
      <c r="B14" s="24"/>
      <c r="C14" s="24"/>
      <c r="D14" s="24"/>
      <c r="E14" s="24"/>
      <c r="F14" s="28">
        <f>SUM(F13+G13+H13+I13+J13+K13)</f>
        <v>23668</v>
      </c>
      <c r="G14" s="6"/>
      <c r="H14" s="6"/>
      <c r="I14" s="6"/>
      <c r="J14" s="7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102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44814.0</v>
      </c>
      <c r="C5" s="15" t="s">
        <v>103</v>
      </c>
      <c r="D5" s="16">
        <v>65365.0</v>
      </c>
      <c r="E5" s="16" t="s">
        <v>104</v>
      </c>
      <c r="F5" s="17"/>
      <c r="G5" s="22"/>
      <c r="H5" s="22"/>
      <c r="I5" s="22">
        <v>300.0</v>
      </c>
      <c r="J5" s="17"/>
      <c r="K5" s="18"/>
      <c r="L5" s="18">
        <v>600.0</v>
      </c>
      <c r="M5" s="19">
        <f t="shared" ref="M5:M6" si="1">SUM(F5+G5+H5+I5+J5+K5-L5)</f>
        <v>-300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44814.0</v>
      </c>
      <c r="C6" s="15" t="s">
        <v>105</v>
      </c>
      <c r="D6" s="16">
        <v>23221.0</v>
      </c>
      <c r="E6" s="16" t="s">
        <v>19</v>
      </c>
      <c r="F6" s="17"/>
      <c r="G6" s="17"/>
      <c r="H6" s="17"/>
      <c r="I6" s="22"/>
      <c r="J6" s="17"/>
      <c r="K6" s="18">
        <v>600.0</v>
      </c>
      <c r="L6" s="18">
        <v>300.0</v>
      </c>
      <c r="M6" s="19">
        <f t="shared" si="1"/>
        <v>300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/>
      <c r="B7" s="24"/>
      <c r="C7" s="24"/>
      <c r="D7" s="24"/>
      <c r="E7" s="24"/>
      <c r="F7" s="32">
        <f t="shared" ref="F7:H7" si="2">SUM(F5:F6)</f>
        <v>0</v>
      </c>
      <c r="G7" s="25">
        <f t="shared" si="2"/>
        <v>0</v>
      </c>
      <c r="H7" s="25">
        <f t="shared" si="2"/>
        <v>0</v>
      </c>
      <c r="I7" s="25">
        <f>SUM(I4:I6)</f>
        <v>300</v>
      </c>
      <c r="J7" s="25">
        <f t="shared" ref="J7:M7" si="3">SUM(J5:J6)</f>
        <v>0</v>
      </c>
      <c r="K7" s="25">
        <f t="shared" si="3"/>
        <v>600</v>
      </c>
      <c r="L7" s="26">
        <f t="shared" si="3"/>
        <v>900</v>
      </c>
      <c r="M7" s="19">
        <f t="shared" si="3"/>
        <v>0</v>
      </c>
      <c r="N7" s="2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24"/>
      <c r="F8" s="28">
        <f>SUM(F7+G7+H7+I7+J7+K7)</f>
        <v>900</v>
      </c>
      <c r="G8" s="6"/>
      <c r="H8" s="6"/>
      <c r="I8" s="6"/>
      <c r="J8" s="7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106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44816.0</v>
      </c>
      <c r="C5" s="15" t="s">
        <v>107</v>
      </c>
      <c r="D5" s="16">
        <v>26831.0</v>
      </c>
      <c r="E5" s="16" t="s">
        <v>108</v>
      </c>
      <c r="F5" s="17"/>
      <c r="G5" s="22"/>
      <c r="H5" s="22"/>
      <c r="I5" s="22"/>
      <c r="J5" s="22">
        <v>200.0</v>
      </c>
      <c r="K5" s="18"/>
      <c r="L5" s="18">
        <v>200.0</v>
      </c>
      <c r="M5" s="19">
        <f t="shared" ref="M5:M6" si="1">SUM(F5+G5+H5+I5+J5+K5-L5)</f>
        <v>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/>
      <c r="C6" s="15"/>
      <c r="D6" s="16"/>
      <c r="E6" s="16"/>
      <c r="F6" s="17"/>
      <c r="G6" s="17"/>
      <c r="H6" s="17"/>
      <c r="I6" s="22"/>
      <c r="J6" s="17"/>
      <c r="K6" s="18"/>
      <c r="L6" s="18"/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/>
      <c r="B7" s="24"/>
      <c r="C7" s="24"/>
      <c r="D7" s="24"/>
      <c r="E7" s="24"/>
      <c r="F7" s="32">
        <f t="shared" ref="F7:H7" si="2">SUM(F5:F6)</f>
        <v>0</v>
      </c>
      <c r="G7" s="25">
        <f t="shared" si="2"/>
        <v>0</v>
      </c>
      <c r="H7" s="25">
        <f t="shared" si="2"/>
        <v>0</v>
      </c>
      <c r="I7" s="25">
        <f>SUM(I4:I6)</f>
        <v>0</v>
      </c>
      <c r="J7" s="25">
        <f t="shared" ref="J7:M7" si="3">SUM(J5:J6)</f>
        <v>200</v>
      </c>
      <c r="K7" s="25">
        <f t="shared" si="3"/>
        <v>0</v>
      </c>
      <c r="L7" s="26">
        <f t="shared" si="3"/>
        <v>200</v>
      </c>
      <c r="M7" s="19">
        <f t="shared" si="3"/>
        <v>0</v>
      </c>
      <c r="N7" s="2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24"/>
      <c r="F8" s="28">
        <f>SUM(F7+G7+H7+I7+J7+K7)</f>
        <v>200</v>
      </c>
      <c r="G8" s="6"/>
      <c r="H8" s="6"/>
      <c r="I8" s="6"/>
      <c r="J8" s="7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</cols>
  <sheetData>
    <row r="1">
      <c r="A1" s="1" t="s">
        <v>109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44818.0</v>
      </c>
      <c r="C5" s="15" t="s">
        <v>110</v>
      </c>
      <c r="D5" s="16">
        <v>21828.0</v>
      </c>
      <c r="E5" s="16" t="s">
        <v>85</v>
      </c>
      <c r="F5" s="17"/>
      <c r="G5" s="22"/>
      <c r="H5" s="22"/>
      <c r="I5" s="22"/>
      <c r="J5" s="22"/>
      <c r="K5" s="18">
        <v>22899.0</v>
      </c>
      <c r="L5" s="18">
        <v>22899.0</v>
      </c>
      <c r="M5" s="19">
        <f t="shared" ref="M5:M8" si="1">SUM(F5+G5+H5+I5+J5+K5-L5)</f>
        <v>0</v>
      </c>
      <c r="N5" s="29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>
        <v>2.0</v>
      </c>
      <c r="B6" s="14">
        <v>44818.0</v>
      </c>
      <c r="C6" s="15" t="s">
        <v>111</v>
      </c>
      <c r="D6" s="16">
        <v>36928.0</v>
      </c>
      <c r="E6" s="16" t="s">
        <v>112</v>
      </c>
      <c r="F6" s="17"/>
      <c r="G6" s="17"/>
      <c r="H6" s="17"/>
      <c r="I6" s="22"/>
      <c r="J6" s="22">
        <v>37.0</v>
      </c>
      <c r="K6" s="18"/>
      <c r="L6" s="18">
        <v>37.0</v>
      </c>
      <c r="M6" s="19">
        <f t="shared" si="1"/>
        <v>0</v>
      </c>
      <c r="N6" s="20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14">
        <v>44818.0</v>
      </c>
      <c r="C7" s="15" t="s">
        <v>113</v>
      </c>
      <c r="D7" s="16">
        <v>53470.0</v>
      </c>
      <c r="E7" s="16" t="s">
        <v>114</v>
      </c>
      <c r="F7" s="17"/>
      <c r="G7" s="17"/>
      <c r="H7" s="17"/>
      <c r="I7" s="22"/>
      <c r="J7" s="17"/>
      <c r="K7" s="18">
        <v>35.0</v>
      </c>
      <c r="L7" s="18">
        <v>35.0</v>
      </c>
      <c r="M7" s="19">
        <f t="shared" si="1"/>
        <v>0</v>
      </c>
      <c r="N7" s="20"/>
      <c r="O7" s="21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/>
      <c r="B8" s="24"/>
      <c r="C8" s="24"/>
      <c r="D8" s="24"/>
      <c r="E8" s="24"/>
      <c r="F8" s="32">
        <f t="shared" ref="F8:H8" si="2">SUM(F5:F6)</f>
        <v>0</v>
      </c>
      <c r="G8" s="25">
        <f t="shared" si="2"/>
        <v>0</v>
      </c>
      <c r="H8" s="25">
        <f t="shared" si="2"/>
        <v>0</v>
      </c>
      <c r="I8" s="25">
        <f>SUM(I4:I6)</f>
        <v>0</v>
      </c>
      <c r="J8" s="25">
        <f t="shared" ref="J8:L8" si="3">SUM(J5:J6)</f>
        <v>37</v>
      </c>
      <c r="K8" s="25">
        <f t="shared" si="3"/>
        <v>22899</v>
      </c>
      <c r="L8" s="26">
        <f t="shared" si="3"/>
        <v>22936</v>
      </c>
      <c r="M8" s="19">
        <f t="shared" si="1"/>
        <v>0</v>
      </c>
      <c r="N8" s="27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4"/>
      <c r="B9" s="24"/>
      <c r="C9" s="24"/>
      <c r="D9" s="24"/>
      <c r="E9" s="24"/>
      <c r="F9" s="28">
        <f>SUM(F8+G8+H8+I8+J8+K8)</f>
        <v>22936</v>
      </c>
      <c r="G9" s="6"/>
      <c r="H9" s="6"/>
      <c r="I9" s="6"/>
      <c r="J9" s="7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115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44819.0</v>
      </c>
      <c r="C5" s="15" t="s">
        <v>116</v>
      </c>
      <c r="D5" s="16">
        <v>65013.0</v>
      </c>
      <c r="E5" s="16" t="s">
        <v>117</v>
      </c>
      <c r="F5" s="17"/>
      <c r="G5" s="22"/>
      <c r="H5" s="22"/>
      <c r="I5" s="22">
        <v>0.0</v>
      </c>
      <c r="J5" s="22"/>
      <c r="K5" s="18"/>
      <c r="L5" s="18">
        <v>8975.57</v>
      </c>
      <c r="M5" s="19">
        <f t="shared" ref="M5:M6" si="3">SUM(F5+G5+H5+I5+J5+K5-L5)</f>
        <v>-8975.57</v>
      </c>
      <c r="N5" s="33" t="s">
        <v>118</v>
      </c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/>
      <c r="B6" s="24"/>
      <c r="C6" s="24"/>
      <c r="D6" s="24"/>
      <c r="E6" s="24"/>
      <c r="F6" s="32">
        <f t="shared" ref="F6:H6" si="1">SUM(F5)</f>
        <v>0</v>
      </c>
      <c r="G6" s="25">
        <f t="shared" si="1"/>
        <v>0</v>
      </c>
      <c r="H6" s="25">
        <f t="shared" si="1"/>
        <v>0</v>
      </c>
      <c r="I6" s="32">
        <v>0.0</v>
      </c>
      <c r="J6" s="25">
        <f t="shared" ref="J6:L6" si="2">SUM(J5)</f>
        <v>0</v>
      </c>
      <c r="K6" s="25">
        <f t="shared" si="2"/>
        <v>0</v>
      </c>
      <c r="L6" s="26">
        <f t="shared" si="2"/>
        <v>8975.57</v>
      </c>
      <c r="M6" s="19">
        <f t="shared" si="3"/>
        <v>-8975.57</v>
      </c>
      <c r="N6" s="2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24"/>
      <c r="F7" s="28">
        <f>SUM(F6+G6+H6+I6+J6+K6)</f>
        <v>0</v>
      </c>
      <c r="G7" s="6"/>
      <c r="H7" s="6"/>
      <c r="I7" s="6"/>
      <c r="J7" s="7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119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14">
        <v>44820.0</v>
      </c>
      <c r="C5" s="15" t="s">
        <v>120</v>
      </c>
      <c r="D5" s="16">
        <v>61100.0</v>
      </c>
      <c r="E5" s="16" t="s">
        <v>121</v>
      </c>
      <c r="F5" s="17"/>
      <c r="G5" s="22"/>
      <c r="H5" s="22"/>
      <c r="I5" s="22">
        <v>24016.0</v>
      </c>
      <c r="J5" s="22"/>
      <c r="K5" s="18"/>
      <c r="L5" s="18">
        <v>24016.0</v>
      </c>
      <c r="M5" s="19">
        <f t="shared" ref="M5:M6" si="3"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/>
      <c r="B6" s="24"/>
      <c r="C6" s="24"/>
      <c r="D6" s="24"/>
      <c r="E6" s="24"/>
      <c r="F6" s="32">
        <f t="shared" ref="F6:H6" si="1">SUM(F5)</f>
        <v>0</v>
      </c>
      <c r="G6" s="25">
        <f t="shared" si="1"/>
        <v>0</v>
      </c>
      <c r="H6" s="25">
        <f t="shared" si="1"/>
        <v>0</v>
      </c>
      <c r="I6" s="32">
        <v>24016.0</v>
      </c>
      <c r="J6" s="25">
        <f t="shared" ref="J6:L6" si="2">SUM(J5)</f>
        <v>0</v>
      </c>
      <c r="K6" s="25">
        <f t="shared" si="2"/>
        <v>0</v>
      </c>
      <c r="L6" s="26">
        <f t="shared" si="2"/>
        <v>24016</v>
      </c>
      <c r="M6" s="19">
        <f t="shared" si="3"/>
        <v>0</v>
      </c>
      <c r="N6" s="2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24"/>
      <c r="F7" s="28">
        <f>SUM(F6+G6+H6+I6+J6+K6)</f>
        <v>24016</v>
      </c>
      <c r="G7" s="6"/>
      <c r="H7" s="6"/>
      <c r="I7" s="6"/>
      <c r="J7" s="7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122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44821.0</v>
      </c>
      <c r="C5" s="15" t="s">
        <v>123</v>
      </c>
      <c r="D5" s="16">
        <v>23221.0</v>
      </c>
      <c r="E5" s="16" t="s">
        <v>19</v>
      </c>
      <c r="F5" s="17"/>
      <c r="G5" s="22"/>
      <c r="H5" s="22">
        <v>10000.0</v>
      </c>
      <c r="I5" s="22"/>
      <c r="J5" s="22"/>
      <c r="K5" s="18">
        <v>0.0</v>
      </c>
      <c r="L5" s="18">
        <v>10000.0</v>
      </c>
      <c r="M5" s="19">
        <f t="shared" ref="M5:M6" si="2"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5">
        <v>2.0</v>
      </c>
      <c r="B6" s="34">
        <v>44821.0</v>
      </c>
      <c r="C6" s="16" t="s">
        <v>124</v>
      </c>
      <c r="D6" s="16">
        <v>25650.0</v>
      </c>
      <c r="E6" s="16" t="s">
        <v>91</v>
      </c>
      <c r="F6" s="32">
        <f t="shared" ref="F6:G6" si="1">SUM(F5)</f>
        <v>0</v>
      </c>
      <c r="G6" s="25">
        <f t="shared" si="1"/>
        <v>0</v>
      </c>
      <c r="H6" s="25"/>
      <c r="I6" s="32"/>
      <c r="J6" s="25">
        <f>SUM(J5)</f>
        <v>0</v>
      </c>
      <c r="K6" s="32">
        <v>767.0</v>
      </c>
      <c r="L6" s="36">
        <v>767.0</v>
      </c>
      <c r="M6" s="19">
        <f t="shared" si="2"/>
        <v>0</v>
      </c>
      <c r="N6" s="2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24"/>
      <c r="F7" s="37"/>
      <c r="G7" s="37"/>
      <c r="H7" s="37"/>
      <c r="I7" s="37"/>
      <c r="J7" s="37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24"/>
      <c r="F8" s="28">
        <f>H5+K6</f>
        <v>10767</v>
      </c>
      <c r="G8" s="6"/>
      <c r="H8" s="6"/>
      <c r="I8" s="6"/>
      <c r="J8" s="7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8"/>
      <c r="G9" s="38"/>
      <c r="H9" s="38"/>
      <c r="I9" s="38"/>
      <c r="J9" s="38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125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44823.0</v>
      </c>
      <c r="C5" s="15" t="s">
        <v>126</v>
      </c>
      <c r="D5" s="16">
        <v>10002.0</v>
      </c>
      <c r="E5" s="16" t="s">
        <v>30</v>
      </c>
      <c r="F5" s="17"/>
      <c r="G5" s="22"/>
      <c r="H5" s="22"/>
      <c r="I5" s="22">
        <v>1300.0</v>
      </c>
      <c r="J5" s="22"/>
      <c r="K5" s="18"/>
      <c r="L5" s="18">
        <v>1300.0</v>
      </c>
      <c r="M5" s="19">
        <f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5"/>
      <c r="B6" s="34"/>
      <c r="C6" s="16"/>
      <c r="D6" s="16"/>
      <c r="E6" s="16"/>
      <c r="F6" s="32"/>
      <c r="G6" s="25"/>
      <c r="H6" s="25"/>
      <c r="I6" s="32"/>
      <c r="J6" s="25"/>
      <c r="K6" s="32"/>
      <c r="L6" s="36">
        <v>1300.0</v>
      </c>
      <c r="M6" s="19"/>
      <c r="N6" s="27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24"/>
      <c r="F7" s="39"/>
      <c r="G7" s="39"/>
      <c r="H7" s="39"/>
      <c r="I7" s="39">
        <f>SUM(I5:I6)</f>
        <v>1300</v>
      </c>
      <c r="J7" s="39"/>
      <c r="K7" s="40"/>
      <c r="L7" s="41"/>
      <c r="M7" s="41"/>
      <c r="N7" s="4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42"/>
      <c r="F8" s="28">
        <f>SUM(F7+G7+H7+I7+J7+K7)</f>
        <v>1300</v>
      </c>
      <c r="G8" s="6"/>
      <c r="H8" s="6"/>
      <c r="I8" s="6"/>
      <c r="J8" s="6"/>
      <c r="K8" s="7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8"/>
      <c r="G9" s="38"/>
      <c r="H9" s="38"/>
      <c r="I9" s="38"/>
      <c r="J9" s="38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15">
    <mergeCell ref="M2:M4"/>
    <mergeCell ref="N2:N4"/>
    <mergeCell ref="F3:F4"/>
    <mergeCell ref="G3:H3"/>
    <mergeCell ref="I3:J3"/>
    <mergeCell ref="K3:K4"/>
    <mergeCell ref="F8:K8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127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44824.0</v>
      </c>
      <c r="C5" s="15" t="s">
        <v>128</v>
      </c>
      <c r="D5" s="16">
        <v>35245.0</v>
      </c>
      <c r="E5" s="16" t="s">
        <v>129</v>
      </c>
      <c r="F5" s="17"/>
      <c r="G5" s="22"/>
      <c r="H5" s="22"/>
      <c r="I5" s="22">
        <v>5150.0</v>
      </c>
      <c r="J5" s="22"/>
      <c r="K5" s="18"/>
      <c r="L5" s="18">
        <v>5150.0</v>
      </c>
      <c r="M5" s="19">
        <f t="shared" ref="M5:M6" si="1"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5">
        <v>2.0</v>
      </c>
      <c r="B6" s="34">
        <v>44824.0</v>
      </c>
      <c r="C6" s="15" t="s">
        <v>130</v>
      </c>
      <c r="D6" s="16">
        <v>42278.0</v>
      </c>
      <c r="E6" s="16" t="s">
        <v>131</v>
      </c>
      <c r="F6" s="17"/>
      <c r="G6" s="22"/>
      <c r="H6" s="22"/>
      <c r="I6" s="22">
        <v>0.0</v>
      </c>
      <c r="J6" s="22"/>
      <c r="K6" s="18"/>
      <c r="L6" s="18">
        <v>300.0</v>
      </c>
      <c r="M6" s="19">
        <f t="shared" si="1"/>
        <v>-300</v>
      </c>
      <c r="N6" s="33" t="s">
        <v>132</v>
      </c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5"/>
      <c r="B7" s="34"/>
      <c r="C7" s="16"/>
      <c r="D7" s="16"/>
      <c r="E7" s="16"/>
      <c r="F7" s="32"/>
      <c r="G7" s="25"/>
      <c r="H7" s="25"/>
      <c r="I7" s="32"/>
      <c r="J7" s="25"/>
      <c r="K7" s="32"/>
      <c r="L7" s="36"/>
      <c r="M7" s="19"/>
      <c r="N7" s="2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24"/>
      <c r="F8" s="39"/>
      <c r="G8" s="39"/>
      <c r="H8" s="39"/>
      <c r="I8" s="39">
        <f>SUM(I5:I7)</f>
        <v>5150</v>
      </c>
      <c r="J8" s="39"/>
      <c r="K8" s="40"/>
      <c r="L8" s="41"/>
      <c r="M8" s="41"/>
      <c r="N8" s="4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4"/>
      <c r="B9" s="24"/>
      <c r="C9" s="24"/>
      <c r="D9" s="24"/>
      <c r="E9" s="42"/>
      <c r="F9" s="28">
        <f>SUM(F8+G8+H8+I8+J8+K8)</f>
        <v>5150</v>
      </c>
      <c r="G9" s="6"/>
      <c r="H9" s="6"/>
      <c r="I9" s="6"/>
      <c r="J9" s="6"/>
      <c r="K9" s="7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3"/>
      <c r="B10" s="3"/>
      <c r="C10" s="3"/>
      <c r="D10" s="3"/>
      <c r="E10" s="3"/>
      <c r="F10" s="38"/>
      <c r="G10" s="38"/>
      <c r="H10" s="38"/>
      <c r="I10" s="38"/>
      <c r="J10" s="38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5">
    <mergeCell ref="M2:M4"/>
    <mergeCell ref="N2:N4"/>
    <mergeCell ref="F3:F4"/>
    <mergeCell ref="G3:H3"/>
    <mergeCell ref="I3:J3"/>
    <mergeCell ref="K3:K4"/>
    <mergeCell ref="F9:K9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133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44825.0</v>
      </c>
      <c r="C5" s="15" t="s">
        <v>134</v>
      </c>
      <c r="D5" s="16">
        <v>35245.0</v>
      </c>
      <c r="E5" s="16" t="s">
        <v>129</v>
      </c>
      <c r="F5" s="17"/>
      <c r="G5" s="22"/>
      <c r="H5" s="22"/>
      <c r="I5" s="43">
        <v>5150.0</v>
      </c>
      <c r="J5" s="22"/>
      <c r="K5" s="18"/>
      <c r="L5" s="44">
        <v>5150.0</v>
      </c>
      <c r="M5" s="19">
        <f t="shared" ref="M5:M7" si="1"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5">
        <v>2.0</v>
      </c>
      <c r="B6" s="34">
        <v>44825.0</v>
      </c>
      <c r="C6" s="15" t="s">
        <v>135</v>
      </c>
      <c r="D6" s="16">
        <v>35245.0</v>
      </c>
      <c r="E6" s="16" t="s">
        <v>129</v>
      </c>
      <c r="F6" s="17"/>
      <c r="G6" s="22"/>
      <c r="H6" s="22"/>
      <c r="I6" s="43">
        <v>5150.0</v>
      </c>
      <c r="J6" s="22"/>
      <c r="K6" s="18"/>
      <c r="L6" s="44">
        <v>5150.0</v>
      </c>
      <c r="M6" s="19">
        <f t="shared" si="1"/>
        <v>0</v>
      </c>
      <c r="N6" s="33"/>
      <c r="O6" s="21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3.0</v>
      </c>
      <c r="B7" s="34">
        <v>44825.0</v>
      </c>
      <c r="C7" s="15" t="s">
        <v>136</v>
      </c>
      <c r="D7" s="16">
        <v>21384.0</v>
      </c>
      <c r="E7" s="16" t="s">
        <v>137</v>
      </c>
      <c r="F7" s="32"/>
      <c r="G7" s="25"/>
      <c r="H7" s="25"/>
      <c r="I7" s="36">
        <v>5600.0</v>
      </c>
      <c r="J7" s="25"/>
      <c r="K7" s="32"/>
      <c r="L7" s="36">
        <v>5600.0</v>
      </c>
      <c r="M7" s="19">
        <f t="shared" si="1"/>
        <v>0</v>
      </c>
      <c r="N7" s="27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4"/>
      <c r="B8" s="24"/>
      <c r="C8" s="24"/>
      <c r="D8" s="24"/>
      <c r="E8" s="24"/>
      <c r="F8" s="39"/>
      <c r="G8" s="39"/>
      <c r="H8" s="39"/>
      <c r="I8" s="39">
        <f>SUM(I5:I7)</f>
        <v>15900</v>
      </c>
      <c r="J8" s="39"/>
      <c r="K8" s="40"/>
      <c r="L8" s="45"/>
      <c r="M8" s="41"/>
      <c r="N8" s="4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4"/>
      <c r="B9" s="24"/>
      <c r="C9" s="24"/>
      <c r="D9" s="24"/>
      <c r="E9" s="42"/>
      <c r="F9" s="28">
        <f>SUM(F8+G8+H8+I8+J8+K8)</f>
        <v>15900</v>
      </c>
      <c r="G9" s="6"/>
      <c r="H9" s="6"/>
      <c r="I9" s="6"/>
      <c r="J9" s="6"/>
      <c r="K9" s="7"/>
      <c r="L9" s="46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3"/>
      <c r="B10" s="3"/>
      <c r="C10" s="3"/>
      <c r="D10" s="3"/>
      <c r="E10" s="3"/>
      <c r="F10" s="38"/>
      <c r="G10" s="38"/>
      <c r="H10" s="38"/>
      <c r="I10" s="38"/>
      <c r="J10" s="38"/>
      <c r="K10" s="21"/>
      <c r="L10" s="46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47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47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L999" s="48"/>
    </row>
    <row r="1000">
      <c r="L1000" s="48"/>
    </row>
    <row r="1001">
      <c r="L1001" s="48"/>
    </row>
    <row r="1002">
      <c r="L1002" s="48"/>
    </row>
  </sheetData>
  <mergeCells count="15">
    <mergeCell ref="M2:M4"/>
    <mergeCell ref="N2:N4"/>
    <mergeCell ref="F3:F4"/>
    <mergeCell ref="G3:H3"/>
    <mergeCell ref="I3:J3"/>
    <mergeCell ref="K3:K4"/>
    <mergeCell ref="F9:K9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138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44827.0</v>
      </c>
      <c r="C5" s="15" t="s">
        <v>139</v>
      </c>
      <c r="D5" s="16">
        <v>65013.0</v>
      </c>
      <c r="E5" s="16" t="s">
        <v>117</v>
      </c>
      <c r="F5" s="17"/>
      <c r="G5" s="22"/>
      <c r="H5" s="22"/>
      <c r="I5" s="43"/>
      <c r="J5" s="22"/>
      <c r="K5" s="18">
        <v>1024.0</v>
      </c>
      <c r="L5" s="44">
        <v>1024.28</v>
      </c>
      <c r="M5" s="19">
        <f>SUM(F5+G5+H5+I5+J5+K5-L5)</f>
        <v>-0.28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4"/>
      <c r="B6" s="24"/>
      <c r="C6" s="24"/>
      <c r="D6" s="24"/>
      <c r="E6" s="24"/>
      <c r="F6" s="39"/>
      <c r="G6" s="39"/>
      <c r="H6" s="39"/>
      <c r="I6" s="39">
        <f>SUM(I5)</f>
        <v>0</v>
      </c>
      <c r="J6" s="39"/>
      <c r="K6" s="49">
        <f>SUM(K5)</f>
        <v>1024</v>
      </c>
      <c r="L6" s="45"/>
      <c r="M6" s="41"/>
      <c r="N6" s="4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42"/>
      <c r="F7" s="28">
        <f>SUM(F6+G6+H6+I6+J6+K6)</f>
        <v>1024</v>
      </c>
      <c r="G7" s="6"/>
      <c r="H7" s="6"/>
      <c r="I7" s="6"/>
      <c r="J7" s="6"/>
      <c r="K7" s="7"/>
      <c r="L7" s="4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8"/>
      <c r="G8" s="38"/>
      <c r="H8" s="38"/>
      <c r="I8" s="38"/>
      <c r="J8" s="38"/>
      <c r="K8" s="21"/>
      <c r="L8" s="4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L997" s="48"/>
    </row>
    <row r="998">
      <c r="L998" s="48"/>
    </row>
    <row r="999">
      <c r="L999" s="48"/>
    </row>
    <row r="1000">
      <c r="L1000" s="48"/>
    </row>
  </sheetData>
  <mergeCells count="15">
    <mergeCell ref="M2:M4"/>
    <mergeCell ref="N2:N4"/>
    <mergeCell ref="F3:F4"/>
    <mergeCell ref="G3:H3"/>
    <mergeCell ref="I3:J3"/>
    <mergeCell ref="K3:K4"/>
    <mergeCell ref="F7:K7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140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44827.0</v>
      </c>
      <c r="C5" s="15" t="s">
        <v>141</v>
      </c>
      <c r="D5" s="16">
        <v>23221.0</v>
      </c>
      <c r="E5" s="16" t="s">
        <v>19</v>
      </c>
      <c r="F5" s="17"/>
      <c r="G5" s="22"/>
      <c r="H5" s="22"/>
      <c r="I5" s="43"/>
      <c r="J5" s="22"/>
      <c r="K5" s="18">
        <v>260.0</v>
      </c>
      <c r="L5" s="44">
        <v>260.0</v>
      </c>
      <c r="M5" s="19">
        <f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4"/>
      <c r="B6" s="24"/>
      <c r="C6" s="24"/>
      <c r="D6" s="24"/>
      <c r="E6" s="24"/>
      <c r="F6" s="39"/>
      <c r="G6" s="39"/>
      <c r="H6" s="39"/>
      <c r="I6" s="39">
        <f>SUM(I5)</f>
        <v>0</v>
      </c>
      <c r="J6" s="39"/>
      <c r="K6" s="49">
        <f>SUM(K5)</f>
        <v>260</v>
      </c>
      <c r="L6" s="45"/>
      <c r="M6" s="41"/>
      <c r="N6" s="4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42"/>
      <c r="F7" s="28">
        <f>SUM(F6+G6+H6+I6+J6+K6)</f>
        <v>260</v>
      </c>
      <c r="G7" s="6"/>
      <c r="H7" s="6"/>
      <c r="I7" s="6"/>
      <c r="J7" s="6"/>
      <c r="K7" s="7"/>
      <c r="L7" s="4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8"/>
      <c r="G8" s="38"/>
      <c r="H8" s="38"/>
      <c r="I8" s="38"/>
      <c r="J8" s="38"/>
      <c r="K8" s="21"/>
      <c r="L8" s="4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L997" s="48"/>
    </row>
    <row r="998">
      <c r="L998" s="48"/>
    </row>
    <row r="999">
      <c r="L999" s="48"/>
    </row>
    <row r="1000">
      <c r="L1000" s="48"/>
    </row>
  </sheetData>
  <mergeCells count="15">
    <mergeCell ref="M2:M4"/>
    <mergeCell ref="N2:N4"/>
    <mergeCell ref="F3:F4"/>
    <mergeCell ref="G3:H3"/>
    <mergeCell ref="I3:J3"/>
    <mergeCell ref="K3:K4"/>
    <mergeCell ref="F7:K7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142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44829.0</v>
      </c>
      <c r="C5" s="15" t="s">
        <v>143</v>
      </c>
      <c r="D5" s="16">
        <v>23221.0</v>
      </c>
      <c r="E5" s="16" t="s">
        <v>19</v>
      </c>
      <c r="F5" s="17"/>
      <c r="G5" s="22"/>
      <c r="H5" s="22"/>
      <c r="I5" s="43"/>
      <c r="J5" s="22"/>
      <c r="K5" s="18">
        <v>645.0</v>
      </c>
      <c r="L5" s="44">
        <v>645.0</v>
      </c>
      <c r="M5" s="19">
        <f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4"/>
      <c r="B6" s="24"/>
      <c r="C6" s="24"/>
      <c r="D6" s="24"/>
      <c r="E6" s="24"/>
      <c r="F6" s="39"/>
      <c r="G6" s="39"/>
      <c r="H6" s="39"/>
      <c r="I6" s="39">
        <f>SUM(I5)</f>
        <v>0</v>
      </c>
      <c r="J6" s="39"/>
      <c r="K6" s="49">
        <f>SUM(K5)</f>
        <v>645</v>
      </c>
      <c r="L6" s="45"/>
      <c r="M6" s="41"/>
      <c r="N6" s="4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42"/>
      <c r="F7" s="28">
        <f>SUM(F6+G6+H6+I6+J6+K6)</f>
        <v>645</v>
      </c>
      <c r="G7" s="6"/>
      <c r="H7" s="6"/>
      <c r="I7" s="6"/>
      <c r="J7" s="6"/>
      <c r="K7" s="7"/>
      <c r="L7" s="4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8"/>
      <c r="G8" s="38"/>
      <c r="H8" s="38"/>
      <c r="I8" s="38"/>
      <c r="J8" s="38"/>
      <c r="K8" s="21"/>
      <c r="L8" s="4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L997" s="48"/>
    </row>
    <row r="998">
      <c r="L998" s="48"/>
    </row>
    <row r="999">
      <c r="L999" s="48"/>
    </row>
    <row r="1000">
      <c r="L1000" s="48"/>
    </row>
  </sheetData>
  <mergeCells count="15">
    <mergeCell ref="M2:M4"/>
    <mergeCell ref="N2:N4"/>
    <mergeCell ref="F3:F4"/>
    <mergeCell ref="G3:H3"/>
    <mergeCell ref="I3:J3"/>
    <mergeCell ref="K3:K4"/>
    <mergeCell ref="F7:K7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38"/>
    <col customWidth="1" min="5" max="5" width="67.38"/>
    <col customWidth="1" min="12" max="12" width="16.0"/>
    <col customWidth="1" min="14" max="14" width="22.5"/>
  </cols>
  <sheetData>
    <row r="1">
      <c r="A1" s="1" t="s">
        <v>144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7"/>
      <c r="M2" s="4" t="s">
        <v>7</v>
      </c>
      <c r="N2" s="4" t="s">
        <v>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9" t="s">
        <v>9</v>
      </c>
      <c r="G3" s="5" t="s">
        <v>10</v>
      </c>
      <c r="H3" s="7"/>
      <c r="I3" s="5" t="s">
        <v>11</v>
      </c>
      <c r="J3" s="7"/>
      <c r="K3" s="10" t="s">
        <v>12</v>
      </c>
      <c r="L3" s="4" t="s">
        <v>13</v>
      </c>
      <c r="M3" s="8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>
        <v>1.0</v>
      </c>
      <c r="B5" s="34">
        <v>44832.0</v>
      </c>
      <c r="C5" s="15" t="s">
        <v>145</v>
      </c>
      <c r="D5" s="16">
        <v>36769.0</v>
      </c>
      <c r="E5" s="16" t="s">
        <v>146</v>
      </c>
      <c r="F5" s="17"/>
      <c r="G5" s="22"/>
      <c r="H5" s="22"/>
      <c r="I5" s="43">
        <v>100.0</v>
      </c>
      <c r="J5" s="22"/>
      <c r="K5" s="18"/>
      <c r="L5" s="44">
        <v>100.0</v>
      </c>
      <c r="M5" s="19">
        <f>SUM(F5+G5+H5+I5+J5+K5-L5)</f>
        <v>0</v>
      </c>
      <c r="N5" s="33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4"/>
      <c r="B6" s="24"/>
      <c r="C6" s="24"/>
      <c r="D6" s="24"/>
      <c r="E6" s="24"/>
      <c r="F6" s="39"/>
      <c r="G6" s="39"/>
      <c r="H6" s="39"/>
      <c r="I6" s="39">
        <f>SUM(I5)</f>
        <v>100</v>
      </c>
      <c r="J6" s="39"/>
      <c r="K6" s="49">
        <f>SUM(K5)</f>
        <v>0</v>
      </c>
      <c r="L6" s="45"/>
      <c r="M6" s="41"/>
      <c r="N6" s="4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4"/>
      <c r="B7" s="24"/>
      <c r="C7" s="24"/>
      <c r="D7" s="24"/>
      <c r="E7" s="42"/>
      <c r="F7" s="28">
        <f>SUM(F6+G6+H6+I6+J6+K6)</f>
        <v>100</v>
      </c>
      <c r="G7" s="6"/>
      <c r="H7" s="6"/>
      <c r="I7" s="6"/>
      <c r="J7" s="6"/>
      <c r="K7" s="7"/>
      <c r="L7" s="4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3"/>
      <c r="B8" s="3"/>
      <c r="C8" s="3"/>
      <c r="D8" s="3"/>
      <c r="E8" s="3"/>
      <c r="F8" s="38"/>
      <c r="G8" s="38"/>
      <c r="H8" s="38"/>
      <c r="I8" s="38"/>
      <c r="J8" s="38"/>
      <c r="K8" s="21"/>
      <c r="L8" s="4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L997" s="48"/>
    </row>
    <row r="998">
      <c r="L998" s="48"/>
    </row>
    <row r="999">
      <c r="L999" s="48"/>
    </row>
    <row r="1000">
      <c r="L1000" s="48"/>
    </row>
  </sheetData>
  <mergeCells count="15">
    <mergeCell ref="M2:M4"/>
    <mergeCell ref="N2:N4"/>
    <mergeCell ref="F3:F4"/>
    <mergeCell ref="G3:H3"/>
    <mergeCell ref="I3:J3"/>
    <mergeCell ref="K3:K4"/>
    <mergeCell ref="F7:K7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
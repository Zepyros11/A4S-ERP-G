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สำเนาของ ชีต1" sheetId="2" r:id="rId5"/>
  </sheets>
  <definedNames/>
  <calcPr/>
</workbook>
</file>

<file path=xl/sharedStrings.xml><?xml version="1.0" encoding="utf-8"?>
<sst xmlns="http://schemas.openxmlformats.org/spreadsheetml/2006/main" count="94" uniqueCount="53">
  <si>
    <t>ตรวจบิล  พ.ค 65</t>
  </si>
  <si>
    <t>วันที่</t>
  </si>
  <si>
    <t>ใน DAILY SALE</t>
  </si>
  <si>
    <t>ในระบบ</t>
  </si>
  <si>
    <t>ผลต่าง</t>
  </si>
  <si>
    <t>SIGNATURE</t>
  </si>
  <si>
    <t>หมายเหตุ</t>
  </si>
  <si>
    <t>จำนวน</t>
  </si>
  <si>
    <t>มูลค่า</t>
  </si>
  <si>
    <t>คงเหลือ</t>
  </si>
  <si>
    <t>30-2.5.65</t>
  </si>
  <si>
    <t>ปูน</t>
  </si>
  <si>
    <t>3.5.65</t>
  </si>
  <si>
    <t>ผลต่าง 14100 บาท เป็นบิลยกเลิกวันที่ 2/5/65  เลขที่บิล STHONLIN2205000023 // STHBKK012205000126</t>
  </si>
  <si>
    <t>4.5.65</t>
  </si>
  <si>
    <t>5.5.65</t>
  </si>
  <si>
    <t>6.5.65</t>
  </si>
  <si>
    <t>ผลต่าง  5500 บาท เป็นบิลยกเลิกวันที่ 5/5/65  เลขที่บิล STHBKK012205000520 และ บิล  STHBKK012205000592 (เพื่อขึ้นตำแหน่ง mentor)</t>
  </si>
  <si>
    <t>7.5.66</t>
  </si>
  <si>
    <t>เอิง</t>
  </si>
  <si>
    <t>8.5.65</t>
  </si>
  <si>
    <t>9.5.65</t>
  </si>
  <si>
    <t>10.5.65</t>
  </si>
  <si>
    <t>11.05.65</t>
  </si>
  <si>
    <t>12.05.65</t>
  </si>
  <si>
    <t>ผลต่าง 19,450 บาท เป็นบิลยกเลิกวันที่ 11.05.65 เลขที่บิล STHBKK012205001285 // STHBKK012205001241</t>
  </si>
  <si>
    <t>13.05.65</t>
  </si>
  <si>
    <t>14.05.65</t>
  </si>
  <si>
    <t>นี</t>
  </si>
  <si>
    <t>16.05.65</t>
  </si>
  <si>
    <t xml:space="preserve">ผลต่าง 5000 บาท เป็นบิลยกเลิกวันที่ 14.05.65 เลขที่บิล STHBKK012205001656 </t>
  </si>
  <si>
    <t>รวม</t>
  </si>
  <si>
    <t>17.05.65</t>
  </si>
  <si>
    <t>18.05.65</t>
  </si>
  <si>
    <t xml:space="preserve">ผลต่าง  14050 บาท เป็นบิลยกเลิกวันที่ 17/5/65  เลขที่บิล STHBKK012205001912 // STHBKK012205001914 </t>
  </si>
  <si>
    <t>19.05.65</t>
  </si>
  <si>
    <t>20.05.65</t>
  </si>
  <si>
    <t>ผลต่าง 8000 บาท เป็นบิลยกเลิกวันที่ 16/5/65  เลขที่บิล STHBKK012205001711</t>
  </si>
  <si>
    <t>21.05.65</t>
  </si>
  <si>
    <t>22.05.65</t>
  </si>
  <si>
    <t xml:space="preserve">ผลต่าง 2850 บาท เป็นบิลยกเลิกวันที่ 21/5/65  เลขที่บิล STHBKK012205002299 // STHBKK012205002334 </t>
  </si>
  <si>
    <t>23.05.65</t>
  </si>
  <si>
    <t>24.05.65</t>
  </si>
  <si>
    <t>ผลต่าง 2,250 บาท เป็นบิลยกเลิกวันที่ 23/5/65  เลขที่บิล STHBKK012205002545</t>
  </si>
  <si>
    <t>25.05.65</t>
  </si>
  <si>
    <t>26.05.65</t>
  </si>
  <si>
    <t>27.05.65</t>
  </si>
  <si>
    <t>28.05.65</t>
  </si>
  <si>
    <t>29.05.65</t>
  </si>
  <si>
    <t>30.05.65</t>
  </si>
  <si>
    <t>ผลต่าง 22,050 บาท เป็นบิลยกเลิกวันที่ 29/5/65  เลขที่บิล STHBKK012205003161 // STHBKK012205003210</t>
  </si>
  <si>
    <t>31.05.65</t>
  </si>
  <si>
    <t>ผลต่าง 3600 บาท เป็นบิลยกเลิกวันที่ 31/5/65  เลขที่บิล STHBKK012205003288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</si>
</sst>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3">
    <font>
      <sz val="10.0"/>
      <color rgb="FF000000"/>
      <name val="Arial"/>
      <scheme val="minor"/>
    </font>
    <font>
      <b/>
      <sz val="18.0"/>
      <color theme="1"/>
      <name val="Calibri"/>
    </font>
    <font/>
    <font>
      <color theme="1"/>
      <name val="Arial"/>
    </font>
    <font>
      <sz val="14.0"/>
      <color theme="1"/>
      <name val="Calibri"/>
    </font>
    <font>
      <sz val="16.0"/>
      <color theme="1"/>
      <name val="Calibri"/>
    </font>
    <font>
      <sz val="14.0"/>
      <color rgb="FFFF0000"/>
      <name val="Calibri"/>
    </font>
    <font>
      <sz val="14.0"/>
      <color theme="1"/>
      <name val="Arial"/>
    </font>
    <font>
      <sz val="14.0"/>
      <color rgb="FFFF0000"/>
      <name val="Arial"/>
    </font>
    <font>
      <b/>
      <u/>
      <sz val="16.0"/>
      <color theme="1"/>
      <name val="Calibri"/>
    </font>
    <font>
      <b/>
      <u/>
      <sz val="16.0"/>
      <color theme="1"/>
      <name val="Calibri"/>
    </font>
    <font>
      <sz val="16.0"/>
      <color rgb="FFFF0000"/>
      <name val="Calibri"/>
    </font>
    <font>
      <sz val="17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9594"/>
        <bgColor rgb="FFD99594"/>
      </patternFill>
    </fill>
    <fill>
      <patternFill patternType="solid">
        <fgColor rgb="FFB6DDE8"/>
        <bgColor rgb="FFB6DDE8"/>
      </patternFill>
    </fill>
    <fill>
      <patternFill patternType="solid">
        <fgColor theme="0"/>
        <bgColor theme="0"/>
      </patternFill>
    </fill>
    <fill>
      <patternFill patternType="solid">
        <fgColor rgb="FFE5B8B7"/>
        <bgColor rgb="FFE5B8B7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bottom"/>
    </xf>
    <xf borderId="4" fillId="0" fontId="1" numFmtId="0" xfId="0" applyAlignment="1" applyBorder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1" fillId="3" fontId="1" numFmtId="0" xfId="0" applyAlignment="1" applyBorder="1" applyFill="1" applyFont="1">
      <alignment horizontal="center" vertical="bottom"/>
    </xf>
    <xf borderId="4" fillId="4" fontId="1" numFmtId="0" xfId="0" applyAlignment="1" applyBorder="1" applyFill="1" applyFont="1">
      <alignment horizontal="center" vertical="bottom"/>
    </xf>
    <xf borderId="4" fillId="5" fontId="1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2" fontId="1" numFmtId="0" xfId="0" applyAlignment="1" applyBorder="1" applyFont="1">
      <alignment horizontal="center" vertical="bottom"/>
    </xf>
    <xf borderId="6" fillId="3" fontId="1" numFmtId="0" xfId="0" applyAlignment="1" applyBorder="1" applyFont="1">
      <alignment horizontal="center" vertical="bottom"/>
    </xf>
    <xf borderId="6" fillId="0" fontId="4" numFmtId="0" xfId="0" applyAlignment="1" applyBorder="1" applyFont="1">
      <alignment horizontal="center" readingOrder="0" vertical="bottom"/>
    </xf>
    <xf borderId="6" fillId="2" fontId="4" numFmtId="38" xfId="0" applyAlignment="1" applyBorder="1" applyFont="1" applyNumberFormat="1">
      <alignment horizontal="right" readingOrder="0" vertical="bottom"/>
    </xf>
    <xf borderId="6" fillId="2" fontId="4" numFmtId="38" xfId="0" applyAlignment="1" applyBorder="1" applyFont="1" applyNumberFormat="1">
      <alignment horizontal="right" vertical="bottom"/>
    </xf>
    <xf borderId="6" fillId="3" fontId="4" numFmtId="38" xfId="0" applyAlignment="1" applyBorder="1" applyFont="1" applyNumberFormat="1">
      <alignment horizontal="right" readingOrder="0" vertical="bottom"/>
    </xf>
    <xf borderId="6" fillId="3" fontId="4" numFmtId="38" xfId="0" applyAlignment="1" applyBorder="1" applyFont="1" applyNumberFormat="1">
      <alignment horizontal="right" vertical="bottom"/>
    </xf>
    <xf borderId="6" fillId="4" fontId="4" numFmtId="164" xfId="0" applyAlignment="1" applyBorder="1" applyFont="1" applyNumberFormat="1">
      <alignment horizontal="center" readingOrder="0" vertical="bottom"/>
    </xf>
    <xf borderId="6" fillId="4" fontId="5" numFmtId="0" xfId="0" applyAlignment="1" applyBorder="1" applyFont="1">
      <alignment readingOrder="0" vertical="bottom"/>
    </xf>
    <xf borderId="6" fillId="4" fontId="3" numFmtId="0" xfId="0" applyAlignment="1" applyBorder="1" applyFont="1">
      <alignment vertical="bottom"/>
    </xf>
    <xf borderId="6" fillId="2" fontId="4" numFmtId="164" xfId="0" applyAlignment="1" applyBorder="1" applyFont="1" applyNumberFormat="1">
      <alignment horizontal="right" vertical="bottom"/>
    </xf>
    <xf borderId="6" fillId="4" fontId="6" numFmtId="164" xfId="0" applyAlignment="1" applyBorder="1" applyFont="1" applyNumberFormat="1">
      <alignment horizontal="right" vertical="bottom"/>
    </xf>
    <xf borderId="6" fillId="4" fontId="4" numFmtId="0" xfId="0" applyAlignment="1" applyBorder="1" applyFont="1">
      <alignment readingOrder="0" vertical="bottom"/>
    </xf>
    <xf borderId="6" fillId="4" fontId="5" numFmtId="0" xfId="0" applyAlignment="1" applyBorder="1" applyFont="1">
      <alignment vertical="bottom"/>
    </xf>
    <xf borderId="6" fillId="2" fontId="7" numFmtId="38" xfId="0" applyAlignment="1" applyBorder="1" applyFont="1" applyNumberFormat="1">
      <alignment readingOrder="0" vertical="bottom"/>
    </xf>
    <xf borderId="6" fillId="2" fontId="7" numFmtId="38" xfId="0" applyAlignment="1" applyBorder="1" applyFont="1" applyNumberFormat="1">
      <alignment vertical="bottom"/>
    </xf>
    <xf borderId="6" fillId="2" fontId="7" numFmtId="164" xfId="0" applyAlignment="1" applyBorder="1" applyFont="1" applyNumberFormat="1">
      <alignment vertical="bottom"/>
    </xf>
    <xf borderId="6" fillId="3" fontId="7" numFmtId="38" xfId="0" applyAlignment="1" applyBorder="1" applyFont="1" applyNumberFormat="1">
      <alignment readingOrder="0" vertical="bottom"/>
    </xf>
    <xf borderId="6" fillId="3" fontId="7" numFmtId="38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4" fontId="4" numFmtId="0" xfId="0" applyAlignment="1" applyBorder="1" applyFont="1">
      <alignment horizontal="center" readingOrder="0" vertical="bottom"/>
    </xf>
    <xf borderId="6" fillId="2" fontId="4" numFmtId="38" xfId="0" applyAlignment="1" applyBorder="1" applyFont="1" applyNumberFormat="1">
      <alignment readingOrder="0" vertical="bottom"/>
    </xf>
    <xf borderId="6" fillId="2" fontId="4" numFmtId="164" xfId="0" applyAlignment="1" applyBorder="1" applyFont="1" applyNumberFormat="1">
      <alignment vertical="bottom"/>
    </xf>
    <xf borderId="6" fillId="3" fontId="4" numFmtId="38" xfId="0" applyAlignment="1" applyBorder="1" applyFont="1" applyNumberFormat="1">
      <alignment readingOrder="0" vertical="bottom"/>
    </xf>
    <xf borderId="1" fillId="0" fontId="9" numFmtId="0" xfId="0" applyAlignment="1" applyBorder="1" applyFont="1">
      <alignment horizontal="center" vertical="bottom"/>
    </xf>
    <xf borderId="6" fillId="0" fontId="10" numFmtId="38" xfId="0" applyAlignment="1" applyBorder="1" applyFont="1" applyNumberFormat="1">
      <alignment horizontal="center" vertical="bottom"/>
    </xf>
    <xf borderId="6" fillId="0" fontId="3" numFmtId="0" xfId="0" applyAlignment="1" applyBorder="1" applyFont="1">
      <alignment vertical="bottom"/>
    </xf>
    <xf borderId="6" fillId="0" fontId="11" numFmtId="164" xfId="0" applyAlignment="1" applyBorder="1" applyFont="1" applyNumberFormat="1">
      <alignment horizontal="right" vertical="bottom"/>
    </xf>
    <xf borderId="6" fillId="2" fontId="7" numFmtId="164" xfId="0" applyAlignment="1" applyBorder="1" applyFont="1" applyNumberFormat="1">
      <alignment readingOrder="0" vertical="bottom"/>
    </xf>
    <xf borderId="6" fillId="4" fontId="12" numFmtId="0" xfId="0" applyAlignment="1" applyBorder="1" applyFont="1">
      <alignment readingOrder="0" vertical="bottom"/>
    </xf>
    <xf borderId="6" fillId="2" fontId="4" numFmtId="38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5"/>
    <col customWidth="1" min="6" max="6" width="14.88"/>
    <col customWidth="1" min="8" max="8" width="15.88"/>
    <col customWidth="1" min="9" max="9" width="13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10</v>
      </c>
      <c r="B4" s="14">
        <v>146.0</v>
      </c>
      <c r="C4" s="15">
        <v>1903135.0</v>
      </c>
      <c r="D4" s="15">
        <v>1903135.0</v>
      </c>
      <c r="E4" s="16">
        <v>146.0</v>
      </c>
      <c r="F4" s="17">
        <v>1903135.0</v>
      </c>
      <c r="G4" s="18"/>
      <c r="H4" s="19" t="s">
        <v>11</v>
      </c>
      <c r="I4" s="2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12</v>
      </c>
      <c r="B5" s="14">
        <v>130.0</v>
      </c>
      <c r="C5" s="21">
        <v>1303249.0</v>
      </c>
      <c r="D5" s="21">
        <v>1303249.0</v>
      </c>
      <c r="E5" s="16">
        <v>130.0</v>
      </c>
      <c r="F5" s="17">
        <v>1317349.0</v>
      </c>
      <c r="G5" s="22">
        <f>SUM(F5-D5)</f>
        <v>14100</v>
      </c>
      <c r="H5" s="19" t="s">
        <v>11</v>
      </c>
      <c r="I5" s="23" t="s">
        <v>13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14</v>
      </c>
      <c r="B6" s="14">
        <v>126.0</v>
      </c>
      <c r="C6" s="15">
        <v>1657840.0</v>
      </c>
      <c r="D6" s="21">
        <v>1657840.0</v>
      </c>
      <c r="E6" s="16">
        <v>126.0</v>
      </c>
      <c r="F6" s="17">
        <v>1657840.0</v>
      </c>
      <c r="G6" s="22"/>
      <c r="H6" s="19" t="s">
        <v>11</v>
      </c>
      <c r="I6" s="2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15</v>
      </c>
      <c r="B7" s="14">
        <v>145.0</v>
      </c>
      <c r="C7" s="15">
        <v>1404400.0</v>
      </c>
      <c r="D7" s="21">
        <v>1404400.0</v>
      </c>
      <c r="E7" s="16">
        <v>145.0</v>
      </c>
      <c r="F7" s="17">
        <v>1404400.0</v>
      </c>
      <c r="G7" s="22"/>
      <c r="H7" s="19" t="s">
        <v>11</v>
      </c>
      <c r="I7" s="2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16</v>
      </c>
      <c r="B8" s="25">
        <v>116.0</v>
      </c>
      <c r="C8" s="26">
        <v>1128605.0</v>
      </c>
      <c r="D8" s="27">
        <v>1128605.0</v>
      </c>
      <c r="E8" s="28">
        <v>116.0</v>
      </c>
      <c r="F8" s="29">
        <v>1134105.0</v>
      </c>
      <c r="G8" s="30">
        <f t="shared" ref="G8:G9" si="1">SUM(F8-D8)</f>
        <v>5500</v>
      </c>
      <c r="H8" s="19" t="s">
        <v>11</v>
      </c>
      <c r="I8" s="23" t="s">
        <v>17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18</v>
      </c>
      <c r="B9" s="14">
        <v>100.0</v>
      </c>
      <c r="C9" s="14">
        <v>693834.0</v>
      </c>
      <c r="D9" s="14">
        <v>693834.0</v>
      </c>
      <c r="E9" s="16">
        <v>100.0</v>
      </c>
      <c r="F9" s="16">
        <v>693834.0</v>
      </c>
      <c r="G9" s="30">
        <f t="shared" si="1"/>
        <v>0</v>
      </c>
      <c r="H9" s="19" t="s">
        <v>19</v>
      </c>
      <c r="I9" s="2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20</v>
      </c>
      <c r="B10" s="14">
        <v>71.0</v>
      </c>
      <c r="C10" s="15">
        <v>778655.0</v>
      </c>
      <c r="D10" s="21">
        <v>778655.0</v>
      </c>
      <c r="E10" s="16">
        <v>71.0</v>
      </c>
      <c r="F10" s="17">
        <v>778655.0</v>
      </c>
      <c r="G10" s="22">
        <v>778655.0</v>
      </c>
      <c r="H10" s="19" t="s">
        <v>11</v>
      </c>
      <c r="I10" s="2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21</v>
      </c>
      <c r="B11" s="14">
        <v>116.0</v>
      </c>
      <c r="C11" s="15">
        <v>1313310.0</v>
      </c>
      <c r="D11" s="15">
        <v>1313310.0</v>
      </c>
      <c r="E11" s="16">
        <v>116.0</v>
      </c>
      <c r="F11" s="17">
        <v>1313310.0</v>
      </c>
      <c r="G11" s="22"/>
      <c r="H11" s="19" t="s">
        <v>11</v>
      </c>
      <c r="I11" s="2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22</v>
      </c>
      <c r="B12" s="14">
        <v>128.0</v>
      </c>
      <c r="C12" s="15">
        <v>1718515.0</v>
      </c>
      <c r="D12" s="15">
        <v>1718515.0</v>
      </c>
      <c r="E12" s="16">
        <v>128.0</v>
      </c>
      <c r="F12" s="17">
        <v>1718515.0</v>
      </c>
      <c r="G12" s="22"/>
      <c r="H12" s="19" t="s">
        <v>11</v>
      </c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23</v>
      </c>
      <c r="B13" s="14">
        <v>158.0</v>
      </c>
      <c r="C13" s="15">
        <v>1305260.0</v>
      </c>
      <c r="D13" s="15">
        <v>1305260.0</v>
      </c>
      <c r="E13" s="16">
        <v>158.0</v>
      </c>
      <c r="F13" s="17">
        <v>1305260.0</v>
      </c>
      <c r="G13" s="22"/>
      <c r="H13" s="19" t="s">
        <v>11</v>
      </c>
      <c r="I13" s="2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1" t="s">
        <v>24</v>
      </c>
      <c r="B14" s="14">
        <v>108.0</v>
      </c>
      <c r="C14" s="15">
        <v>1194270.0</v>
      </c>
      <c r="D14" s="15">
        <v>1194270.0</v>
      </c>
      <c r="E14" s="16">
        <v>108.0</v>
      </c>
      <c r="F14" s="16">
        <v>1213720.0</v>
      </c>
      <c r="G14" s="22">
        <f t="shared" ref="G14:G17" si="2">SUM(F14-D14)</f>
        <v>19450</v>
      </c>
      <c r="H14" s="19" t="s">
        <v>11</v>
      </c>
      <c r="I14" s="23" t="s">
        <v>25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1" t="s">
        <v>26</v>
      </c>
      <c r="B15" s="25">
        <v>98.0</v>
      </c>
      <c r="C15" s="26">
        <v>1024730.0</v>
      </c>
      <c r="D15" s="27">
        <v>1024730.0</v>
      </c>
      <c r="E15" s="28">
        <v>98.0</v>
      </c>
      <c r="F15" s="29">
        <v>1024730.0</v>
      </c>
      <c r="G15" s="22">
        <f t="shared" si="2"/>
        <v>0</v>
      </c>
      <c r="H15" s="19" t="s">
        <v>11</v>
      </c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1" t="s">
        <v>27</v>
      </c>
      <c r="B16" s="32">
        <v>111.0</v>
      </c>
      <c r="C16" s="32">
        <v>1377080.0</v>
      </c>
      <c r="D16" s="33">
        <f>SUM(C16)</f>
        <v>1377080</v>
      </c>
      <c r="E16" s="34">
        <v>111.0</v>
      </c>
      <c r="F16" s="16">
        <v>1377080.0</v>
      </c>
      <c r="G16" s="22">
        <f t="shared" si="2"/>
        <v>0</v>
      </c>
      <c r="H16" s="23" t="s">
        <v>28</v>
      </c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31" t="s">
        <v>29</v>
      </c>
      <c r="B17" s="25">
        <v>144.0</v>
      </c>
      <c r="C17" s="27">
        <v>1700370.0</v>
      </c>
      <c r="D17" s="27">
        <v>1700370.0</v>
      </c>
      <c r="E17" s="28">
        <v>144.0</v>
      </c>
      <c r="F17" s="28">
        <v>1705370.0</v>
      </c>
      <c r="G17" s="22">
        <f t="shared" si="2"/>
        <v>5000</v>
      </c>
      <c r="H17" s="19" t="s">
        <v>11</v>
      </c>
      <c r="I17" s="23" t="s">
        <v>30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35" t="s">
        <v>31</v>
      </c>
      <c r="B18" s="2"/>
      <c r="C18" s="3"/>
      <c r="D18" s="36">
        <f>SUM(D4:D17)</f>
        <v>18503253</v>
      </c>
      <c r="E18" s="37"/>
      <c r="F18" s="36">
        <f t="shared" ref="F18:G18" si="3">SUM(F4:F17)</f>
        <v>18547303</v>
      </c>
      <c r="G18" s="38">
        <f t="shared" si="3"/>
        <v>822705</v>
      </c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8:C1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4" max="4" width="14.5"/>
    <col customWidth="1" min="6" max="6" width="14.88"/>
    <col customWidth="1" min="8" max="8" width="15.88"/>
    <col customWidth="1" min="9" max="9" width="130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6" t="s">
        <v>2</v>
      </c>
      <c r="C2" s="2"/>
      <c r="D2" s="3"/>
      <c r="E2" s="7" t="s">
        <v>3</v>
      </c>
      <c r="F2" s="3"/>
      <c r="G2" s="8" t="s">
        <v>4</v>
      </c>
      <c r="H2" s="8" t="s">
        <v>5</v>
      </c>
      <c r="I2" s="9" t="s">
        <v>6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10"/>
      <c r="B3" s="11" t="s">
        <v>7</v>
      </c>
      <c r="C3" s="11" t="s">
        <v>8</v>
      </c>
      <c r="D3" s="11" t="s">
        <v>9</v>
      </c>
      <c r="E3" s="12" t="s">
        <v>7</v>
      </c>
      <c r="F3" s="12" t="s">
        <v>8</v>
      </c>
      <c r="G3" s="10"/>
      <c r="H3" s="10"/>
      <c r="I3" s="10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13" t="s">
        <v>32</v>
      </c>
      <c r="B4" s="14">
        <v>90.0</v>
      </c>
      <c r="C4" s="15">
        <v>1023460.0</v>
      </c>
      <c r="D4" s="15">
        <v>1023460.0</v>
      </c>
      <c r="E4" s="16">
        <v>90.0</v>
      </c>
      <c r="F4" s="17">
        <v>1023460.0</v>
      </c>
      <c r="G4" s="22">
        <f t="shared" ref="G4:G18" si="1">SUM(F4-D4)</f>
        <v>0</v>
      </c>
      <c r="H4" s="19" t="s">
        <v>11</v>
      </c>
      <c r="I4" s="20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33</v>
      </c>
      <c r="B5" s="14">
        <v>104.0</v>
      </c>
      <c r="C5" s="21">
        <v>1314555.0</v>
      </c>
      <c r="D5" s="21">
        <v>1314555.0</v>
      </c>
      <c r="E5" s="16">
        <v>104.0</v>
      </c>
      <c r="F5" s="16">
        <v>1322355.0</v>
      </c>
      <c r="G5" s="22">
        <f t="shared" si="1"/>
        <v>7800</v>
      </c>
      <c r="H5" s="19" t="s">
        <v>11</v>
      </c>
      <c r="I5" s="23" t="s">
        <v>34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13" t="s">
        <v>35</v>
      </c>
      <c r="B6" s="14">
        <v>93.0</v>
      </c>
      <c r="C6" s="14">
        <v>1065820.0</v>
      </c>
      <c r="D6" s="21">
        <f>SUM(C6)</f>
        <v>1065820</v>
      </c>
      <c r="E6" s="16">
        <v>93.0</v>
      </c>
      <c r="F6" s="16">
        <v>1065820.0</v>
      </c>
      <c r="G6" s="22">
        <f t="shared" si="1"/>
        <v>0</v>
      </c>
      <c r="H6" s="19" t="s">
        <v>28</v>
      </c>
      <c r="I6" s="2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 t="s">
        <v>36</v>
      </c>
      <c r="B7" s="14">
        <v>87.0</v>
      </c>
      <c r="C7" s="15">
        <v>1064335.0</v>
      </c>
      <c r="D7" s="21">
        <v>1064335.0</v>
      </c>
      <c r="E7" s="16">
        <v>87.0</v>
      </c>
      <c r="F7" s="16">
        <v>1072335.0</v>
      </c>
      <c r="G7" s="22">
        <f t="shared" si="1"/>
        <v>8000</v>
      </c>
      <c r="H7" s="19" t="s">
        <v>11</v>
      </c>
      <c r="I7" s="23" t="s">
        <v>37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3" t="s">
        <v>38</v>
      </c>
      <c r="B8" s="25">
        <v>73.0</v>
      </c>
      <c r="C8" s="26">
        <v>743035.0</v>
      </c>
      <c r="D8" s="27">
        <v>743035.0</v>
      </c>
      <c r="E8" s="28">
        <v>73.0</v>
      </c>
      <c r="F8" s="29">
        <v>743035.0</v>
      </c>
      <c r="G8" s="22">
        <f t="shared" si="1"/>
        <v>0</v>
      </c>
      <c r="H8" s="19" t="s">
        <v>11</v>
      </c>
      <c r="I8" s="23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 t="s">
        <v>39</v>
      </c>
      <c r="B9" s="14">
        <v>71.0</v>
      </c>
      <c r="C9" s="15">
        <v>783170.0</v>
      </c>
      <c r="D9" s="15">
        <v>783170.0</v>
      </c>
      <c r="E9" s="16">
        <v>71.0</v>
      </c>
      <c r="F9" s="16">
        <v>786020.0</v>
      </c>
      <c r="G9" s="22">
        <f t="shared" si="1"/>
        <v>2850</v>
      </c>
      <c r="H9" s="19" t="s">
        <v>11</v>
      </c>
      <c r="I9" s="23" t="s">
        <v>40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3" t="s">
        <v>41</v>
      </c>
      <c r="B10" s="14">
        <v>107.0</v>
      </c>
      <c r="C10" s="15">
        <v>1498701.0</v>
      </c>
      <c r="D10" s="21">
        <v>1498701.0</v>
      </c>
      <c r="E10" s="16">
        <v>107.0</v>
      </c>
      <c r="F10" s="17">
        <v>1498701.0</v>
      </c>
      <c r="G10" s="22">
        <f t="shared" si="1"/>
        <v>0</v>
      </c>
      <c r="H10" s="19" t="s">
        <v>11</v>
      </c>
      <c r="I10" s="2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3" t="s">
        <v>42</v>
      </c>
      <c r="B11" s="14">
        <v>108.0</v>
      </c>
      <c r="C11" s="15">
        <v>1587625.0</v>
      </c>
      <c r="D11" s="15">
        <v>1587625.0</v>
      </c>
      <c r="E11" s="16">
        <v>108.0</v>
      </c>
      <c r="F11" s="16">
        <v>1589875.0</v>
      </c>
      <c r="G11" s="22">
        <f t="shared" si="1"/>
        <v>2250</v>
      </c>
      <c r="H11" s="19" t="s">
        <v>11</v>
      </c>
      <c r="I11" s="19" t="s">
        <v>43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3" t="s">
        <v>44</v>
      </c>
      <c r="B12" s="14">
        <v>100.0</v>
      </c>
      <c r="C12" s="15">
        <v>1226995.0</v>
      </c>
      <c r="D12" s="15">
        <v>1226995.0</v>
      </c>
      <c r="E12" s="16">
        <v>100.0</v>
      </c>
      <c r="F12" s="17">
        <v>1226995.0</v>
      </c>
      <c r="G12" s="22">
        <f t="shared" si="1"/>
        <v>0</v>
      </c>
      <c r="H12" s="19" t="s">
        <v>11</v>
      </c>
      <c r="I12" s="2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3" t="s">
        <v>45</v>
      </c>
      <c r="B13" s="14">
        <v>105.0</v>
      </c>
      <c r="C13" s="15">
        <v>984945.0</v>
      </c>
      <c r="D13" s="15">
        <v>984945.0</v>
      </c>
      <c r="E13" s="16">
        <v>105.0</v>
      </c>
      <c r="F13" s="17">
        <v>984945.0</v>
      </c>
      <c r="G13" s="22">
        <f t="shared" si="1"/>
        <v>0</v>
      </c>
      <c r="H13" s="19" t="s">
        <v>11</v>
      </c>
      <c r="I13" s="2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31" t="s">
        <v>46</v>
      </c>
      <c r="B14" s="14">
        <v>106.0</v>
      </c>
      <c r="C14" s="15">
        <v>1317555.0</v>
      </c>
      <c r="D14" s="15">
        <v>1317555.0</v>
      </c>
      <c r="E14" s="16">
        <v>106.0</v>
      </c>
      <c r="F14" s="17">
        <v>1317555.0</v>
      </c>
      <c r="G14" s="22">
        <f t="shared" si="1"/>
        <v>0</v>
      </c>
      <c r="H14" s="19" t="s">
        <v>28</v>
      </c>
      <c r="I14" s="23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31" t="s">
        <v>47</v>
      </c>
      <c r="B15" s="25">
        <v>92.0</v>
      </c>
      <c r="C15" s="25">
        <v>1366845.0</v>
      </c>
      <c r="D15" s="39">
        <v>1366845.0</v>
      </c>
      <c r="E15" s="28">
        <v>92.0</v>
      </c>
      <c r="F15" s="28">
        <v>1366845.0</v>
      </c>
      <c r="G15" s="22">
        <f t="shared" si="1"/>
        <v>0</v>
      </c>
      <c r="H15" s="40" t="s">
        <v>19</v>
      </c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6.25" customHeight="1">
      <c r="A16" s="31" t="s">
        <v>48</v>
      </c>
      <c r="B16" s="32">
        <v>78.0</v>
      </c>
      <c r="C16" s="41">
        <v>558652.0</v>
      </c>
      <c r="D16" s="33">
        <v>558652.0</v>
      </c>
      <c r="E16" s="34">
        <v>78.0</v>
      </c>
      <c r="F16" s="17">
        <v>558652.0</v>
      </c>
      <c r="G16" s="22">
        <f t="shared" si="1"/>
        <v>0</v>
      </c>
      <c r="H16" s="19" t="s">
        <v>11</v>
      </c>
      <c r="I16" s="20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7.0" customHeight="1">
      <c r="A17" s="31" t="s">
        <v>49</v>
      </c>
      <c r="B17" s="25">
        <v>133.0</v>
      </c>
      <c r="C17" s="27">
        <v>1626330.0</v>
      </c>
      <c r="D17" s="27">
        <v>1626330.0</v>
      </c>
      <c r="E17" s="28">
        <v>133.0</v>
      </c>
      <c r="F17" s="28">
        <v>1648380.0</v>
      </c>
      <c r="G17" s="22">
        <f t="shared" si="1"/>
        <v>22050</v>
      </c>
      <c r="H17" s="19" t="s">
        <v>11</v>
      </c>
      <c r="I17" s="19" t="s">
        <v>50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7.0" customHeight="1">
      <c r="A18" s="31" t="s">
        <v>51</v>
      </c>
      <c r="B18" s="25">
        <v>107.0</v>
      </c>
      <c r="C18" s="27">
        <v>1480031.0</v>
      </c>
      <c r="D18" s="27">
        <v>1480031.0</v>
      </c>
      <c r="E18" s="28">
        <v>107.0</v>
      </c>
      <c r="F18" s="28">
        <v>1483631.0</v>
      </c>
      <c r="G18" s="22">
        <f t="shared" si="1"/>
        <v>3600</v>
      </c>
      <c r="H18" s="19" t="s">
        <v>11</v>
      </c>
      <c r="I18" s="19" t="s">
        <v>52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35" t="s">
        <v>31</v>
      </c>
      <c r="B19" s="2"/>
      <c r="C19" s="3"/>
      <c r="D19" s="36">
        <f>SUM(D4:D17)</f>
        <v>16162023</v>
      </c>
      <c r="E19" s="37"/>
      <c r="F19" s="36">
        <f t="shared" ref="F19:G19" si="2">SUM(F4:F17)</f>
        <v>16204973</v>
      </c>
      <c r="G19" s="38">
        <f t="shared" si="2"/>
        <v>42950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8">
    <mergeCell ref="A1:I1"/>
    <mergeCell ref="A2:A3"/>
    <mergeCell ref="B2:D2"/>
    <mergeCell ref="E2:F2"/>
    <mergeCell ref="G2:G3"/>
    <mergeCell ref="H2:H3"/>
    <mergeCell ref="I2:I3"/>
    <mergeCell ref="A19:C19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
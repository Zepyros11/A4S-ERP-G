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" sheetId="1" r:id="rId4"/>
    <sheet state="visible" name="16-30" sheetId="2" r:id="rId5"/>
  </sheets>
  <definedNames/>
  <calcPr/>
</workbook>
</file>

<file path=xl/sharedStrings.xml><?xml version="1.0" encoding="utf-8"?>
<sst xmlns="http://schemas.openxmlformats.org/spreadsheetml/2006/main" count="95" uniqueCount="54">
  <si>
    <t>ตรวจบิล  มิ.ย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</si>
  <si>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</si>
  <si>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</si>
  <si>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</si>
  <si>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</si>
  <si>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</si>
  <si>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</si>
  <si>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</si>
  <si>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</si>
  <si>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</si>
  <si>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30-2.6.65</t>
  </si>
  <si>
    <t>นี</t>
  </si>
  <si>
    <t>3.6.65</t>
  </si>
  <si>
    <t>ปูน</t>
  </si>
  <si>
    <t>4.6.65</t>
  </si>
  <si>
    <t>5.6.65</t>
  </si>
  <si>
    <t>ผลต่าง 61,230 บาท เนื่องจากเป็นบิลยกเลิก วันที่ 4/6/65 STHBKK012206000409 / STHBKK012206000412 / STHBKK012206000367/ STHBKK012206000370</t>
  </si>
  <si>
    <t>6.6.65</t>
  </si>
  <si>
    <t>7.6.65</t>
  </si>
  <si>
    <t>ผลต่าง 27000 บาท เนื่องจากเป็นบิลยกเลิก วันที่ 6/6/65 STHBKK012206000759</t>
  </si>
  <si>
    <t>8.6.65</t>
  </si>
  <si>
    <t>9.6.65</t>
  </si>
  <si>
    <t>ผลต่าง 350 บาท เนื่องจากเป็นบิลยกเลิก วันที่ 8/6/65 STHBKK012206001080</t>
  </si>
  <si>
    <t>10.6.65</t>
  </si>
  <si>
    <t>ผลต่าง 10050 บาท เนื่องจากเป็นบิลยกเลิก วันที่ 9/6/65 STHBKK012206001224</t>
  </si>
  <si>
    <t>11.06.65</t>
  </si>
  <si>
    <t>เอิง</t>
  </si>
  <si>
    <t>12.06.65</t>
  </si>
  <si>
    <t>13.06.65</t>
  </si>
  <si>
    <t>14.06.65</t>
  </si>
  <si>
    <t>15.06.65</t>
  </si>
  <si>
    <t>ผลต่าง 4650 บาท เนื่องจากเป็นบิลยกเลิก วันที่ 14/6/65 STHBKK012206001678</t>
  </si>
  <si>
    <t>รวม</t>
  </si>
  <si>
    <t>16.06.65</t>
  </si>
  <si>
    <t xml:space="preserve">ผลต่าง 7642 เนื่องจากเป็นบิลยกเลิกวันที่15/6/65 STHBKK012206001926 และบิลตัด อีวอลเลต STHBKK012206002034	63764	</t>
  </si>
  <si>
    <t>17.06.65</t>
  </si>
  <si>
    <t>18.06.65</t>
  </si>
  <si>
    <t>19.06.65</t>
  </si>
  <si>
    <t>20.06.65</t>
  </si>
  <si>
    <t>21.06.65</t>
  </si>
  <si>
    <t>ผลต่าง 18125 เนื่องจากเป็นบิลยกเลิกวันที่20/6/65 และ 18/6/65  STHBKK012206002466 // STHBKK012206002251</t>
  </si>
  <si>
    <t>22.06.65</t>
  </si>
  <si>
    <t>ผลต่าง 17500 เนื่องจากเป็นบิลยกเลิกวันที่21/6/65 STHONLIN2206000974</t>
  </si>
  <si>
    <t>23.06.65</t>
  </si>
  <si>
    <t>24.06.65</t>
  </si>
  <si>
    <t>25.06.65</t>
  </si>
  <si>
    <t>26.06.65</t>
  </si>
  <si>
    <t>27.06.65</t>
  </si>
  <si>
    <t>28.06.65</t>
  </si>
  <si>
    <t>ผลต่าง2850เนื่องจากเป็นบิลยกเลิกวันที่27 /6/65 STHBKK012206003239</t>
  </si>
  <si>
    <t>29.06.65</t>
  </si>
  <si>
    <t>ผลต่าง   403,140  เนื่องจากเป็นบิลยกเลิกวันที่28 /6/65  STHBKK012206003338 // STHBKK012206003304 // STHBKK012206003275</t>
  </si>
  <si>
    <t>30.06.65</t>
  </si>
  <si>
    <t>ผลต่าง 342500 เนื่องจากเป็นบิลยกเลิกวันที่29/6/65 STHBKK012206003478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</si>
</sst>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#,###_);\(#,###\)"/>
  </numFmts>
  <fonts count="11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7.0"/>
      <color theme="1"/>
      <name val="Calibri"/>
    </font>
    <font>
      <sz val="17.0"/>
      <color rgb="FFFF0000"/>
      <name val="Calibri"/>
    </font>
    <font>
      <sz val="18.0"/>
      <color theme="1"/>
      <name val="Arial"/>
    </font>
    <font>
      <sz val="18.0"/>
      <color theme="1"/>
      <name val="Calibri"/>
    </font>
    <font>
      <sz val="18.0"/>
      <color rgb="FFFF0000"/>
      <name val="Calibri"/>
    </font>
    <font>
      <u/>
      <sz val="18.0"/>
      <color theme="1"/>
      <name val="Calibri"/>
    </font>
    <font>
      <u/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2" fontId="4" numFmtId="38" xfId="0" applyAlignment="1" applyBorder="1" applyFont="1" applyNumberFormat="1">
      <alignment horizontal="right" readingOrder="0" vertical="bottom"/>
    </xf>
    <xf borderId="6" fillId="2" fontId="4" numFmtId="38" xfId="0" applyAlignment="1" applyBorder="1" applyFont="1" applyNumberFormat="1">
      <alignment horizontal="right" vertical="bottom"/>
    </xf>
    <xf borderId="6" fillId="3" fontId="4" numFmtId="38" xfId="0" applyAlignment="1" applyBorder="1" applyFont="1" applyNumberFormat="1">
      <alignment horizontal="right" readingOrder="0" vertical="bottom"/>
    </xf>
    <xf borderId="6" fillId="3" fontId="4" numFmtId="38" xfId="0" applyAlignment="1" applyBorder="1" applyFont="1" applyNumberFormat="1">
      <alignment horizontal="right" vertical="bottom"/>
    </xf>
    <xf borderId="6" fillId="4" fontId="5" numFmtId="164" xfId="0" applyAlignment="1" applyBorder="1" applyFont="1" applyNumberFormat="1">
      <alignment horizontal="right" vertical="bottom"/>
    </xf>
    <xf borderId="6" fillId="4" fontId="4" numFmtId="0" xfId="0" applyAlignment="1" applyBorder="1" applyFont="1">
      <alignment readingOrder="0" vertical="bottom"/>
    </xf>
    <xf borderId="6" fillId="4" fontId="6" numFmtId="0" xfId="0" applyAlignment="1" applyBorder="1" applyFont="1">
      <alignment vertical="bottom"/>
    </xf>
    <xf borderId="6" fillId="2" fontId="4" numFmtId="164" xfId="0" applyAlignment="1" applyBorder="1" applyFont="1" applyNumberFormat="1">
      <alignment horizontal="right" vertical="bottom"/>
    </xf>
    <xf borderId="6" fillId="4" fontId="7" numFmtId="0" xfId="0" applyAlignment="1" applyBorder="1" applyFont="1">
      <alignment readingOrder="0" vertical="bottom"/>
    </xf>
    <xf borderId="6" fillId="4" fontId="7" numFmtId="0" xfId="0" applyAlignment="1" applyBorder="1" applyFont="1">
      <alignment vertical="bottom"/>
    </xf>
    <xf borderId="6" fillId="3" fontId="4" numFmtId="165" xfId="0" applyAlignment="1" applyBorder="1" applyFont="1" applyNumberFormat="1">
      <alignment horizontal="center" readingOrder="0" vertical="bottom"/>
    </xf>
    <xf borderId="6" fillId="2" fontId="4" numFmtId="38" xfId="0" applyAlignment="1" applyBorder="1" applyFont="1" applyNumberFormat="1">
      <alignment readingOrder="0" vertical="bottom"/>
    </xf>
    <xf borderId="6" fillId="2" fontId="4" numFmtId="38" xfId="0" applyAlignment="1" applyBorder="1" applyFont="1" applyNumberFormat="1">
      <alignment vertical="bottom"/>
    </xf>
    <xf borderId="6" fillId="2" fontId="4" numFmtId="164" xfId="0" applyAlignment="1" applyBorder="1" applyFont="1" applyNumberFormat="1">
      <alignment vertical="bottom"/>
    </xf>
    <xf borderId="6" fillId="3" fontId="4" numFmtId="38" xfId="0" applyAlignment="1" applyBorder="1" applyFont="1" applyNumberFormat="1">
      <alignment readingOrder="0" vertical="bottom"/>
    </xf>
    <xf borderId="6" fillId="3" fontId="4" numFmtId="38" xfId="0" applyAlignment="1" applyBorder="1" applyFont="1" applyNumberFormat="1">
      <alignment vertical="bottom"/>
    </xf>
    <xf borderId="6" fillId="0" fontId="7" numFmtId="0" xfId="0" applyAlignment="1" applyBorder="1" applyFont="1">
      <alignment horizontal="center" readingOrder="0" vertical="bottom"/>
    </xf>
    <xf borderId="6" fillId="2" fontId="7" numFmtId="38" xfId="0" applyAlignment="1" applyBorder="1" applyFont="1" applyNumberFormat="1">
      <alignment horizontal="right" readingOrder="0" vertical="bottom"/>
    </xf>
    <xf borderId="6" fillId="2" fontId="7" numFmtId="38" xfId="0" applyAlignment="1" applyBorder="1" applyFont="1" applyNumberFormat="1">
      <alignment horizontal="right" vertical="bottom"/>
    </xf>
    <xf borderId="6" fillId="3" fontId="7" numFmtId="38" xfId="0" applyAlignment="1" applyBorder="1" applyFont="1" applyNumberFormat="1">
      <alignment horizontal="right" readingOrder="0" vertical="bottom"/>
    </xf>
    <xf borderId="6" fillId="4" fontId="8" numFmtId="164" xfId="0" applyAlignment="1" applyBorder="1" applyFont="1" applyNumberFormat="1">
      <alignment horizontal="right" vertical="bottom"/>
    </xf>
    <xf borderId="6" fillId="2" fontId="7" numFmtId="164" xfId="0" applyAlignment="1" applyBorder="1" applyFont="1" applyNumberFormat="1">
      <alignment horizontal="right" vertical="bottom"/>
    </xf>
    <xf borderId="6" fillId="3" fontId="7" numFmtId="38" xfId="0" applyAlignment="1" applyBorder="1" applyFont="1" applyNumberFormat="1">
      <alignment horizontal="right" vertical="bottom"/>
    </xf>
    <xf borderId="6" fillId="4" fontId="7" numFmtId="0" xfId="0" applyAlignment="1" applyBorder="1" applyFont="1">
      <alignment horizontal="center" readingOrder="0" vertical="bottom"/>
    </xf>
    <xf borderId="6" fillId="2" fontId="6" numFmtId="38" xfId="0" applyAlignment="1" applyBorder="1" applyFont="1" applyNumberFormat="1">
      <alignment readingOrder="0" vertical="bottom"/>
    </xf>
    <xf borderId="6" fillId="2" fontId="6" numFmtId="38" xfId="0" applyAlignment="1" applyBorder="1" applyFont="1" applyNumberFormat="1">
      <alignment vertical="bottom"/>
    </xf>
    <xf borderId="6" fillId="3" fontId="6" numFmtId="38" xfId="0" applyAlignment="1" applyBorder="1" applyFont="1" applyNumberFormat="1">
      <alignment readingOrder="0" vertical="bottom"/>
    </xf>
    <xf borderId="6" fillId="3" fontId="6" numFmtId="38" xfId="0" applyAlignment="1" applyBorder="1" applyFont="1" applyNumberFormat="1">
      <alignment vertical="bottom"/>
    </xf>
    <xf borderId="6" fillId="2" fontId="7" numFmtId="38" xfId="0" applyAlignment="1" applyBorder="1" applyFont="1" applyNumberFormat="1">
      <alignment vertical="bottom"/>
    </xf>
    <xf borderId="6" fillId="2" fontId="7" numFmtId="164" xfId="0" applyAlignment="1" applyBorder="1" applyFont="1" applyNumberFormat="1">
      <alignment vertical="bottom"/>
    </xf>
    <xf borderId="6" fillId="3" fontId="7" numFmtId="38" xfId="0" applyAlignment="1" applyBorder="1" applyFont="1" applyNumberFormat="1">
      <alignment vertical="bottom"/>
    </xf>
    <xf borderId="6" fillId="2" fontId="6" numFmtId="164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vertical="bottom"/>
    </xf>
    <xf borderId="6" fillId="0" fontId="8" numFmtId="164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6" fillId="3" fontId="7" numFmtId="165" xfId="0" applyAlignment="1" applyBorder="1" applyFont="1" applyNumberFormat="1">
      <alignment horizontal="center" readingOrder="0" vertical="bottom"/>
    </xf>
    <xf borderId="6" fillId="2" fontId="7" numFmtId="38" xfId="0" applyAlignment="1" applyBorder="1" applyFont="1" applyNumberFormat="1">
      <alignment readingOrder="0" vertical="bottom"/>
    </xf>
    <xf borderId="6" fillId="3" fontId="7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20.13"/>
    <col customWidth="1" min="6" max="6" width="14.88"/>
    <col customWidth="1" min="8" max="8" width="15.88"/>
    <col customWidth="1" min="9" max="9" width="18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10</v>
      </c>
      <c r="B4" s="14">
        <v>205.0</v>
      </c>
      <c r="C4" s="15">
        <v>3164697.0</v>
      </c>
      <c r="D4" s="15">
        <v>3164697.0</v>
      </c>
      <c r="E4" s="16">
        <v>205.0</v>
      </c>
      <c r="F4" s="17">
        <v>3164697.0</v>
      </c>
      <c r="G4" s="18">
        <f t="shared" ref="G4:G12" si="1">SUM(F4-D4)</f>
        <v>0</v>
      </c>
      <c r="H4" s="19" t="s">
        <v>11</v>
      </c>
      <c r="I4" s="2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12</v>
      </c>
      <c r="B5" s="14">
        <v>66.0</v>
      </c>
      <c r="C5" s="21">
        <v>1006020.0</v>
      </c>
      <c r="D5" s="21">
        <v>1006020.0</v>
      </c>
      <c r="E5" s="16">
        <v>66.0</v>
      </c>
      <c r="F5" s="17">
        <v>1006020.0</v>
      </c>
      <c r="G5" s="18">
        <f t="shared" si="1"/>
        <v>0</v>
      </c>
      <c r="H5" s="19" t="s">
        <v>13</v>
      </c>
      <c r="I5" s="2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14</v>
      </c>
      <c r="B6" s="14">
        <v>197.0</v>
      </c>
      <c r="C6" s="14">
        <v>1729055.0</v>
      </c>
      <c r="D6" s="21">
        <f>SUM(C6)</f>
        <v>1729055</v>
      </c>
      <c r="E6" s="16">
        <v>197.0</v>
      </c>
      <c r="F6" s="16">
        <v>1729055.0</v>
      </c>
      <c r="G6" s="18">
        <f t="shared" si="1"/>
        <v>0</v>
      </c>
      <c r="H6" s="19" t="s">
        <v>11</v>
      </c>
      <c r="I6" s="2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15</v>
      </c>
      <c r="B7" s="14">
        <v>101.0</v>
      </c>
      <c r="C7" s="15">
        <v>1219595.0</v>
      </c>
      <c r="D7" s="21">
        <v>1219595.0</v>
      </c>
      <c r="E7" s="16">
        <v>101.0</v>
      </c>
      <c r="F7" s="24">
        <v>1280825.0</v>
      </c>
      <c r="G7" s="18">
        <f t="shared" si="1"/>
        <v>61230</v>
      </c>
      <c r="H7" s="19" t="s">
        <v>13</v>
      </c>
      <c r="I7" s="22" t="s">
        <v>16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17</v>
      </c>
      <c r="B8" s="25">
        <v>156.0</v>
      </c>
      <c r="C8" s="26">
        <v>2053420.0</v>
      </c>
      <c r="D8" s="27">
        <v>2053420.0</v>
      </c>
      <c r="E8" s="28">
        <v>156.0</v>
      </c>
      <c r="F8" s="29">
        <v>2053420.0</v>
      </c>
      <c r="G8" s="18">
        <f t="shared" si="1"/>
        <v>0</v>
      </c>
      <c r="H8" s="19" t="s">
        <v>13</v>
      </c>
      <c r="I8" s="2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0" t="s">
        <v>18</v>
      </c>
      <c r="B9" s="31">
        <v>125.0</v>
      </c>
      <c r="C9" s="32">
        <v>1622687.0</v>
      </c>
      <c r="D9" s="32">
        <v>1622687.0</v>
      </c>
      <c r="E9" s="33">
        <v>125.0</v>
      </c>
      <c r="F9" s="33">
        <v>1649687.0</v>
      </c>
      <c r="G9" s="34">
        <f t="shared" si="1"/>
        <v>27000</v>
      </c>
      <c r="H9" s="19" t="s">
        <v>13</v>
      </c>
      <c r="I9" s="22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0" t="s">
        <v>20</v>
      </c>
      <c r="B10" s="31">
        <v>111.0</v>
      </c>
      <c r="C10" s="32">
        <v>1673045.0</v>
      </c>
      <c r="D10" s="35">
        <v>1673045.0</v>
      </c>
      <c r="E10" s="33">
        <v>111.0</v>
      </c>
      <c r="F10" s="36">
        <v>1673045.0</v>
      </c>
      <c r="G10" s="34">
        <f t="shared" si="1"/>
        <v>0</v>
      </c>
      <c r="H10" s="19" t="s">
        <v>13</v>
      </c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0" t="s">
        <v>21</v>
      </c>
      <c r="B11" s="31">
        <v>116.0</v>
      </c>
      <c r="C11" s="32">
        <v>1073129.0</v>
      </c>
      <c r="D11" s="32">
        <v>1073129.0</v>
      </c>
      <c r="E11" s="33">
        <v>116.0</v>
      </c>
      <c r="F11" s="33">
        <v>1073479.0</v>
      </c>
      <c r="G11" s="34">
        <f t="shared" si="1"/>
        <v>350</v>
      </c>
      <c r="H11" s="19" t="s">
        <v>13</v>
      </c>
      <c r="I11" s="22" t="s">
        <v>22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0" t="s">
        <v>23</v>
      </c>
      <c r="B12" s="31">
        <v>115.0</v>
      </c>
      <c r="C12" s="32">
        <v>1225520.0</v>
      </c>
      <c r="D12" s="32">
        <v>1225520.0</v>
      </c>
      <c r="E12" s="33">
        <v>115.0</v>
      </c>
      <c r="F12" s="33">
        <v>1235570.0</v>
      </c>
      <c r="G12" s="34">
        <f t="shared" si="1"/>
        <v>10050</v>
      </c>
      <c r="H12" s="19" t="s">
        <v>13</v>
      </c>
      <c r="I12" s="22" t="s">
        <v>24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0" t="s">
        <v>25</v>
      </c>
      <c r="B13" s="31">
        <v>103.0</v>
      </c>
      <c r="C13" s="31">
        <v>1339807.0</v>
      </c>
      <c r="D13" s="31">
        <v>1339807.0</v>
      </c>
      <c r="E13" s="33">
        <v>103.0</v>
      </c>
      <c r="F13" s="33">
        <v>1339807.0</v>
      </c>
      <c r="G13" s="34"/>
      <c r="H13" s="22" t="s">
        <v>26</v>
      </c>
      <c r="I13" s="2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7" t="s">
        <v>27</v>
      </c>
      <c r="B14" s="31">
        <v>71.0</v>
      </c>
      <c r="C14" s="32">
        <v>549030.0</v>
      </c>
      <c r="D14" s="32">
        <v>549030.0</v>
      </c>
      <c r="E14" s="33">
        <v>71.0</v>
      </c>
      <c r="F14" s="36">
        <v>549030.0</v>
      </c>
      <c r="G14" s="34">
        <f t="shared" ref="G14:G17" si="2">SUM(F14-D14)</f>
        <v>0</v>
      </c>
      <c r="H14" s="19" t="s">
        <v>13</v>
      </c>
      <c r="I14" s="2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7" t="s">
        <v>28</v>
      </c>
      <c r="B15" s="38">
        <v>113.0</v>
      </c>
      <c r="C15" s="39">
        <v>1380985.0</v>
      </c>
      <c r="D15" s="39">
        <v>1380985.0</v>
      </c>
      <c r="E15" s="40">
        <v>113.0</v>
      </c>
      <c r="F15" s="41">
        <v>1380985.0</v>
      </c>
      <c r="G15" s="34">
        <f t="shared" si="2"/>
        <v>0</v>
      </c>
      <c r="H15" s="19" t="s">
        <v>13</v>
      </c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7" t="s">
        <v>29</v>
      </c>
      <c r="B16" s="42">
        <v>108.0</v>
      </c>
      <c r="C16" s="42">
        <v>1015749.0</v>
      </c>
      <c r="D16" s="43">
        <v>1015749.0</v>
      </c>
      <c r="E16" s="44">
        <v>108.0</v>
      </c>
      <c r="F16" s="36">
        <v>1015749.0</v>
      </c>
      <c r="G16" s="34">
        <f t="shared" si="2"/>
        <v>0</v>
      </c>
      <c r="H16" s="19" t="s">
        <v>13</v>
      </c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37" t="s">
        <v>30</v>
      </c>
      <c r="B17" s="38">
        <v>108.0</v>
      </c>
      <c r="C17" s="45">
        <v>1542575.0</v>
      </c>
      <c r="D17" s="45">
        <v>1542575.0</v>
      </c>
      <c r="E17" s="40">
        <v>108.0</v>
      </c>
      <c r="F17" s="40">
        <v>1547225.0</v>
      </c>
      <c r="G17" s="34">
        <f t="shared" si="2"/>
        <v>4650</v>
      </c>
      <c r="H17" s="19" t="s">
        <v>13</v>
      </c>
      <c r="I17" s="22" t="s">
        <v>31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6" t="s">
        <v>32</v>
      </c>
      <c r="B18" s="2"/>
      <c r="C18" s="3"/>
      <c r="D18" s="47">
        <f>SUM(D4:D17)</f>
        <v>20595314</v>
      </c>
      <c r="E18" s="48"/>
      <c r="F18" s="47">
        <f t="shared" ref="F18:G18" si="3">SUM(F4:F17)</f>
        <v>20698594</v>
      </c>
      <c r="G18" s="49">
        <f t="shared" si="3"/>
        <v>103280</v>
      </c>
      <c r="H18" s="50"/>
      <c r="I18" s="5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20.13"/>
    <col customWidth="1" min="6" max="6" width="14.88"/>
    <col customWidth="1" min="7" max="7" width="13.38"/>
    <col customWidth="1" min="8" max="8" width="15.88"/>
    <col customWidth="1" min="9" max="9" width="146.75"/>
    <col customWidth="1" min="10" max="10" width="18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0" t="s">
        <v>33</v>
      </c>
      <c r="B4" s="31">
        <v>115.0</v>
      </c>
      <c r="C4" s="32">
        <v>992900.0</v>
      </c>
      <c r="D4" s="32">
        <v>992900.0</v>
      </c>
      <c r="E4" s="33">
        <v>115.0</v>
      </c>
      <c r="F4" s="33">
        <v>1000542.0</v>
      </c>
      <c r="G4" s="34">
        <f>SUM(F4-D4)</f>
        <v>7642</v>
      </c>
      <c r="H4" s="22" t="s">
        <v>13</v>
      </c>
      <c r="I4" s="22" t="s">
        <v>34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0" t="s">
        <v>35</v>
      </c>
      <c r="B5" s="31">
        <v>105.0</v>
      </c>
      <c r="C5" s="35">
        <v>1433029.0</v>
      </c>
      <c r="D5" s="35">
        <v>1433029.0</v>
      </c>
      <c r="E5" s="33">
        <v>105.0</v>
      </c>
      <c r="F5" s="36">
        <v>1433029.0</v>
      </c>
      <c r="G5" s="34"/>
      <c r="H5" s="22" t="s">
        <v>13</v>
      </c>
      <c r="I5" s="2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0" t="s">
        <v>36</v>
      </c>
      <c r="B6" s="31">
        <v>112.0</v>
      </c>
      <c r="C6" s="31">
        <v>1267245.0</v>
      </c>
      <c r="D6" s="35">
        <f t="shared" ref="D6:D8" si="1">SUM(C6)</f>
        <v>1267245</v>
      </c>
      <c r="E6" s="33">
        <v>112.0</v>
      </c>
      <c r="F6" s="33">
        <v>1267245.0</v>
      </c>
      <c r="G6" s="34">
        <f t="shared" ref="G6:G17" si="2">SUM(F6-C6)</f>
        <v>0</v>
      </c>
      <c r="H6" s="22" t="s">
        <v>11</v>
      </c>
      <c r="I6" s="2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0" t="s">
        <v>37</v>
      </c>
      <c r="B7" s="31">
        <v>53.0</v>
      </c>
      <c r="C7" s="31">
        <v>491100.0</v>
      </c>
      <c r="D7" s="35">
        <f t="shared" si="1"/>
        <v>491100</v>
      </c>
      <c r="E7" s="33">
        <v>53.0</v>
      </c>
      <c r="F7" s="51">
        <v>491100.0</v>
      </c>
      <c r="G7" s="34">
        <f t="shared" si="2"/>
        <v>0</v>
      </c>
      <c r="H7" s="22" t="s">
        <v>11</v>
      </c>
      <c r="I7" s="2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0" t="s">
        <v>38</v>
      </c>
      <c r="B8" s="52">
        <v>98.0</v>
      </c>
      <c r="C8" s="42">
        <v>1251440.0</v>
      </c>
      <c r="D8" s="35">
        <f t="shared" si="1"/>
        <v>1251440</v>
      </c>
      <c r="E8" s="53">
        <v>98.0</v>
      </c>
      <c r="F8" s="44">
        <v>1251440.0</v>
      </c>
      <c r="G8" s="34">
        <f t="shared" si="2"/>
        <v>0</v>
      </c>
      <c r="H8" s="22" t="s">
        <v>13</v>
      </c>
      <c r="I8" s="2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0" t="s">
        <v>39</v>
      </c>
      <c r="B9" s="31">
        <v>102.0</v>
      </c>
      <c r="C9" s="32">
        <v>1255700.0</v>
      </c>
      <c r="D9" s="35">
        <v>1255700.0</v>
      </c>
      <c r="E9" s="33">
        <v>102.0</v>
      </c>
      <c r="F9" s="33">
        <v>1268825.0</v>
      </c>
      <c r="G9" s="34">
        <f t="shared" si="2"/>
        <v>13125</v>
      </c>
      <c r="H9" s="22" t="s">
        <v>13</v>
      </c>
      <c r="I9" s="22" t="s">
        <v>40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0" t="s">
        <v>41</v>
      </c>
      <c r="B10" s="31">
        <v>85.0</v>
      </c>
      <c r="C10" s="32">
        <v>1369730.0</v>
      </c>
      <c r="D10" s="35">
        <f t="shared" ref="D10:D17" si="3">SUM(C10)</f>
        <v>1369730</v>
      </c>
      <c r="E10" s="33">
        <v>85.0</v>
      </c>
      <c r="F10" s="33">
        <v>1387230.0</v>
      </c>
      <c r="G10" s="34">
        <f t="shared" si="2"/>
        <v>17500</v>
      </c>
      <c r="H10" s="22" t="s">
        <v>13</v>
      </c>
      <c r="I10" s="22" t="s">
        <v>42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0" t="s">
        <v>43</v>
      </c>
      <c r="B11" s="31">
        <v>86.0</v>
      </c>
      <c r="C11" s="31">
        <v>929345.0</v>
      </c>
      <c r="D11" s="35">
        <f t="shared" si="3"/>
        <v>929345</v>
      </c>
      <c r="E11" s="33">
        <v>86.0</v>
      </c>
      <c r="F11" s="33">
        <v>929345.0</v>
      </c>
      <c r="G11" s="34">
        <f t="shared" si="2"/>
        <v>0</v>
      </c>
      <c r="H11" s="22" t="s">
        <v>11</v>
      </c>
      <c r="I11" s="2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0" t="s">
        <v>44</v>
      </c>
      <c r="B12" s="31">
        <v>90.0</v>
      </c>
      <c r="C12" s="32">
        <v>921945.0</v>
      </c>
      <c r="D12" s="35">
        <f t="shared" si="3"/>
        <v>921945</v>
      </c>
      <c r="E12" s="33">
        <v>90.0</v>
      </c>
      <c r="F12" s="36">
        <v>921945.0</v>
      </c>
      <c r="G12" s="34">
        <f t="shared" si="2"/>
        <v>0</v>
      </c>
      <c r="H12" s="22" t="s">
        <v>13</v>
      </c>
      <c r="I12" s="2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0" t="s">
        <v>45</v>
      </c>
      <c r="B13" s="31">
        <v>80.0</v>
      </c>
      <c r="C13" s="31">
        <v>865825.0</v>
      </c>
      <c r="D13" s="35">
        <f t="shared" si="3"/>
        <v>865825</v>
      </c>
      <c r="E13" s="33">
        <v>80.0</v>
      </c>
      <c r="F13" s="33">
        <v>865825.0</v>
      </c>
      <c r="G13" s="34">
        <f t="shared" si="2"/>
        <v>0</v>
      </c>
      <c r="H13" s="22" t="s">
        <v>11</v>
      </c>
      <c r="I13" s="2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7" t="s">
        <v>46</v>
      </c>
      <c r="B14" s="31">
        <v>43.0</v>
      </c>
      <c r="C14" s="32">
        <v>401200.0</v>
      </c>
      <c r="D14" s="35">
        <f t="shared" si="3"/>
        <v>401200</v>
      </c>
      <c r="E14" s="33">
        <v>43.0</v>
      </c>
      <c r="F14" s="36">
        <v>401200.0</v>
      </c>
      <c r="G14" s="34">
        <f t="shared" si="2"/>
        <v>0</v>
      </c>
      <c r="H14" s="22" t="s">
        <v>13</v>
      </c>
      <c r="I14" s="2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7" t="s">
        <v>47</v>
      </c>
      <c r="B15" s="52">
        <v>112.0</v>
      </c>
      <c r="C15" s="42">
        <v>1410755.0</v>
      </c>
      <c r="D15" s="35">
        <f t="shared" si="3"/>
        <v>1410755</v>
      </c>
      <c r="E15" s="53">
        <v>112.0</v>
      </c>
      <c r="F15" s="44">
        <v>1410755.0</v>
      </c>
      <c r="G15" s="34">
        <f t="shared" si="2"/>
        <v>0</v>
      </c>
      <c r="H15" s="22" t="s">
        <v>13</v>
      </c>
      <c r="I15" s="2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7" t="s">
        <v>48</v>
      </c>
      <c r="B16" s="52">
        <v>102.0</v>
      </c>
      <c r="C16" s="42">
        <v>2303930.0</v>
      </c>
      <c r="D16" s="35">
        <f t="shared" si="3"/>
        <v>2303930</v>
      </c>
      <c r="E16" s="53">
        <v>102.0</v>
      </c>
      <c r="F16" s="33">
        <v>2306780.0</v>
      </c>
      <c r="G16" s="34">
        <f t="shared" si="2"/>
        <v>2850</v>
      </c>
      <c r="H16" s="22" t="s">
        <v>13</v>
      </c>
      <c r="I16" s="22" t="s">
        <v>49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37" t="s">
        <v>50</v>
      </c>
      <c r="B17" s="52">
        <v>124.0</v>
      </c>
      <c r="C17" s="43">
        <v>2110055.0</v>
      </c>
      <c r="D17" s="35">
        <f t="shared" si="3"/>
        <v>2110055</v>
      </c>
      <c r="E17" s="53">
        <v>124.0</v>
      </c>
      <c r="F17" s="53">
        <v>2513195.0</v>
      </c>
      <c r="G17" s="34">
        <f t="shared" si="2"/>
        <v>403140</v>
      </c>
      <c r="H17" s="22" t="s">
        <v>13</v>
      </c>
      <c r="I17" s="22" t="s">
        <v>51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37" t="s">
        <v>52</v>
      </c>
      <c r="B18" s="52">
        <v>133.0</v>
      </c>
      <c r="C18" s="43">
        <v>1415250.0</v>
      </c>
      <c r="D18" s="43">
        <v>1415250.0</v>
      </c>
      <c r="E18" s="53">
        <v>133.0</v>
      </c>
      <c r="F18" s="53">
        <v>1757750.0</v>
      </c>
      <c r="G18" s="34">
        <f>SUM(F18-D18)</f>
        <v>342500</v>
      </c>
      <c r="H18" s="22" t="s">
        <v>13</v>
      </c>
      <c r="I18" s="22" t="s">
        <v>53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6" t="s">
        <v>32</v>
      </c>
      <c r="B19" s="2"/>
      <c r="C19" s="3"/>
      <c r="D19" s="47">
        <f>SUM(D4:D17)</f>
        <v>17004199</v>
      </c>
      <c r="E19" s="48"/>
      <c r="F19" s="47">
        <f t="shared" ref="F19:G19" si="4">SUM(F4:F17)</f>
        <v>17448456</v>
      </c>
      <c r="G19" s="49">
        <f t="shared" si="4"/>
        <v>444257</v>
      </c>
      <c r="H19" s="50"/>
      <c r="I19" s="5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
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" sheetId="1" r:id="rId4"/>
    <sheet state="visible" name="16-30" sheetId="2" r:id="rId5"/>
  </sheets>
  <definedNames/>
  <calcPr/>
</workbook>
</file>

<file path=xl/sharedStrings.xml><?xml version="1.0" encoding="utf-8"?>
<sst xmlns="http://schemas.openxmlformats.org/spreadsheetml/2006/main" count="93" uniqueCount="59">
  <si>
    <t>ตรวจบิล เม.ย. 65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</si>
  <si>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</si>
  <si>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</si>
  <si>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</si>
  <si>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</si>
  <si>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</si>
  <si>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</si>
  <si>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</si>
  <si>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</si>
  <si>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</si>
  <si>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>2.4.65</t>
  </si>
  <si>
    <t>นี</t>
  </si>
  <si>
    <t>3.4.65</t>
  </si>
  <si>
    <t>ปูน</t>
  </si>
  <si>
    <t>4.4.65</t>
  </si>
  <si>
    <t>ผลต่าง15000 บาท เป็นบิลยกเลิก 3/4/65 STHBKK012204000285</t>
  </si>
  <si>
    <t>5.4.65</t>
  </si>
  <si>
    <t>ผลต่าง15000 บาท เป็นบิลยกเลิก 4/4/65 STHBKK012204000399</t>
  </si>
  <si>
    <t>6.4.65</t>
  </si>
  <si>
    <t>วันหยุดจักรี</t>
  </si>
  <si>
    <t>7.4.65</t>
  </si>
  <si>
    <t>ผลต่าง1250บาท เป็นบิลยกเลิก 5/4/65 STHBKK012204000520</t>
  </si>
  <si>
    <t>8.4.65</t>
  </si>
  <si>
    <t>ผลต่าง 66300 บาท เป็นบิลยกเลิก 7/4/65 STHBKK012204000741 // 4/4/65STHBKK012204000852</t>
  </si>
  <si>
    <t>9.4.65</t>
  </si>
  <si>
    <t>เอิง</t>
  </si>
  <si>
    <t>ผลต่าง 14,450 บาท เป็นบิลยกเลิก 8/4/65 STHBKK012204000926//STHONLIN2204000202</t>
  </si>
  <si>
    <t>10.4.65</t>
  </si>
  <si>
    <t xml:space="preserve">ผลต่าง 59500 บาท เป็นบิลยกเลิก 9/4/65 STHBKK012204001102// STHBKK012204001017	</t>
  </si>
  <si>
    <t>11.4.65</t>
  </si>
  <si>
    <t xml:space="preserve">ผลต่าง300 บาท เป็นบิล dummy     </t>
  </si>
  <si>
    <t>12.4.65</t>
  </si>
  <si>
    <t>13.4.65</t>
  </si>
  <si>
    <t>14.4.65</t>
  </si>
  <si>
    <t>วันหยุดสงกรานต์</t>
  </si>
  <si>
    <t>15.4.65</t>
  </si>
  <si>
    <t>รวม</t>
  </si>
  <si>
    <t>16.4.65</t>
  </si>
  <si>
    <t>17.4.65</t>
  </si>
  <si>
    <t>18.4.65</t>
  </si>
  <si>
    <t>19.4.65</t>
  </si>
  <si>
    <t xml:space="preserve">ผลต่าง 10000 บาท เป็นบิลยกเลิก 18/4/65 STHONLIN2204000355        </t>
  </si>
  <si>
    <t>20.6.65</t>
  </si>
  <si>
    <t xml:space="preserve">ผลต่าง 5000 บาท เป็นบิลยกเลิก 19/4/65 STHBKK012204001892    </t>
  </si>
  <si>
    <t>21.4.65</t>
  </si>
  <si>
    <t>22.4.65</t>
  </si>
  <si>
    <t>23.4.65</t>
  </si>
  <si>
    <t>ผลต่าง10500 บาท เป็นบิลยกเลิก 22-4-2565 STHBKK012204002369/STHBKK012204002372</t>
  </si>
  <si>
    <t>24.4.65</t>
  </si>
  <si>
    <t>25.4.65</t>
  </si>
  <si>
    <t>ผลต่าง10500 บาท เป็นบิลยกเลิก 24/4/65 STHBKK012204002520</t>
  </si>
  <si>
    <t>26.4.65</t>
  </si>
  <si>
    <t>ผลต่าง 29,500 บาท เป็นบิลยกเลิก 25/4/65 STHBKK012204002738=2500/STHBKK012204002455=27000</t>
  </si>
  <si>
    <t>27.4.65</t>
  </si>
  <si>
    <t>ผลต่าง 65,000 บาท เป็นบิลยกเลิก 25/4/65 STHONLIN2204000527</t>
  </si>
  <si>
    <t>28.4.65</t>
  </si>
  <si>
    <t>29.4.65</t>
  </si>
  <si>
    <t>ผลต่าง 15000 เป็นบิลยกเลิกรายการ 50593 วันที่ 28/9/65 เลขที่บิล STHBKK012204003077</t>
  </si>
  <si>
    <t>30.4.65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</si>
</sst>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1">
    <font>
      <sz val="10.0"/>
      <color rgb="FF000000"/>
      <name val="Arial"/>
      <scheme val="minor"/>
    </font>
    <font>
      <b/>
      <sz val="18.0"/>
      <color theme="1"/>
      <name val="Calibri"/>
    </font>
    <font>
      <color theme="1"/>
      <name val="Arial"/>
    </font>
    <font/>
    <font>
      <sz val="16.0"/>
      <color theme="1"/>
      <name val="Calibri"/>
    </font>
    <font>
      <sz val="16.0"/>
      <color rgb="FFFF0000"/>
      <name val="Calibri"/>
    </font>
    <font>
      <sz val="17.0"/>
      <color theme="1"/>
      <name val="Calibri"/>
    </font>
    <font>
      <b/>
      <u/>
      <sz val="16.0"/>
      <color theme="1"/>
      <name val="Calibri"/>
    </font>
    <font>
      <b/>
      <u/>
      <sz val="16.0"/>
      <color theme="1"/>
      <name val="Calibri"/>
    </font>
    <font>
      <sz val="15.0"/>
      <color theme="1"/>
      <name val="Arial"/>
    </font>
    <font>
      <b/>
      <u/>
      <sz val="16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5" fontId="1" numFmtId="0" xfId="0" applyAlignment="1" applyBorder="1" applyFont="1">
      <alignment horizontal="center" vertical="bottom"/>
    </xf>
    <xf borderId="6" fillId="4" fontId="1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6" fillId="5" fontId="4" numFmtId="38" xfId="0" applyAlignment="1" applyBorder="1" applyFont="1" applyNumberFormat="1">
      <alignment horizontal="right" readingOrder="0" vertical="bottom"/>
    </xf>
    <xf borderId="6" fillId="5" fontId="4" numFmtId="38" xfId="0" applyAlignment="1" applyBorder="1" applyFont="1" applyNumberFormat="1">
      <alignment horizontal="right" vertical="bottom"/>
    </xf>
    <xf borderId="6" fillId="4" fontId="4" numFmtId="38" xfId="0" applyAlignment="1" applyBorder="1" applyFont="1" applyNumberFormat="1">
      <alignment horizontal="right" readingOrder="0" vertical="bottom"/>
    </xf>
    <xf borderId="6" fillId="0" fontId="5" numFmtId="164" xfId="0" applyAlignment="1" applyBorder="1" applyFont="1" applyNumberFormat="1">
      <alignment horizontal="right" vertical="bottom"/>
    </xf>
    <xf borderId="6" fillId="0" fontId="4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6" fillId="5" fontId="4" numFmtId="164" xfId="0" applyAlignment="1" applyBorder="1" applyFont="1" applyNumberFormat="1">
      <alignment horizontal="right" vertical="bottom"/>
    </xf>
    <xf borderId="6" fillId="4" fontId="4" numFmtId="38" xfId="0" applyAlignment="1" applyBorder="1" applyFont="1" applyNumberFormat="1">
      <alignment horizontal="right" vertical="bottom"/>
    </xf>
    <xf borderId="6" fillId="6" fontId="4" numFmtId="0" xfId="0" applyAlignment="1" applyBorder="1" applyFill="1" applyFont="1">
      <alignment vertical="bottom"/>
    </xf>
    <xf borderId="6" fillId="6" fontId="4" numFmtId="0" xfId="0" applyAlignment="1" applyBorder="1" applyFont="1">
      <alignment readingOrder="0" vertical="bottom"/>
    </xf>
    <xf borderId="1" fillId="5" fontId="4" numFmtId="38" xfId="0" applyAlignment="1" applyBorder="1" applyFont="1" applyNumberFormat="1">
      <alignment horizontal="right" readingOrder="0" vertical="bottom"/>
    </xf>
    <xf borderId="1" fillId="5" fontId="4" numFmtId="38" xfId="0" applyAlignment="1" applyBorder="1" applyFont="1" applyNumberFormat="1">
      <alignment horizontal="right" vertical="bottom"/>
    </xf>
    <xf borderId="1" fillId="5" fontId="4" numFmtId="164" xfId="0" applyAlignment="1" applyBorder="1" applyFont="1" applyNumberFormat="1">
      <alignment horizontal="right" vertical="bottom"/>
    </xf>
    <xf borderId="1" fillId="4" fontId="4" numFmtId="38" xfId="0" applyAlignment="1" applyBorder="1" applyFont="1" applyNumberFormat="1">
      <alignment horizontal="right" readingOrder="0" vertical="bottom"/>
    </xf>
    <xf borderId="1" fillId="4" fontId="4" numFmtId="38" xfId="0" applyAlignment="1" applyBorder="1" applyFont="1" applyNumberFormat="1">
      <alignment horizontal="right" vertical="bottom"/>
    </xf>
    <xf borderId="1" fillId="0" fontId="5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6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horizontal="center" readingOrder="0" vertical="bottom"/>
    </xf>
    <xf borderId="3" fillId="7" fontId="4" numFmtId="38" xfId="0" applyAlignment="1" applyBorder="1" applyFill="1" applyFont="1" applyNumberFormat="1">
      <alignment horizontal="right" readingOrder="0" vertical="bottom"/>
    </xf>
    <xf borderId="3" fillId="7" fontId="4" numFmtId="38" xfId="0" applyAlignment="1" applyBorder="1" applyFont="1" applyNumberFormat="1">
      <alignment horizontal="right" vertical="bottom"/>
    </xf>
    <xf borderId="3" fillId="7" fontId="4" numFmtId="164" xfId="0" applyAlignment="1" applyBorder="1" applyFont="1" applyNumberFormat="1">
      <alignment horizontal="right" vertical="bottom"/>
    </xf>
    <xf borderId="3" fillId="7" fontId="5" numFmtId="164" xfId="0" applyAlignment="1" applyBorder="1" applyFont="1" applyNumberFormat="1">
      <alignment horizontal="right" vertical="bottom"/>
    </xf>
    <xf borderId="3" fillId="7" fontId="4" numFmtId="0" xfId="0" applyAlignment="1" applyBorder="1" applyFont="1">
      <alignment readingOrder="0" vertical="bottom"/>
    </xf>
    <xf borderId="4" fillId="7" fontId="4" numFmtId="0" xfId="0" applyAlignment="1" applyBorder="1" applyFont="1">
      <alignment readingOrder="0" vertical="bottom"/>
    </xf>
    <xf borderId="5" fillId="5" fontId="4" numFmtId="38" xfId="0" applyAlignment="1" applyBorder="1" applyFont="1" applyNumberFormat="1">
      <alignment horizontal="right" readingOrder="0" vertical="bottom"/>
    </xf>
    <xf borderId="5" fillId="5" fontId="4" numFmtId="38" xfId="0" applyAlignment="1" applyBorder="1" applyFont="1" applyNumberFormat="1">
      <alignment horizontal="right" vertical="bottom"/>
    </xf>
    <xf borderId="5" fillId="5" fontId="4" numFmtId="164" xfId="0" applyAlignment="1" applyBorder="1" applyFont="1" applyNumberFormat="1">
      <alignment horizontal="right" vertical="bottom"/>
    </xf>
    <xf borderId="5" fillId="4" fontId="4" numFmtId="38" xfId="0" applyAlignment="1" applyBorder="1" applyFont="1" applyNumberForma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readingOrder="0" vertical="bottom"/>
    </xf>
    <xf borderId="5" fillId="6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2" fillId="7" fontId="6" numFmtId="0" xfId="0" applyAlignment="1" applyBorder="1" applyFont="1">
      <alignment horizontal="center" readingOrder="0" vertical="bottom"/>
    </xf>
    <xf borderId="7" fillId="7" fontId="6" numFmtId="38" xfId="0" applyAlignment="1" applyBorder="1" applyFont="1" applyNumberFormat="1">
      <alignment horizontal="right" vertical="bottom"/>
    </xf>
    <xf borderId="7" fillId="7" fontId="4" numFmtId="38" xfId="0" applyAlignment="1" applyBorder="1" applyFont="1" applyNumberFormat="1">
      <alignment horizontal="right" vertical="bottom"/>
    </xf>
    <xf borderId="7" fillId="7" fontId="4" numFmtId="164" xfId="0" applyAlignment="1" applyBorder="1" applyFont="1" applyNumberFormat="1">
      <alignment horizontal="right" vertical="bottom"/>
    </xf>
    <xf borderId="7" fillId="7" fontId="5" numFmtId="164" xfId="0" applyAlignment="1" applyBorder="1" applyFont="1" applyNumberFormat="1">
      <alignment horizontal="right" vertical="bottom"/>
    </xf>
    <xf borderId="7" fillId="7" fontId="4" numFmtId="0" xfId="0" applyAlignment="1" applyBorder="1" applyFont="1">
      <alignment vertical="bottom"/>
    </xf>
    <xf borderId="8" fillId="7" fontId="2" numFmtId="0" xfId="0" applyAlignment="1" applyBorder="1" applyFont="1">
      <alignment vertical="bottom"/>
    </xf>
    <xf borderId="2" fillId="7" fontId="4" numFmtId="0" xfId="0" applyAlignment="1" applyBorder="1" applyFont="1">
      <alignment horizontal="center" readingOrder="0" vertical="bottom"/>
    </xf>
    <xf borderId="0" fillId="7" fontId="4" numFmtId="38" xfId="0" applyAlignment="1" applyFont="1" applyNumberFormat="1">
      <alignment horizontal="right" vertical="bottom"/>
    </xf>
    <xf borderId="0" fillId="7" fontId="4" numFmtId="164" xfId="0" applyAlignment="1" applyFont="1" applyNumberFormat="1">
      <alignment horizontal="right" vertical="bottom"/>
    </xf>
    <xf borderId="0" fillId="7" fontId="4" numFmtId="38" xfId="0" applyAlignment="1" applyFont="1" applyNumberFormat="1">
      <alignment horizontal="right" readingOrder="0" vertical="bottom"/>
    </xf>
    <xf borderId="0" fillId="7" fontId="5" numFmtId="164" xfId="0" applyAlignment="1" applyFont="1" applyNumberFormat="1">
      <alignment horizontal="right" vertical="bottom"/>
    </xf>
    <xf borderId="0" fillId="7" fontId="4" numFmtId="0" xfId="0" applyAlignment="1" applyFont="1">
      <alignment vertical="bottom"/>
    </xf>
    <xf borderId="9" fillId="7" fontId="2" numFmtId="0" xfId="0" applyAlignment="1" applyBorder="1" applyFont="1">
      <alignment vertical="bottom"/>
    </xf>
    <xf borderId="10" fillId="7" fontId="4" numFmtId="38" xfId="0" applyAlignment="1" applyBorder="1" applyFont="1" applyNumberFormat="1">
      <alignment horizontal="right" vertical="bottom"/>
    </xf>
    <xf borderId="10" fillId="7" fontId="4" numFmtId="164" xfId="0" applyAlignment="1" applyBorder="1" applyFont="1" applyNumberFormat="1">
      <alignment horizontal="right" vertical="bottom"/>
    </xf>
    <xf borderId="10" fillId="7" fontId="5" numFmtId="164" xfId="0" applyAlignment="1" applyBorder="1" applyFont="1" applyNumberFormat="1">
      <alignment horizontal="right" vertical="bottom"/>
    </xf>
    <xf borderId="10" fillId="7" fontId="4" numFmtId="0" xfId="0" applyAlignment="1" applyBorder="1" applyFont="1">
      <alignment vertical="bottom"/>
    </xf>
    <xf borderId="11" fillId="7" fontId="4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5" fillId="0" fontId="8" numFmtId="38" xfId="0" applyAlignment="1" applyBorder="1" applyFont="1" applyNumberFormat="1">
      <alignment horizontal="center" vertical="bottom"/>
    </xf>
    <xf borderId="5" fillId="0" fontId="2" numFmtId="0" xfId="0" applyAlignment="1" applyBorder="1" applyFont="1">
      <alignment vertical="bottom"/>
    </xf>
    <xf borderId="6" fillId="6" fontId="6" numFmtId="0" xfId="0" applyAlignment="1" applyBorder="1" applyFont="1">
      <alignment readingOrder="0" vertical="bottom"/>
    </xf>
    <xf borderId="6" fillId="5" fontId="6" numFmtId="38" xfId="0" applyAlignment="1" applyBorder="1" applyFont="1" applyNumberFormat="1">
      <alignment horizontal="right" readingOrder="0" vertical="bottom"/>
    </xf>
    <xf borderId="6" fillId="4" fontId="6" numFmtId="38" xfId="0" applyAlignment="1" applyBorder="1" applyFont="1" applyNumberFormat="1">
      <alignment horizontal="right" readingOrder="0" vertical="bottom"/>
    </xf>
    <xf borderId="1" fillId="0" fontId="9" numFmtId="0" xfId="0" applyAlignment="1" applyBorder="1" applyFont="1">
      <alignment readingOrder="0" vertical="bottom"/>
    </xf>
    <xf borderId="6" fillId="0" fontId="10" numFmtId="38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5.5"/>
    <col customWidth="1" min="4" max="4" width="15.88"/>
    <col customWidth="1" min="6" max="6" width="19.5"/>
    <col customWidth="1" min="8" max="8" width="20.25"/>
    <col customWidth="1" min="9" max="9" width="109.38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10"/>
      <c r="H3" s="10"/>
      <c r="I3" s="10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10</v>
      </c>
      <c r="B4" s="14">
        <v>185.0</v>
      </c>
      <c r="C4" s="14">
        <v>1691845.0</v>
      </c>
      <c r="D4" s="15">
        <f>SUM(C4)</f>
        <v>1691845</v>
      </c>
      <c r="E4" s="16">
        <v>185.0</v>
      </c>
      <c r="F4" s="16">
        <v>1691845.0</v>
      </c>
      <c r="G4" s="17">
        <f t="shared" ref="G4:G7" si="1">SUM(F4-D4)</f>
        <v>0</v>
      </c>
      <c r="H4" s="18" t="s">
        <v>11</v>
      </c>
      <c r="I4" s="1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12</v>
      </c>
      <c r="B5" s="14">
        <v>105.0</v>
      </c>
      <c r="C5" s="20">
        <v>1199725.0</v>
      </c>
      <c r="D5" s="20">
        <v>1199725.0</v>
      </c>
      <c r="E5" s="16">
        <v>105.0</v>
      </c>
      <c r="F5" s="21">
        <v>1199725.0</v>
      </c>
      <c r="G5" s="17">
        <f t="shared" si="1"/>
        <v>0</v>
      </c>
      <c r="H5" s="18" t="s">
        <v>13</v>
      </c>
      <c r="I5" s="2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14</v>
      </c>
      <c r="B6" s="14">
        <v>143.0</v>
      </c>
      <c r="C6" s="15">
        <v>1310433.0</v>
      </c>
      <c r="D6" s="20">
        <v>1310433.0</v>
      </c>
      <c r="E6" s="16">
        <v>143.0</v>
      </c>
      <c r="F6" s="21">
        <v>1325433.0</v>
      </c>
      <c r="G6" s="17">
        <f t="shared" si="1"/>
        <v>15000</v>
      </c>
      <c r="H6" s="18" t="s">
        <v>13</v>
      </c>
      <c r="I6" s="23" t="s">
        <v>15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16</v>
      </c>
      <c r="B7" s="24">
        <v>106.0</v>
      </c>
      <c r="C7" s="25">
        <v>1056410.0</v>
      </c>
      <c r="D7" s="26">
        <v>1056410.0</v>
      </c>
      <c r="E7" s="27">
        <v>106.0</v>
      </c>
      <c r="F7" s="28">
        <v>1076410.0</v>
      </c>
      <c r="G7" s="29">
        <f t="shared" si="1"/>
        <v>20000</v>
      </c>
      <c r="H7" s="30" t="s">
        <v>13</v>
      </c>
      <c r="I7" s="31" t="s">
        <v>17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2" t="s">
        <v>18</v>
      </c>
      <c r="B8" s="33"/>
      <c r="C8" s="34"/>
      <c r="D8" s="35"/>
      <c r="E8" s="33"/>
      <c r="F8" s="33" t="s">
        <v>19</v>
      </c>
      <c r="G8" s="36"/>
      <c r="H8" s="37"/>
      <c r="I8" s="3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20</v>
      </c>
      <c r="B9" s="39">
        <v>184.0</v>
      </c>
      <c r="C9" s="40">
        <v>1751325.0</v>
      </c>
      <c r="D9" s="41">
        <v>1751325.0</v>
      </c>
      <c r="E9" s="42">
        <v>184.0</v>
      </c>
      <c r="F9" s="42">
        <v>1752575.0</v>
      </c>
      <c r="G9" s="43">
        <f t="shared" ref="G9:G14" si="2">SUM(F9-D9)</f>
        <v>1250</v>
      </c>
      <c r="H9" s="44" t="s">
        <v>13</v>
      </c>
      <c r="I9" s="45" t="s">
        <v>21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22</v>
      </c>
      <c r="B10" s="14">
        <v>124.0</v>
      </c>
      <c r="C10" s="15">
        <v>1057039.0</v>
      </c>
      <c r="D10" s="20">
        <v>1057039.0</v>
      </c>
      <c r="E10" s="16">
        <v>124.0</v>
      </c>
      <c r="F10" s="21">
        <v>1123339.0</v>
      </c>
      <c r="G10" s="17">
        <f t="shared" si="2"/>
        <v>66300</v>
      </c>
      <c r="H10" s="18" t="s">
        <v>13</v>
      </c>
      <c r="I10" s="23" t="s">
        <v>23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24</v>
      </c>
      <c r="B11" s="14">
        <v>87.0</v>
      </c>
      <c r="C11" s="14">
        <v>814777.0</v>
      </c>
      <c r="D11" s="14">
        <v>814777.0</v>
      </c>
      <c r="E11" s="16">
        <v>87.0</v>
      </c>
      <c r="F11" s="16">
        <v>829227.0</v>
      </c>
      <c r="G11" s="17">
        <f t="shared" si="2"/>
        <v>14450</v>
      </c>
      <c r="H11" s="18" t="s">
        <v>25</v>
      </c>
      <c r="I11" s="23" t="s">
        <v>26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27</v>
      </c>
      <c r="B12" s="14">
        <v>87.0</v>
      </c>
      <c r="C12" s="15">
        <v>826780.0</v>
      </c>
      <c r="D12" s="15">
        <v>826780.0</v>
      </c>
      <c r="E12" s="16">
        <v>87.0</v>
      </c>
      <c r="F12" s="21">
        <v>886280.0</v>
      </c>
      <c r="G12" s="17">
        <f t="shared" si="2"/>
        <v>59500</v>
      </c>
      <c r="H12" s="18" t="s">
        <v>13</v>
      </c>
      <c r="I12" s="23" t="s">
        <v>28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29</v>
      </c>
      <c r="B13" s="14">
        <v>118.0</v>
      </c>
      <c r="C13" s="15">
        <v>1533045.0</v>
      </c>
      <c r="D13" s="15">
        <v>1533045.0</v>
      </c>
      <c r="E13" s="16">
        <v>118.0</v>
      </c>
      <c r="F13" s="21">
        <v>1533345.0</v>
      </c>
      <c r="G13" s="17">
        <f t="shared" si="2"/>
        <v>300</v>
      </c>
      <c r="H13" s="18" t="s">
        <v>13</v>
      </c>
      <c r="I13" s="23" t="s">
        <v>30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 t="s">
        <v>31</v>
      </c>
      <c r="B14" s="24">
        <v>91.0</v>
      </c>
      <c r="C14" s="25">
        <v>1137280.0</v>
      </c>
      <c r="D14" s="25">
        <v>1137280.0</v>
      </c>
      <c r="E14" s="27">
        <v>91.0</v>
      </c>
      <c r="F14" s="28">
        <v>1137280.0</v>
      </c>
      <c r="G14" s="29">
        <f t="shared" si="2"/>
        <v>0</v>
      </c>
      <c r="H14" s="18" t="s">
        <v>13</v>
      </c>
      <c r="I14" s="4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7" t="s">
        <v>32</v>
      </c>
      <c r="B15" s="48"/>
      <c r="C15" s="49"/>
      <c r="D15" s="50"/>
      <c r="E15" s="48"/>
      <c r="F15" s="49"/>
      <c r="G15" s="51"/>
      <c r="H15" s="52"/>
      <c r="I15" s="5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4" t="s">
        <v>33</v>
      </c>
      <c r="B16" s="55"/>
      <c r="C16" s="55"/>
      <c r="D16" s="56"/>
      <c r="E16" s="55"/>
      <c r="F16" s="57" t="s">
        <v>34</v>
      </c>
      <c r="G16" s="58"/>
      <c r="H16" s="59"/>
      <c r="I16" s="6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4" t="s">
        <v>35</v>
      </c>
      <c r="B17" s="61"/>
      <c r="C17" s="62"/>
      <c r="D17" s="62"/>
      <c r="E17" s="61"/>
      <c r="F17" s="61"/>
      <c r="G17" s="63">
        <f t="shared" ref="G17:G18" si="3">SUM(F17-D17)</f>
        <v>0</v>
      </c>
      <c r="H17" s="64"/>
      <c r="I17" s="6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6" t="s">
        <v>36</v>
      </c>
      <c r="B18" s="5"/>
      <c r="C18" s="6"/>
      <c r="D18" s="67">
        <f>SUM(D4:D17)</f>
        <v>12378659</v>
      </c>
      <c r="E18" s="68"/>
      <c r="F18" s="67">
        <f>SUM(F4:F17)</f>
        <v>12555459</v>
      </c>
      <c r="G18" s="43">
        <f t="shared" si="3"/>
        <v>176800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8:C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5.5"/>
    <col customWidth="1" min="4" max="4" width="15.88"/>
    <col customWidth="1" min="6" max="6" width="14.88"/>
    <col customWidth="1" min="8" max="8" width="16.63"/>
    <col customWidth="1" min="9" max="9" width="118.88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/>
      <c r="B3" s="11" t="s">
        <v>7</v>
      </c>
      <c r="C3" s="11" t="s">
        <v>8</v>
      </c>
      <c r="D3" s="11" t="s">
        <v>9</v>
      </c>
      <c r="E3" s="12"/>
      <c r="F3" s="12"/>
      <c r="G3" s="10"/>
      <c r="H3" s="10"/>
      <c r="I3" s="10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37</v>
      </c>
      <c r="B4" s="14">
        <v>87.0</v>
      </c>
      <c r="C4" s="14">
        <v>890450.0</v>
      </c>
      <c r="D4" s="15">
        <f t="shared" ref="D4:D5" si="1">SUM(C4)</f>
        <v>890450</v>
      </c>
      <c r="E4" s="16">
        <v>87.0</v>
      </c>
      <c r="F4" s="16">
        <v>890450.0</v>
      </c>
      <c r="G4" s="17">
        <f t="shared" ref="G4:G19" si="2">SUM(F4-D4)</f>
        <v>0</v>
      </c>
      <c r="H4" s="18" t="s">
        <v>11</v>
      </c>
      <c r="I4" s="1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38</v>
      </c>
      <c r="B5" s="14">
        <v>62.0</v>
      </c>
      <c r="C5" s="20">
        <v>514750.0</v>
      </c>
      <c r="D5" s="15">
        <f t="shared" si="1"/>
        <v>514750</v>
      </c>
      <c r="E5" s="16">
        <v>62.0</v>
      </c>
      <c r="F5" s="21">
        <v>514750.0</v>
      </c>
      <c r="G5" s="17">
        <f t="shared" si="2"/>
        <v>0</v>
      </c>
      <c r="H5" s="18" t="s">
        <v>13</v>
      </c>
      <c r="I5" s="2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39</v>
      </c>
      <c r="B6" s="14">
        <v>100.0</v>
      </c>
      <c r="C6" s="15">
        <v>760630.0</v>
      </c>
      <c r="D6" s="15">
        <v>770630.0</v>
      </c>
      <c r="E6" s="16">
        <v>100.0</v>
      </c>
      <c r="F6" s="21">
        <v>770630.0</v>
      </c>
      <c r="G6" s="17">
        <f t="shared" si="2"/>
        <v>0</v>
      </c>
      <c r="H6" s="18" t="s">
        <v>13</v>
      </c>
      <c r="I6" s="2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40</v>
      </c>
      <c r="B7" s="24">
        <v>123.0</v>
      </c>
      <c r="C7" s="25">
        <v>1145990.0</v>
      </c>
      <c r="D7" s="15">
        <f t="shared" ref="D7:D18" si="3">SUM(C7)</f>
        <v>1145990</v>
      </c>
      <c r="E7" s="27">
        <v>123.0</v>
      </c>
      <c r="F7" s="28">
        <v>1155990.0</v>
      </c>
      <c r="G7" s="29">
        <f t="shared" si="2"/>
        <v>10000</v>
      </c>
      <c r="H7" s="18" t="s">
        <v>13</v>
      </c>
      <c r="I7" s="23" t="s">
        <v>41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2" t="s">
        <v>42</v>
      </c>
      <c r="B8" s="14">
        <v>120.0</v>
      </c>
      <c r="C8" s="15">
        <v>1326640.0</v>
      </c>
      <c r="D8" s="15">
        <f t="shared" si="3"/>
        <v>1326640</v>
      </c>
      <c r="E8" s="16">
        <v>120.0</v>
      </c>
      <c r="F8" s="21">
        <v>1331640.0</v>
      </c>
      <c r="G8" s="17">
        <f t="shared" si="2"/>
        <v>5000</v>
      </c>
      <c r="H8" s="18" t="s">
        <v>11</v>
      </c>
      <c r="I8" s="69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44</v>
      </c>
      <c r="B9" s="14">
        <v>112.0</v>
      </c>
      <c r="C9" s="15">
        <v>1111045.0</v>
      </c>
      <c r="D9" s="15">
        <f t="shared" si="3"/>
        <v>1111045</v>
      </c>
      <c r="E9" s="16">
        <v>112.0</v>
      </c>
      <c r="F9" s="21">
        <v>1111045.0</v>
      </c>
      <c r="G9" s="17">
        <f t="shared" si="2"/>
        <v>0</v>
      </c>
      <c r="H9" s="18" t="s">
        <v>13</v>
      </c>
      <c r="I9" s="4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45</v>
      </c>
      <c r="B10" s="14">
        <v>107.0</v>
      </c>
      <c r="C10" s="14">
        <v>1656290.0</v>
      </c>
      <c r="D10" s="15">
        <f t="shared" si="3"/>
        <v>1656290</v>
      </c>
      <c r="E10" s="16">
        <v>107.0</v>
      </c>
      <c r="F10" s="16">
        <v>1656290.0</v>
      </c>
      <c r="G10" s="17">
        <f t="shared" si="2"/>
        <v>0</v>
      </c>
      <c r="H10" s="18" t="s">
        <v>11</v>
      </c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46</v>
      </c>
      <c r="B11" s="70">
        <v>114.0</v>
      </c>
      <c r="C11" s="70">
        <v>1238385.0</v>
      </c>
      <c r="D11" s="15">
        <f t="shared" si="3"/>
        <v>1238385</v>
      </c>
      <c r="E11" s="71">
        <v>114.0</v>
      </c>
      <c r="F11" s="71">
        <v>1248885.0</v>
      </c>
      <c r="G11" s="17">
        <f t="shared" si="2"/>
        <v>10500</v>
      </c>
      <c r="H11" s="18"/>
      <c r="I11" s="69" t="s">
        <v>47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48</v>
      </c>
      <c r="B12" s="14">
        <v>56.0</v>
      </c>
      <c r="C12" s="15">
        <v>731989.0</v>
      </c>
      <c r="D12" s="15">
        <f t="shared" si="3"/>
        <v>731989</v>
      </c>
      <c r="E12" s="16">
        <v>56.0</v>
      </c>
      <c r="F12" s="21">
        <v>731989.0</v>
      </c>
      <c r="G12" s="17">
        <f t="shared" si="2"/>
        <v>0</v>
      </c>
      <c r="H12" s="18" t="s">
        <v>13</v>
      </c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49</v>
      </c>
      <c r="B13" s="14">
        <v>148.0</v>
      </c>
      <c r="C13" s="15">
        <v>1279405.0</v>
      </c>
      <c r="D13" s="15">
        <f t="shared" si="3"/>
        <v>1279405</v>
      </c>
      <c r="E13" s="16">
        <v>148.0</v>
      </c>
      <c r="F13" s="21">
        <v>1285655.0</v>
      </c>
      <c r="G13" s="17">
        <f t="shared" si="2"/>
        <v>6250</v>
      </c>
      <c r="H13" s="18" t="s">
        <v>13</v>
      </c>
      <c r="I13" s="69" t="s">
        <v>50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 t="s">
        <v>51</v>
      </c>
      <c r="B14" s="24">
        <v>121.0</v>
      </c>
      <c r="C14" s="24">
        <v>1221180.0</v>
      </c>
      <c r="D14" s="15">
        <f t="shared" si="3"/>
        <v>1221180</v>
      </c>
      <c r="E14" s="27">
        <v>121.0</v>
      </c>
      <c r="F14" s="27">
        <v>1250680.0</v>
      </c>
      <c r="G14" s="29">
        <f t="shared" si="2"/>
        <v>29500</v>
      </c>
      <c r="H14" s="18" t="s">
        <v>11</v>
      </c>
      <c r="I14" s="69" t="s">
        <v>52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 t="s">
        <v>53</v>
      </c>
      <c r="B15" s="24">
        <v>85.0</v>
      </c>
      <c r="C15" s="25">
        <v>898718.0</v>
      </c>
      <c r="D15" s="15">
        <f t="shared" si="3"/>
        <v>898718</v>
      </c>
      <c r="E15" s="27">
        <v>85.0</v>
      </c>
      <c r="F15" s="28">
        <v>963718.0</v>
      </c>
      <c r="G15" s="29">
        <f t="shared" si="2"/>
        <v>65000</v>
      </c>
      <c r="H15" s="18" t="s">
        <v>13</v>
      </c>
      <c r="I15" s="69" t="s">
        <v>54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 t="s">
        <v>55</v>
      </c>
      <c r="B16" s="24">
        <v>98.0</v>
      </c>
      <c r="C16" s="24">
        <v>1232985.0</v>
      </c>
      <c r="D16" s="15">
        <f t="shared" si="3"/>
        <v>1232985</v>
      </c>
      <c r="E16" s="27">
        <v>98.0</v>
      </c>
      <c r="F16" s="27">
        <v>1232985.0</v>
      </c>
      <c r="G16" s="29">
        <f t="shared" si="2"/>
        <v>0</v>
      </c>
      <c r="H16" s="18" t="s">
        <v>11</v>
      </c>
      <c r="I16" s="4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 t="s">
        <v>56</v>
      </c>
      <c r="B17" s="24">
        <v>121.0</v>
      </c>
      <c r="C17" s="24">
        <v>1590890.0</v>
      </c>
      <c r="D17" s="15">
        <f t="shared" si="3"/>
        <v>1590890</v>
      </c>
      <c r="E17" s="27">
        <v>121.0</v>
      </c>
      <c r="F17" s="27">
        <v>1605890.0</v>
      </c>
      <c r="G17" s="29">
        <f t="shared" si="2"/>
        <v>15000</v>
      </c>
      <c r="H17" s="18" t="s">
        <v>11</v>
      </c>
      <c r="I17" s="72" t="s">
        <v>57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 t="s">
        <v>58</v>
      </c>
      <c r="B18" s="24">
        <v>132.0</v>
      </c>
      <c r="C18" s="25">
        <v>1686635.0</v>
      </c>
      <c r="D18" s="15">
        <f t="shared" si="3"/>
        <v>1686635</v>
      </c>
      <c r="E18" s="27">
        <v>132.0</v>
      </c>
      <c r="F18" s="28">
        <v>1686635.0</v>
      </c>
      <c r="G18" s="29">
        <f t="shared" si="2"/>
        <v>0</v>
      </c>
      <c r="H18" s="18" t="s">
        <v>13</v>
      </c>
      <c r="I18" s="1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6" t="s">
        <v>36</v>
      </c>
      <c r="B19" s="5"/>
      <c r="C19" s="6"/>
      <c r="D19" s="67">
        <f>SUM(D4:D18)</f>
        <v>17295982</v>
      </c>
      <c r="E19" s="19"/>
      <c r="F19" s="73">
        <f>SUM(F4:F18)</f>
        <v>17437232</v>
      </c>
      <c r="G19" s="17">
        <f t="shared" si="2"/>
        <v>141250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9:C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
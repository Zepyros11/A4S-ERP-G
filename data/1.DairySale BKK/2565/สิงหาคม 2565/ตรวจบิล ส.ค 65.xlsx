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" sheetId="1" r:id="rId4"/>
    <sheet state="visible" name="16-30" sheetId="2" r:id="rId5"/>
  </sheets>
  <definedNames/>
  <calcPr/>
</workbook>
</file>

<file path=xl/sharedStrings.xml><?xml version="1.0" encoding="utf-8"?>
<sst xmlns="http://schemas.openxmlformats.org/spreadsheetml/2006/main" count="95" uniqueCount="57">
  <si>
    <t>ตรวจบิล ส.ค  65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</si>
  <si>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</si>
  <si>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</si>
  <si>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</si>
  <si>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</si>
  <si>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</si>
  <si>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</si>
  <si>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</si>
  <si>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</si>
  <si>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คงเหลือ</t>
  </si>
  <si>
    <t>02.08.65</t>
  </si>
  <si>
    <t>นี</t>
  </si>
  <si>
    <t>ผลต่าง 300 เป็นบิล Dummy</t>
  </si>
  <si>
    <t>03.08.65</t>
  </si>
  <si>
    <t>04.08.65</t>
  </si>
  <si>
    <t>เอิง</t>
  </si>
  <si>
    <t>05.08.66</t>
  </si>
  <si>
    <t>06.08.66</t>
  </si>
  <si>
    <t>07.08.65</t>
  </si>
  <si>
    <t>ปูน</t>
  </si>
  <si>
    <t>ผลต่าง (42,000) เป็นบิลยกเลิกวันที่ 6/8/65 STHBKK012208000675</t>
  </si>
  <si>
    <t>08.08.65</t>
  </si>
  <si>
    <t>09.08.65</t>
  </si>
  <si>
    <t>ผลต่าง 29370 เป็นบิลยกเลิกวันที่ 8/8/65 STHBKK012208000826 // STHBKK012208000857//STHBKK012208000862</t>
  </si>
  <si>
    <t>10.08.65</t>
  </si>
  <si>
    <t>ผลต่าง 21750 เป็นบิลยกเลิกวันที่ 9/8/65 STHBKK012208000978</t>
  </si>
  <si>
    <t>11.08.65</t>
  </si>
  <si>
    <t xml:space="preserve">ผลต่าง 27000 เป็นบิลยกเลิกวันที่ 2/8/65 STHBKK012208000168  </t>
  </si>
  <si>
    <t>13.08.65</t>
  </si>
  <si>
    <t>14.08.65</t>
  </si>
  <si>
    <t>ผลต่าง 5150 เป็นบิลยกเลิกวันที่ 13/8/65  STHBKK012208001311</t>
  </si>
  <si>
    <t>15.08.65</t>
  </si>
  <si>
    <t>16.08.65</t>
  </si>
  <si>
    <t>ผลต่าง   8,125 เป็นบิลยกเลิกวันที่ 15/8/65 STHBKK012208001524</t>
  </si>
  <si>
    <t>รวม</t>
  </si>
  <si>
    <t>ตรวจบิล ก.ค  65</t>
  </si>
  <si>
    <t>17.08.65</t>
  </si>
  <si>
    <t>18.08.65</t>
  </si>
  <si>
    <t>ผลต่าง  24500 เป็นบิลยกเลิกวันที่ 17/8/65 STHBKK012208001693 // STHBKK012208001702// STHBKK012208001707</t>
  </si>
  <si>
    <t>19.08.65</t>
  </si>
  <si>
    <t>ผลต่าง  24500 เป็นบิลยกเลิกวันที่ 18/8/65 STHBKK012208001801</t>
  </si>
  <si>
    <t>20.08.65</t>
  </si>
  <si>
    <t>21.08.65</t>
  </si>
  <si>
    <t>22.08.65</t>
  </si>
  <si>
    <t>23.08.65</t>
  </si>
  <si>
    <t>24.08.65</t>
  </si>
  <si>
    <t>25.08.65</t>
  </si>
  <si>
    <t>เกษ</t>
  </si>
  <si>
    <t>26.08.65</t>
  </si>
  <si>
    <t>ผลต่าง  8400 เป็นบิลยกเลิกวันที่ 17/8/65 STHBKK012208001657 / เป็นบิลยกเลิกวันที่ 24/8/65 STHBKK012208002253</t>
  </si>
  <si>
    <t>27.08.65</t>
  </si>
  <si>
    <t>ผลต่าง  6250 เป็นบิลยกเลิกวันที่ 26/8/65 STHBKK012208002601</t>
  </si>
  <si>
    <t>28.08.65</t>
  </si>
  <si>
    <t>ผลต่าง  8060 เป็นบิลยกเลิกวันที่ 27/8/65 STHBKK012208002577</t>
  </si>
  <si>
    <t>29.08.65</t>
  </si>
  <si>
    <t>30.08.65</t>
  </si>
  <si>
    <t>31.08.65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</si>
</sst>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#,###_);\(#,###\)"/>
  </numFmts>
  <fonts count="9">
    <font>
      <sz val="10.0"/>
      <color rgb="FF000000"/>
      <name val="Arial"/>
      <scheme val="minor"/>
    </font>
    <font>
      <b/>
      <sz val="18.0"/>
      <color theme="1"/>
      <name val="Calibri"/>
    </font>
    <font/>
    <font>
      <color theme="1"/>
      <name val="Arial"/>
    </font>
    <font>
      <sz val="18.0"/>
      <color theme="1"/>
      <name val="Calibri"/>
    </font>
    <font>
      <sz val="18.0"/>
      <color rgb="FFFF0000"/>
      <name val="Calibri"/>
    </font>
    <font>
      <u/>
      <sz val="18.0"/>
      <color theme="1"/>
      <name val="Calibri"/>
    </font>
    <font>
      <u/>
      <sz val="18.0"/>
      <color theme="1"/>
      <name val="Calibri"/>
    </font>
    <font>
      <sz val="18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B6DDE8"/>
        <bgColor rgb="FFB6DDE8"/>
      </patternFill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4" fillId="4" fontId="1" numFmtId="0" xfId="0" applyAlignment="1" applyBorder="1" applyFill="1" applyFont="1">
      <alignment horizontal="center" vertical="bottom"/>
    </xf>
    <xf borderId="4" fillId="5" fontId="1" numFmtId="0" xfId="0" applyAlignment="1" applyBorder="1" applyFill="1" applyFont="1">
      <alignment horizontal="center" vertical="bottom"/>
    </xf>
    <xf borderId="5" fillId="0" fontId="2" numFmtId="0" xfId="0" applyBorder="1" applyFont="1"/>
    <xf borderId="6" fillId="2" fontId="1" numFmtId="0" xfId="0" applyAlignment="1" applyBorder="1" applyFont="1">
      <alignment horizontal="center" vertical="bottom"/>
    </xf>
    <xf borderId="6" fillId="3" fontId="1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6" fillId="2" fontId="4" numFmtId="38" xfId="0" applyAlignment="1" applyBorder="1" applyFont="1" applyNumberFormat="1">
      <alignment horizontal="right" readingOrder="0" vertical="bottom"/>
    </xf>
    <xf borderId="6" fillId="2" fontId="4" numFmtId="38" xfId="0" applyAlignment="1" applyBorder="1" applyFont="1" applyNumberFormat="1">
      <alignment horizontal="right" vertical="bottom"/>
    </xf>
    <xf borderId="6" fillId="3" fontId="4" numFmtId="38" xfId="0" applyAlignment="1" applyBorder="1" applyFont="1" applyNumberFormat="1">
      <alignment horizontal="right" readingOrder="0" vertical="bottom"/>
    </xf>
    <xf borderId="6" fillId="4" fontId="5" numFmtId="164" xfId="0" applyAlignment="1" applyBorder="1" applyFont="1" applyNumberFormat="1">
      <alignment horizontal="right" vertical="bottom"/>
    </xf>
    <xf borderId="6" fillId="4" fontId="4" numFmtId="0" xfId="0" applyAlignment="1" applyBorder="1" applyFont="1">
      <alignment readingOrder="0" vertical="bottom"/>
    </xf>
    <xf borderId="6" fillId="2" fontId="4" numFmtId="164" xfId="0" applyAlignment="1" applyBorder="1" applyFont="1" applyNumberFormat="1">
      <alignment horizontal="right" readingOrder="0" vertical="bottom"/>
    </xf>
    <xf borderId="6" fillId="4" fontId="4" numFmtId="0" xfId="0" applyAlignment="1" applyBorder="1" applyFont="1">
      <alignment vertical="bottom"/>
    </xf>
    <xf borderId="6" fillId="3" fontId="4" numFmtId="165" xfId="0" applyAlignment="1" applyBorder="1" applyFont="1" applyNumberFormat="1">
      <alignment horizontal="center" readingOrder="0" vertical="bottom"/>
    </xf>
    <xf borderId="6" fillId="2" fontId="4" numFmtId="38" xfId="0" applyAlignment="1" applyBorder="1" applyFont="1" applyNumberFormat="1">
      <alignment readingOrder="0" vertical="bottom"/>
    </xf>
    <xf borderId="6" fillId="3" fontId="4" numFmtId="38" xfId="0" applyAlignment="1" applyBorder="1" applyFont="1" applyNumberFormat="1">
      <alignment readingOrder="0" vertical="bottom"/>
    </xf>
    <xf borderId="6" fillId="3" fontId="4" numFmtId="38" xfId="0" applyAlignment="1" applyBorder="1" applyFont="1" applyNumberFormat="1">
      <alignment horizontal="right" vertical="bottom"/>
    </xf>
    <xf borderId="6" fillId="4" fontId="4" numFmtId="0" xfId="0" applyAlignment="1" applyBorder="1" applyFont="1">
      <alignment horizontal="center" readingOrder="0" vertical="bottom"/>
    </xf>
    <xf borderId="6" fillId="2" fontId="4" numFmtId="38" xfId="0" applyAlignment="1" applyBorder="1" applyFont="1" applyNumberFormat="1">
      <alignment vertical="bottom"/>
    </xf>
    <xf borderId="6" fillId="3" fontId="4" numFmtId="38" xfId="0" applyAlignment="1" applyBorder="1" applyFont="1" applyNumberFormat="1">
      <alignment vertical="bottom"/>
    </xf>
    <xf borderId="6" fillId="2" fontId="4" numFmtId="164" xfId="0" applyAlignment="1" applyBorder="1" applyFont="1" applyNumberFormat="1">
      <alignment vertical="bottom"/>
    </xf>
    <xf borderId="1" fillId="0" fontId="6" numFmtId="0" xfId="0" applyAlignment="1" applyBorder="1" applyFont="1">
      <alignment horizontal="center" vertical="bottom"/>
    </xf>
    <xf borderId="6" fillId="0" fontId="7" numFmtId="38" xfId="0" applyAlignment="1" applyBorder="1" applyFont="1" applyNumberFormat="1">
      <alignment horizontal="center" vertical="bottom"/>
    </xf>
    <xf borderId="6" fillId="0" fontId="8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0" fillId="0" fontId="8" numFmtId="0" xfId="0" applyAlignment="1" applyFont="1">
      <alignment vertical="bottom"/>
    </xf>
    <xf borderId="6" fillId="4" fontId="4" numFmtId="38" xfId="0" applyAlignment="1" applyBorder="1" applyFont="1" applyNumberFormat="1">
      <alignment horizontal="right" readingOrder="0" vertical="bottom"/>
    </xf>
    <xf borderId="6" fillId="4" fontId="4" numFmtId="38" xfId="0" applyAlignment="1" applyBorder="1" applyFont="1" applyNumberFormat="1">
      <alignment horizontal="right" vertical="bottom"/>
    </xf>
    <xf borderId="6" fillId="4" fontId="4" numFmtId="38" xfId="0" applyAlignment="1" applyBorder="1" applyFont="1" applyNumberFormat="1">
      <alignment horizontal="center" vertical="bottom"/>
    </xf>
    <xf borderId="6" fillId="4" fontId="4" numFmtId="164" xfId="0" applyAlignment="1" applyBorder="1" applyFont="1" applyNumberFormat="1">
      <alignment horizontal="right" vertical="bottom"/>
    </xf>
    <xf borderId="6" fillId="4" fontId="4" numFmtId="38" xfId="0" applyAlignment="1" applyBorder="1" applyFont="1" applyNumberFormat="1">
      <alignment readingOrder="0" vertical="bottom"/>
    </xf>
    <xf borderId="6" fillId="4" fontId="4" numFmtId="164" xfId="0" applyAlignment="1" applyBorder="1" applyFont="1" applyNumberFormat="1">
      <alignment horizontal="right" readingOrder="0" vertical="bottom"/>
    </xf>
    <xf borderId="6" fillId="4" fontId="4" numFmtId="38" xfId="0" applyAlignment="1" applyBorder="1" applyFont="1" applyNumberFormat="1">
      <alignment horizontal="center" readingOrder="0" vertical="bottom"/>
    </xf>
    <xf borderId="6" fillId="6" fontId="4" numFmtId="165" xfId="0" applyAlignment="1" applyBorder="1" applyFill="1" applyFont="1" applyNumberFormat="1">
      <alignment horizontal="center" vertical="bottom"/>
    </xf>
    <xf borderId="6" fillId="4" fontId="4" numFmtId="164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8.13"/>
    <col customWidth="1" min="4" max="4" width="20.13"/>
    <col customWidth="1" min="6" max="6" width="14.88"/>
    <col customWidth="1" min="8" max="8" width="15.88"/>
    <col customWidth="1" min="9" max="9" width="144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10"/>
      <c r="H3" s="10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 t="s">
        <v>10</v>
      </c>
      <c r="B4" s="14">
        <v>199.0</v>
      </c>
      <c r="C4" s="14">
        <v>1674890.0</v>
      </c>
      <c r="D4" s="15">
        <f t="shared" ref="D4:D17" si="1">SUM(C4)</f>
        <v>1674890</v>
      </c>
      <c r="E4" s="16">
        <v>199.0</v>
      </c>
      <c r="F4" s="16">
        <v>1675190.0</v>
      </c>
      <c r="G4" s="17">
        <f t="shared" ref="G4:G17" si="2">SUM(F4-C4)</f>
        <v>300</v>
      </c>
      <c r="H4" s="18" t="s">
        <v>11</v>
      </c>
      <c r="I4" s="18" t="s">
        <v>12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 t="s">
        <v>13</v>
      </c>
      <c r="B5" s="14">
        <v>117.0</v>
      </c>
      <c r="C5" s="19">
        <v>901168.0</v>
      </c>
      <c r="D5" s="15">
        <f t="shared" si="1"/>
        <v>901168</v>
      </c>
      <c r="E5" s="16">
        <v>117.0</v>
      </c>
      <c r="F5" s="16">
        <v>901168.0</v>
      </c>
      <c r="G5" s="17">
        <f t="shared" si="2"/>
        <v>0</v>
      </c>
      <c r="H5" s="18" t="s">
        <v>11</v>
      </c>
      <c r="I5" s="1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14</v>
      </c>
      <c r="B6" s="14">
        <v>149.0</v>
      </c>
      <c r="C6" s="14">
        <v>1219975.0</v>
      </c>
      <c r="D6" s="15">
        <f t="shared" si="1"/>
        <v>1219975</v>
      </c>
      <c r="E6" s="16">
        <v>149.0</v>
      </c>
      <c r="F6" s="16">
        <v>1219975.0</v>
      </c>
      <c r="G6" s="17">
        <f t="shared" si="2"/>
        <v>0</v>
      </c>
      <c r="H6" s="18" t="s">
        <v>15</v>
      </c>
      <c r="I6" s="2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 t="s">
        <v>16</v>
      </c>
      <c r="B7" s="14">
        <v>109.0</v>
      </c>
      <c r="C7" s="14">
        <v>1229530.0</v>
      </c>
      <c r="D7" s="15">
        <f t="shared" si="1"/>
        <v>1229530</v>
      </c>
      <c r="E7" s="16">
        <v>109.0</v>
      </c>
      <c r="F7" s="21">
        <v>1229530.0</v>
      </c>
      <c r="G7" s="17">
        <f t="shared" si="2"/>
        <v>0</v>
      </c>
      <c r="H7" s="18" t="s">
        <v>11</v>
      </c>
      <c r="I7" s="1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17</v>
      </c>
      <c r="B8" s="22">
        <v>81.0</v>
      </c>
      <c r="C8" s="22">
        <v>892968.0</v>
      </c>
      <c r="D8" s="15">
        <f t="shared" si="1"/>
        <v>892968</v>
      </c>
      <c r="E8" s="23">
        <v>81.0</v>
      </c>
      <c r="F8" s="23">
        <v>892968.0</v>
      </c>
      <c r="G8" s="17">
        <f t="shared" si="2"/>
        <v>0</v>
      </c>
      <c r="H8" s="18" t="s">
        <v>15</v>
      </c>
      <c r="I8" s="1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 t="s">
        <v>18</v>
      </c>
      <c r="B9" s="14">
        <v>88.0</v>
      </c>
      <c r="C9" s="14">
        <v>757420.0</v>
      </c>
      <c r="D9" s="15">
        <f t="shared" si="1"/>
        <v>757420</v>
      </c>
      <c r="E9" s="16">
        <v>88.0</v>
      </c>
      <c r="F9" s="16">
        <v>799420.0</v>
      </c>
      <c r="G9" s="17">
        <f t="shared" si="2"/>
        <v>42000</v>
      </c>
      <c r="H9" s="18" t="s">
        <v>19</v>
      </c>
      <c r="I9" s="18" t="s">
        <v>20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 t="s">
        <v>21</v>
      </c>
      <c r="B10" s="14">
        <v>128.0</v>
      </c>
      <c r="C10" s="15">
        <v>1137275.0</v>
      </c>
      <c r="D10" s="15">
        <f t="shared" si="1"/>
        <v>1137275</v>
      </c>
      <c r="E10" s="16">
        <v>128.0</v>
      </c>
      <c r="F10" s="24">
        <v>1137275.0</v>
      </c>
      <c r="G10" s="17">
        <f t="shared" si="2"/>
        <v>0</v>
      </c>
      <c r="H10" s="18" t="s">
        <v>19</v>
      </c>
      <c r="I10" s="1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 t="s">
        <v>22</v>
      </c>
      <c r="B11" s="14">
        <v>106.0</v>
      </c>
      <c r="C11" s="15">
        <v>861010.0</v>
      </c>
      <c r="D11" s="15">
        <f t="shared" si="1"/>
        <v>861010</v>
      </c>
      <c r="E11" s="16">
        <v>106.0</v>
      </c>
      <c r="F11" s="24">
        <v>890380.0</v>
      </c>
      <c r="G11" s="17">
        <f t="shared" si="2"/>
        <v>29370</v>
      </c>
      <c r="H11" s="18" t="s">
        <v>19</v>
      </c>
      <c r="I11" s="18" t="s">
        <v>23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 t="s">
        <v>24</v>
      </c>
      <c r="B12" s="14">
        <v>82.0</v>
      </c>
      <c r="C12" s="15">
        <v>735025.0</v>
      </c>
      <c r="D12" s="15">
        <f t="shared" si="1"/>
        <v>735025</v>
      </c>
      <c r="E12" s="16">
        <v>82.0</v>
      </c>
      <c r="F12" s="24">
        <v>756775.0</v>
      </c>
      <c r="G12" s="17">
        <f t="shared" si="2"/>
        <v>21750</v>
      </c>
      <c r="H12" s="18" t="s">
        <v>19</v>
      </c>
      <c r="I12" s="18" t="s">
        <v>25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 t="s">
        <v>26</v>
      </c>
      <c r="B13" s="14">
        <v>65.0</v>
      </c>
      <c r="C13" s="15">
        <v>716225.0</v>
      </c>
      <c r="D13" s="15">
        <f t="shared" si="1"/>
        <v>716225</v>
      </c>
      <c r="E13" s="16">
        <v>65.0</v>
      </c>
      <c r="F13" s="24">
        <v>743225.0</v>
      </c>
      <c r="G13" s="17">
        <f t="shared" si="2"/>
        <v>27000</v>
      </c>
      <c r="H13" s="18" t="s">
        <v>19</v>
      </c>
      <c r="I13" s="18" t="s">
        <v>27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5" t="s">
        <v>28</v>
      </c>
      <c r="B14" s="14">
        <v>68.0</v>
      </c>
      <c r="C14" s="14">
        <v>735565.0</v>
      </c>
      <c r="D14" s="15">
        <f t="shared" si="1"/>
        <v>735565</v>
      </c>
      <c r="E14" s="16">
        <v>68.0</v>
      </c>
      <c r="F14" s="16">
        <v>735565.0</v>
      </c>
      <c r="G14" s="17">
        <f t="shared" si="2"/>
        <v>0</v>
      </c>
      <c r="H14" s="18" t="s">
        <v>11</v>
      </c>
      <c r="I14" s="1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5" t="s">
        <v>29</v>
      </c>
      <c r="B15" s="22">
        <v>60.0</v>
      </c>
      <c r="C15" s="26">
        <v>703720.0</v>
      </c>
      <c r="D15" s="15">
        <f t="shared" si="1"/>
        <v>703720</v>
      </c>
      <c r="E15" s="23">
        <v>60.0</v>
      </c>
      <c r="F15" s="27">
        <v>708870.0</v>
      </c>
      <c r="G15" s="17">
        <f t="shared" si="2"/>
        <v>5150</v>
      </c>
      <c r="H15" s="18"/>
      <c r="I15" s="18" t="s">
        <v>30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25" t="s">
        <v>31</v>
      </c>
      <c r="B16" s="22">
        <v>97.0</v>
      </c>
      <c r="C16" s="26">
        <v>1072105.0</v>
      </c>
      <c r="D16" s="15">
        <f t="shared" si="1"/>
        <v>1072105</v>
      </c>
      <c r="E16" s="23">
        <v>97.0</v>
      </c>
      <c r="F16" s="24">
        <v>1072105.0</v>
      </c>
      <c r="G16" s="17">
        <f t="shared" si="2"/>
        <v>0</v>
      </c>
      <c r="H16" s="18" t="s">
        <v>19</v>
      </c>
      <c r="I16" s="20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0" customHeight="1">
      <c r="A17" s="25" t="s">
        <v>32</v>
      </c>
      <c r="B17" s="22">
        <v>76.0</v>
      </c>
      <c r="C17" s="28">
        <v>719950.0</v>
      </c>
      <c r="D17" s="15">
        <f t="shared" si="1"/>
        <v>719950</v>
      </c>
      <c r="E17" s="23">
        <v>76.0</v>
      </c>
      <c r="F17" s="27">
        <v>728075.0</v>
      </c>
      <c r="G17" s="17">
        <f t="shared" si="2"/>
        <v>8125</v>
      </c>
      <c r="H17" s="18" t="s">
        <v>19</v>
      </c>
      <c r="I17" s="18" t="s">
        <v>33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9" t="s">
        <v>34</v>
      </c>
      <c r="B18" s="2"/>
      <c r="C18" s="3"/>
      <c r="D18" s="30">
        <f>SUM(D4:D17)</f>
        <v>13356826</v>
      </c>
      <c r="E18" s="31"/>
      <c r="F18" s="30">
        <f t="shared" ref="F18:G18" si="3">SUM(F4:F17)</f>
        <v>13490521</v>
      </c>
      <c r="G18" s="32">
        <f t="shared" si="3"/>
        <v>133695</v>
      </c>
      <c r="H18" s="33"/>
      <c r="I18" s="3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8">
    <mergeCell ref="A1:I1"/>
    <mergeCell ref="A2:A3"/>
    <mergeCell ref="B2:D2"/>
    <mergeCell ref="E2:F2"/>
    <mergeCell ref="G2:G3"/>
    <mergeCell ref="H2:H3"/>
    <mergeCell ref="I2:I3"/>
    <mergeCell ref="A18:C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88"/>
    <col customWidth="1" min="3" max="3" width="18.13"/>
    <col customWidth="1" min="4" max="4" width="20.13"/>
    <col customWidth="1" min="6" max="6" width="14.88"/>
    <col customWidth="1" min="7" max="7" width="13.38"/>
    <col customWidth="1" min="8" max="8" width="15.75"/>
    <col customWidth="1" min="9" max="9" width="146.5"/>
    <col customWidth="1" min="10" max="10" width="188.25"/>
  </cols>
  <sheetData>
    <row r="1">
      <c r="A1" s="1" t="s">
        <v>35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10"/>
      <c r="H3" s="10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5" t="s">
        <v>36</v>
      </c>
      <c r="B4" s="34">
        <v>88.0</v>
      </c>
      <c r="C4" s="35">
        <v>827985.0</v>
      </c>
      <c r="D4" s="35">
        <v>827985.0</v>
      </c>
      <c r="E4" s="34">
        <v>88.0</v>
      </c>
      <c r="F4" s="36">
        <v>827985.0</v>
      </c>
      <c r="G4" s="17">
        <f t="shared" ref="G4:G20" si="1">SUM(F4-D4)</f>
        <v>0</v>
      </c>
      <c r="H4" s="18" t="s">
        <v>11</v>
      </c>
      <c r="I4" s="1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5" t="s">
        <v>37</v>
      </c>
      <c r="B5" s="34">
        <v>77.0</v>
      </c>
      <c r="C5" s="35">
        <v>768015.0</v>
      </c>
      <c r="D5" s="37">
        <v>768015.0</v>
      </c>
      <c r="E5" s="34">
        <v>77.0</v>
      </c>
      <c r="F5" s="36">
        <v>792515.0</v>
      </c>
      <c r="G5" s="17">
        <f t="shared" si="1"/>
        <v>24500</v>
      </c>
      <c r="H5" s="18" t="s">
        <v>19</v>
      </c>
      <c r="I5" s="18" t="s">
        <v>38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5" t="s">
        <v>39</v>
      </c>
      <c r="B6" s="34">
        <v>71.0</v>
      </c>
      <c r="C6" s="37">
        <v>728250.0</v>
      </c>
      <c r="D6" s="37">
        <v>728250.0</v>
      </c>
      <c r="E6" s="34">
        <v>71.0</v>
      </c>
      <c r="F6" s="36">
        <v>737750.0</v>
      </c>
      <c r="G6" s="17">
        <f t="shared" si="1"/>
        <v>9500</v>
      </c>
      <c r="H6" s="18" t="s">
        <v>19</v>
      </c>
      <c r="I6" s="18" t="s">
        <v>40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5" t="s">
        <v>41</v>
      </c>
      <c r="B7" s="38">
        <v>56.0</v>
      </c>
      <c r="C7" s="38">
        <v>754550.0</v>
      </c>
      <c r="D7" s="39">
        <f>SUM(C7)</f>
        <v>754550</v>
      </c>
      <c r="E7" s="38">
        <v>56.0</v>
      </c>
      <c r="F7" s="40">
        <v>754550.0</v>
      </c>
      <c r="G7" s="17">
        <f t="shared" si="1"/>
        <v>0</v>
      </c>
      <c r="H7" s="18" t="s">
        <v>11</v>
      </c>
      <c r="I7" s="1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 t="s">
        <v>42</v>
      </c>
      <c r="B8" s="34">
        <v>43.0</v>
      </c>
      <c r="C8" s="35">
        <v>439100.0</v>
      </c>
      <c r="D8" s="37">
        <v>439100.0</v>
      </c>
      <c r="E8" s="34">
        <v>43.0</v>
      </c>
      <c r="F8" s="36">
        <v>439100.0</v>
      </c>
      <c r="G8" s="17">
        <f t="shared" si="1"/>
        <v>0</v>
      </c>
      <c r="H8" s="18" t="s">
        <v>19</v>
      </c>
      <c r="I8" s="1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5" t="s">
        <v>43</v>
      </c>
      <c r="B9" s="34">
        <v>67.0</v>
      </c>
      <c r="C9" s="35">
        <v>699370.0</v>
      </c>
      <c r="D9" s="37">
        <v>699370.0</v>
      </c>
      <c r="E9" s="34">
        <v>67.0</v>
      </c>
      <c r="F9" s="36">
        <v>699370.0</v>
      </c>
      <c r="G9" s="17">
        <f t="shared" si="1"/>
        <v>0</v>
      </c>
      <c r="H9" s="18" t="s">
        <v>19</v>
      </c>
      <c r="I9" s="1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5" t="s">
        <v>44</v>
      </c>
      <c r="B10" s="34">
        <v>82.0</v>
      </c>
      <c r="C10" s="35">
        <v>699025.0</v>
      </c>
      <c r="D10" s="37">
        <v>699025.0</v>
      </c>
      <c r="E10" s="34">
        <v>82.0</v>
      </c>
      <c r="F10" s="36">
        <v>699025.0</v>
      </c>
      <c r="G10" s="17">
        <f t="shared" si="1"/>
        <v>0</v>
      </c>
      <c r="H10" s="18" t="s">
        <v>19</v>
      </c>
      <c r="I10" s="1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5" t="s">
        <v>45</v>
      </c>
      <c r="B11" s="34">
        <v>89.0</v>
      </c>
      <c r="C11" s="35">
        <v>961455.0</v>
      </c>
      <c r="D11" s="37">
        <v>961455.0</v>
      </c>
      <c r="E11" s="34">
        <v>89.0</v>
      </c>
      <c r="F11" s="36">
        <v>961455.0</v>
      </c>
      <c r="G11" s="17">
        <f t="shared" si="1"/>
        <v>0</v>
      </c>
      <c r="H11" s="18" t="s">
        <v>19</v>
      </c>
      <c r="I11" s="18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5" t="s">
        <v>46</v>
      </c>
      <c r="B12" s="34">
        <v>83.0</v>
      </c>
      <c r="C12" s="35">
        <v>954290.0</v>
      </c>
      <c r="D12" s="37">
        <v>954290.0</v>
      </c>
      <c r="E12" s="34">
        <v>83.0</v>
      </c>
      <c r="F12" s="36">
        <v>954290.0</v>
      </c>
      <c r="G12" s="17">
        <f t="shared" si="1"/>
        <v>0</v>
      </c>
      <c r="H12" s="18" t="s">
        <v>47</v>
      </c>
      <c r="I12" s="18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5" t="s">
        <v>48</v>
      </c>
      <c r="B13" s="34">
        <v>67.0</v>
      </c>
      <c r="C13" s="35">
        <v>746665.0</v>
      </c>
      <c r="D13" s="35">
        <v>746665.0</v>
      </c>
      <c r="E13" s="34">
        <v>67.0</v>
      </c>
      <c r="F13" s="36">
        <v>755065.0</v>
      </c>
      <c r="G13" s="17">
        <f t="shared" si="1"/>
        <v>8400</v>
      </c>
      <c r="H13" s="18" t="s">
        <v>19</v>
      </c>
      <c r="I13" s="18" t="s">
        <v>49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5" t="s">
        <v>50</v>
      </c>
      <c r="B14" s="38">
        <v>72.0</v>
      </c>
      <c r="C14" s="38">
        <v>712255.0</v>
      </c>
      <c r="D14" s="39">
        <v>712255.0</v>
      </c>
      <c r="E14" s="38">
        <v>72.0</v>
      </c>
      <c r="F14" s="40">
        <v>718505.0</v>
      </c>
      <c r="G14" s="17">
        <f t="shared" si="1"/>
        <v>6250</v>
      </c>
      <c r="H14" s="18" t="s">
        <v>11</v>
      </c>
      <c r="I14" s="18" t="s">
        <v>51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25" t="s">
        <v>52</v>
      </c>
      <c r="B15" s="38">
        <v>44.0</v>
      </c>
      <c r="C15" s="38">
        <v>467340.0</v>
      </c>
      <c r="D15" s="38">
        <v>467340.0</v>
      </c>
      <c r="E15" s="38">
        <v>44.0</v>
      </c>
      <c r="F15" s="41">
        <v>475400.0</v>
      </c>
      <c r="G15" s="17">
        <f t="shared" si="1"/>
        <v>8060</v>
      </c>
      <c r="H15" s="18" t="s">
        <v>19</v>
      </c>
      <c r="I15" s="18" t="s">
        <v>53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0" customHeight="1">
      <c r="A16" s="25" t="s">
        <v>54</v>
      </c>
      <c r="B16" s="38">
        <v>77.0</v>
      </c>
      <c r="C16" s="42">
        <v>811210.0</v>
      </c>
      <c r="D16" s="39">
        <v>811210.0</v>
      </c>
      <c r="E16" s="38">
        <v>77.0</v>
      </c>
      <c r="F16" s="38">
        <v>811210.0</v>
      </c>
      <c r="G16" s="17">
        <f t="shared" si="1"/>
        <v>0</v>
      </c>
      <c r="H16" s="18" t="s">
        <v>19</v>
      </c>
      <c r="I16" s="1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0" customHeight="1">
      <c r="A17" s="25" t="s">
        <v>55</v>
      </c>
      <c r="B17" s="38">
        <v>87.0</v>
      </c>
      <c r="C17" s="42">
        <v>813340.0</v>
      </c>
      <c r="D17" s="42">
        <v>813340.0</v>
      </c>
      <c r="E17" s="38">
        <v>87.0</v>
      </c>
      <c r="F17" s="38">
        <v>813340.0</v>
      </c>
      <c r="G17" s="17">
        <f t="shared" si="1"/>
        <v>0</v>
      </c>
      <c r="H17" s="18" t="s">
        <v>19</v>
      </c>
      <c r="I17" s="1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0" customHeight="1">
      <c r="A18" s="25" t="s">
        <v>56</v>
      </c>
      <c r="B18" s="38">
        <v>31.0</v>
      </c>
      <c r="C18" s="42">
        <v>1063885.0</v>
      </c>
      <c r="D18" s="42">
        <v>1063885.0</v>
      </c>
      <c r="E18" s="38">
        <v>31.0</v>
      </c>
      <c r="F18" s="38">
        <v>1063885.0</v>
      </c>
      <c r="G18" s="17">
        <f t="shared" si="1"/>
        <v>0</v>
      </c>
      <c r="H18" s="18" t="s">
        <v>19</v>
      </c>
      <c r="I18" s="1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7.0" customHeight="1">
      <c r="A19" s="25"/>
      <c r="B19" s="38"/>
      <c r="C19" s="42"/>
      <c r="D19" s="42"/>
      <c r="E19" s="38"/>
      <c r="F19" s="38"/>
      <c r="G19" s="17">
        <f t="shared" si="1"/>
        <v>0</v>
      </c>
      <c r="H19" s="18"/>
      <c r="I19" s="1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9" t="s">
        <v>34</v>
      </c>
      <c r="B20" s="2"/>
      <c r="C20" s="3"/>
      <c r="D20" s="30">
        <f>SUM(D4:D17)</f>
        <v>10382850</v>
      </c>
      <c r="E20" s="31"/>
      <c r="F20" s="30">
        <f>SUM(F4:F17)</f>
        <v>10439560</v>
      </c>
      <c r="G20" s="17">
        <f t="shared" si="1"/>
        <v>56710</v>
      </c>
      <c r="H20" s="33"/>
      <c r="I20" s="3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mergeCells count="8">
    <mergeCell ref="A1:I1"/>
    <mergeCell ref="A2:A3"/>
    <mergeCell ref="B2:D2"/>
    <mergeCell ref="E2:F2"/>
    <mergeCell ref="G2:G3"/>
    <mergeCell ref="H2:H3"/>
    <mergeCell ref="I2:I3"/>
    <mergeCell ref="A20:C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
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8.65" sheetId="1" r:id="rId4"/>
    <sheet state="visible" name="04.08.65" sheetId="2" r:id="rId5"/>
    <sheet state="visible" name="05.08.65" sheetId="3" r:id="rId6"/>
    <sheet state="visible" name="07.08.65" sheetId="4" r:id="rId7"/>
    <sheet state="visible" name="08.08.65" sheetId="5" r:id="rId8"/>
    <sheet state="visible" name="09.08.65" sheetId="6" r:id="rId9"/>
    <sheet state="visible" name="10.08.65" sheetId="7" r:id="rId10"/>
    <sheet state="visible" name="11.08.65" sheetId="8" r:id="rId11"/>
    <sheet state="visible" name="14.08.65" sheetId="9" r:id="rId12"/>
    <sheet state="visible" name="18.08.65" sheetId="10" r:id="rId13"/>
    <sheet state="visible" name="23.08.65" sheetId="11" r:id="rId14"/>
    <sheet state="visible" name="24.08.65" sheetId="12" r:id="rId15"/>
    <sheet state="visible" name="25.08.65" sheetId="13" r:id="rId16"/>
    <sheet state="visible" name="27.08.65" sheetId="14" r:id="rId17"/>
    <sheet state="visible" name="28.08.65" sheetId="15" r:id="rId18"/>
    <sheet state="visible" name="29.08.65" sheetId="16" r:id="rId19"/>
    <sheet state="visible" name="31.08.65" sheetId="17" r:id="rId20"/>
  </sheets>
  <definedNames/>
  <calcPr/>
</workbook>
</file>

<file path=xl/sharedStrings.xml><?xml version="1.0" encoding="utf-8"?>
<sst xmlns="http://schemas.openxmlformats.org/spreadsheetml/2006/main" count="407" uniqueCount="114">
  <si>
    <t xml:space="preserve">  E-WALLET 03 Aug 2565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</si>
  <si>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</si>
  <si>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</si>
  <si>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</si>
  <si>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</si>
  <si>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</si>
  <si>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</si>
  <si>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</si>
  <si>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</si>
  <si>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</si>
  <si>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</si>
  <si>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</si>
  <si>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</si>
  <si>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</si>
  <si>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</si>
  <si>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</si>
  <si>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</si>
  <si>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</si>
  <si>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ETHBKK012208000008</t>
  </si>
  <si>
    <t>นาง ทิพยาภรณ์ ฆ้องวงษ์</t>
  </si>
  <si>
    <t>ETHBKK012208000009</t>
  </si>
  <si>
    <t>นาย สุรวัฒน์ ตั้งพงศ์ศิรประภา</t>
  </si>
  <si>
    <t xml:space="preserve">  E-WALLET 04 Aug 2565                                                                                                        </t>
  </si>
  <si>
    <t>ETHONLIN2208000006</t>
  </si>
  <si>
    <t>นาย ธนบูลย์ แสงฐิตาพันธุ์</t>
  </si>
  <si>
    <t>ETHONLIN2208000007</t>
  </si>
  <si>
    <t>นาง อรทัย เเสนสินธุ์</t>
  </si>
  <si>
    <t>ETHONLIN2208000008</t>
  </si>
  <si>
    <t>ETHONLIN2208000009</t>
  </si>
  <si>
    <t>ETHBKK012208000013</t>
  </si>
  <si>
    <t>ลำใย เจริญศิริ</t>
  </si>
  <si>
    <t>ETHBKK012208000014</t>
  </si>
  <si>
    <t>บริษัท เศรษฐกวี จำกัด ( สำนักงานใหญ่ )</t>
  </si>
  <si>
    <t xml:space="preserve">  E-WALLET 05 Aug 2565                                                                                                        </t>
  </si>
  <si>
    <t>ETHONLIN2208000010</t>
  </si>
  <si>
    <t>ETHONLIN2208000011</t>
  </si>
  <si>
    <t>นาย จักรพงศ์ สินธุรักษ์</t>
  </si>
  <si>
    <t>ETHONLIN2208000012</t>
  </si>
  <si>
    <t>ETHONLIN2208000013</t>
  </si>
  <si>
    <t>ETHONLIN2208000014</t>
  </si>
  <si>
    <t>ETHONLIN2208000015</t>
  </si>
  <si>
    <t>ETHONLIN2208000016</t>
  </si>
  <si>
    <t>ETHONLIN2208000017</t>
  </si>
  <si>
    <t xml:space="preserve">  E-WALLET 07 Aug 2565                                                                                                        </t>
  </si>
  <si>
    <t>ETHBKK012208000015</t>
  </si>
  <si>
    <t>นาย เสฎฐวุฒิ พนาอภิชน</t>
  </si>
  <si>
    <t>ETHONLIN2208000018</t>
  </si>
  <si>
    <t>นางสาว รัชตวรรณ เนาวสินธ์</t>
  </si>
  <si>
    <t>ETHONLIN2208000019</t>
  </si>
  <si>
    <t>ETHBKK012208000016</t>
  </si>
  <si>
    <t>นาย พัฒน์รดิศ สุพัฒน์วณิชกร</t>
  </si>
  <si>
    <t xml:space="preserve">  E-WALLET 08Aug 2565                                                                                                        </t>
  </si>
  <si>
    <t>ETHBKK012208000017</t>
  </si>
  <si>
    <t>นางสาว สุภาพร เคล้าเครือ</t>
  </si>
  <si>
    <t>คืน c4</t>
  </si>
  <si>
    <t>ETHBKK012208000018</t>
  </si>
  <si>
    <t>นางสาว ณิชชนันท์ หาญเพียรพงศ์</t>
  </si>
  <si>
    <t>ETHBKK012208000019</t>
  </si>
  <si>
    <t>นางสาว สุชานันท์ สะตะ</t>
  </si>
  <si>
    <t xml:space="preserve">  E-WALLET 09 Aug 2565                                                                                                        </t>
  </si>
  <si>
    <t>ETHBKK012208000020</t>
  </si>
  <si>
    <t>นาย วิฑูรย์ อุรุวรรณ</t>
  </si>
  <si>
    <t>ETHBKK012208000021</t>
  </si>
  <si>
    <t>นางสาว สุกัญญา พุ่มพวง</t>
  </si>
  <si>
    <t>ETHBKK012208000022</t>
  </si>
  <si>
    <t>นางสาว ศรีวิลัย บุญภา</t>
  </si>
  <si>
    <t>ETHBKK012208000023</t>
  </si>
  <si>
    <t>นางสาว อรทัย​ สิงห์เชื้อ</t>
  </si>
  <si>
    <t>ETHBKK012208000024</t>
  </si>
  <si>
    <t>นาง ฐิติรัตน์ สายหม่อน</t>
  </si>
  <si>
    <t>ETHONLIN2208000021</t>
  </si>
  <si>
    <t xml:space="preserve">  E-WALLET 10 Aug 2565                                                                                                        </t>
  </si>
  <si>
    <t>ETHONLIN2208000023</t>
  </si>
  <si>
    <t>ETHBKK012208000025</t>
  </si>
  <si>
    <t>นางสาว วัชรี ด้วงนคร</t>
  </si>
  <si>
    <t>ETHONLIN2208000026</t>
  </si>
  <si>
    <t xml:space="preserve">  E-WALLET 11 Aug 2565                                                                                                        </t>
  </si>
  <si>
    <t>ETHBKK012208000026</t>
  </si>
  <si>
    <t>นาย นพพร โสวรรณะ</t>
  </si>
  <si>
    <t xml:space="preserve">  E-WALLET 14 Aug 2565                                                                                                        </t>
  </si>
  <si>
    <t>ETHONLIN2208000027</t>
  </si>
  <si>
    <t>ETHONLIN2208000028</t>
  </si>
  <si>
    <t>ETHONLIN2208000030</t>
  </si>
  <si>
    <t>ETHBKK012208000027</t>
  </si>
  <si>
    <t>นาย ศราวุฒน์ สินธุวรโรจน์</t>
  </si>
  <si>
    <t xml:space="preserve">  E-WALLET 18 Aug 2565                                                                                                        </t>
  </si>
  <si>
    <t>ETHBKK012208000029</t>
  </si>
  <si>
    <t>นางสาว จุฑามาศ ด้วงฟู</t>
  </si>
  <si>
    <t xml:space="preserve">  E-WALLET 23 Aug 2565                                                                                                        </t>
  </si>
  <si>
    <t>ETHBKK012208000030</t>
  </si>
  <si>
    <t xml:space="preserve">  E-WALLET 24 Aug 2565                                                                                                        </t>
  </si>
  <si>
    <t>ETHBKK012208000031</t>
  </si>
  <si>
    <t>นาย ประจบ วรพต</t>
  </si>
  <si>
    <t xml:space="preserve">  E-WALLET 26 Aug 2565                                                                                                        </t>
  </si>
  <si>
    <t>ETHBKK012208000035</t>
  </si>
  <si>
    <t>นางสาว VISATHAPHONE PHOMMALAST</t>
  </si>
  <si>
    <t>ค่าคอมมิชชั่น</t>
  </si>
  <si>
    <t>ETHBKK012208000036</t>
  </si>
  <si>
    <t>นาย สมชาย โสภา</t>
  </si>
  <si>
    <t>c4</t>
  </si>
  <si>
    <t>ETHONLIN2208000034</t>
  </si>
  <si>
    <t>นางสาว อังกาบ มธุรส</t>
  </si>
  <si>
    <t>ETHONLIN2208000035</t>
  </si>
  <si>
    <t xml:space="preserve">  E-WALLET 27 Aug 2565                                                                                                        </t>
  </si>
  <si>
    <t>ETHONLIN2208000036</t>
  </si>
  <si>
    <t xml:space="preserve">  E-WALLET 28 Aug 2565                                                                                                        </t>
  </si>
  <si>
    <t>ETHONLIN2208000037</t>
  </si>
  <si>
    <t xml:space="preserve">  E-WALLET 29Aug 2565                                                                                                        </t>
  </si>
  <si>
    <t>ETHBKK012208000038</t>
  </si>
  <si>
    <t>นาง พิชาวีร์ บวรธีราเศรษฐ์</t>
  </si>
  <si>
    <t xml:space="preserve">  E-WALLET 31 Aug 2565                                                                                                        </t>
  </si>
  <si>
    <t>ETHONLIN2208000039</t>
  </si>
  <si>
    <t>ETHBKK012208000039</t>
  </si>
  <si>
    <t>บริษัท เอ็น.พี มาร์เก็ตติ้ง แบรนด์ จำกัด(สำนักงานใหญ่)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</si>
</sst>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9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rgb="FF000000"/>
      <name val="Rubik"/>
    </font>
    <font>
      <sz val="18.0"/>
      <color theme="1"/>
      <name val="Calibri"/>
    </font>
    <font>
      <sz val="18.0"/>
      <color theme="5"/>
      <name val="Calibri"/>
    </font>
    <font>
      <sz val="18.0"/>
      <color rgb="FF34A853"/>
      <name val="Calibri"/>
    </font>
    <font>
      <sz val="18.0"/>
      <color rgb="FF4285F4"/>
      <name val="Calibri"/>
    </font>
    <font>
      <sz val="18.0"/>
      <color rgb="FFFF00FF"/>
      <name val="Calibri"/>
    </font>
    <font>
      <sz val="18.0"/>
      <color rgb="FFFF0000"/>
      <name val="Calibri"/>
    </font>
    <font>
      <b/>
      <sz val="18.0"/>
      <color rgb="FFEA4335"/>
      <name val="Calibri"/>
    </font>
    <font>
      <b/>
      <sz val="18.0"/>
      <color theme="4"/>
      <name val="Calibri"/>
    </font>
    <font>
      <b/>
      <sz val="18.0"/>
      <color rgb="FFFF00FF"/>
      <name val="Calibri"/>
    </font>
    <font>
      <b/>
      <sz val="18.0"/>
      <color theme="1"/>
      <name val="Calibri"/>
    </font>
    <font>
      <sz val="18.0"/>
      <color rgb="FFEA4335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4F8FB"/>
        <bgColor rgb="FFF4F8FB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6" fillId="0" fontId="2" numFmtId="0" xfId="0" applyBorder="1" applyFont="1"/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7" fillId="0" fontId="2" numFmtId="0" xfId="0" applyBorder="1" applyFont="1"/>
    <xf borderId="4" fillId="3" fontId="4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horizontal="center" readingOrder="0" vertical="bottom"/>
    </xf>
    <xf borderId="4" fillId="5" fontId="7" numFmtId="165" xfId="0" applyAlignment="1" applyBorder="1" applyFill="1" applyFont="1" applyNumberFormat="1">
      <alignment horizontal="center" readingOrder="0"/>
    </xf>
    <xf borderId="4" fillId="5" fontId="7" numFmtId="4" xfId="0" applyAlignment="1" applyBorder="1" applyFont="1" applyNumberForma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5" fontId="7" numFmtId="0" xfId="0" applyAlignment="1" applyBorder="1" applyFont="1">
      <alignment horizontal="left" readingOrder="0"/>
    </xf>
    <xf borderId="4" fillId="4" fontId="8" numFmtId="38" xfId="0" applyAlignment="1" applyBorder="1" applyFont="1" applyNumberFormat="1">
      <alignment readingOrder="0" vertical="bottom"/>
    </xf>
    <xf borderId="4" fillId="4" fontId="8" numFmtId="38" xfId="0" applyAlignment="1" applyBorder="1" applyFont="1" applyNumberFormat="1">
      <alignment vertical="bottom"/>
    </xf>
    <xf borderId="4" fillId="4" fontId="9" numFmtId="38" xfId="0" applyAlignment="1" applyBorder="1" applyFont="1" applyNumberFormat="1">
      <alignment vertical="bottom"/>
    </xf>
    <xf borderId="4" fillId="4" fontId="10" numFmtId="38" xfId="0" applyAlignment="1" applyBorder="1" applyFont="1" applyNumberFormat="1">
      <alignment horizontal="right" readingOrder="0" vertical="bottom"/>
    </xf>
    <xf borderId="4" fillId="4" fontId="11" numFmtId="38" xfId="0" applyAlignment="1" applyBorder="1" applyFont="1" applyNumberFormat="1">
      <alignment readingOrder="0" vertical="bottom"/>
    </xf>
    <xf borderId="4" fillId="6" fontId="12" numFmtId="38" xfId="0" applyAlignment="1" applyBorder="1" applyFill="1" applyFont="1" applyNumberFormat="1">
      <alignment readingOrder="0" vertical="bottom"/>
    </xf>
    <xf borderId="4" fillId="0" fontId="8" numFmtId="38" xfId="0" applyAlignment="1" applyBorder="1" applyFont="1" applyNumberFormat="1">
      <alignment horizontal="right" readingOrder="0" vertical="bottom"/>
    </xf>
    <xf borderId="4" fillId="0" fontId="13" numFmtId="38" xfId="0" applyAlignment="1" applyBorder="1" applyFont="1" applyNumberFormat="1">
      <alignment horizontal="right" vertical="bottom"/>
    </xf>
    <xf borderId="4" fillId="0" fontId="8" numFmtId="38" xfId="0" applyAlignment="1" applyBorder="1" applyFont="1" applyNumberFormat="1">
      <alignment readingOrder="0" vertical="bottom"/>
    </xf>
    <xf borderId="0" fillId="4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4" fillId="4" fontId="8" numFmtId="166" xfId="0" applyAlignment="1" applyBorder="1" applyFont="1" applyNumberFormat="1">
      <alignment vertical="bottom"/>
    </xf>
    <xf borderId="4" fillId="4" fontId="14" numFmtId="166" xfId="0" applyAlignment="1" applyBorder="1" applyFont="1" applyNumberFormat="1">
      <alignment horizontal="right" readingOrder="0" vertical="bottom"/>
    </xf>
    <xf borderId="4" fillId="4" fontId="15" numFmtId="166" xfId="0" applyAlignment="1" applyBorder="1" applyFont="1" applyNumberFormat="1">
      <alignment readingOrder="0" vertical="bottom"/>
    </xf>
    <xf borderId="4" fillId="6" fontId="16" numFmtId="166" xfId="0" applyAlignment="1" applyBorder="1" applyFont="1" applyNumberFormat="1">
      <alignment readingOrder="0" vertical="bottom"/>
    </xf>
    <xf borderId="4" fillId="4" fontId="17" numFmtId="166" xfId="0" applyAlignment="1" applyBorder="1" applyFont="1" applyNumberFormat="1">
      <alignment horizontal="right" readingOrder="0" vertical="bottom"/>
    </xf>
    <xf borderId="4" fillId="0" fontId="8" numFmtId="0" xfId="0" applyAlignment="1" applyBorder="1" applyFont="1">
      <alignment vertical="bottom"/>
    </xf>
    <xf borderId="4" fillId="4" fontId="6" numFmtId="0" xfId="0" applyAlignment="1" applyBorder="1" applyFont="1">
      <alignment horizontal="center" vertical="bottom"/>
    </xf>
    <xf borderId="1" fillId="4" fontId="17" numFmtId="166" xfId="0" applyAlignment="1" applyBorder="1" applyFont="1" applyNumberFormat="1">
      <alignment horizontal="center" readingOrder="0" vertical="bottom"/>
    </xf>
    <xf borderId="4" fillId="4" fontId="8" numFmtId="0" xfId="0" applyAlignment="1" applyBorder="1" applyFont="1">
      <alignment vertical="bottom"/>
    </xf>
    <xf borderId="4" fillId="4" fontId="18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44776.0</v>
      </c>
      <c r="C5" s="15" t="s">
        <v>18</v>
      </c>
      <c r="D5" s="16">
        <v>31927.0</v>
      </c>
      <c r="E5" s="17" t="s">
        <v>19</v>
      </c>
      <c r="F5" s="18"/>
      <c r="G5" s="19"/>
      <c r="H5" s="20"/>
      <c r="I5" s="21">
        <v>570.0</v>
      </c>
      <c r="J5" s="22"/>
      <c r="K5" s="23"/>
      <c r="L5" s="24">
        <v>570.0</v>
      </c>
      <c r="M5" s="25">
        <f t="shared" ref="M5:M8" si="1">SUM(M2:M4)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44776.0</v>
      </c>
      <c r="C6" s="15" t="s">
        <v>20</v>
      </c>
      <c r="D6" s="16">
        <v>13781.0</v>
      </c>
      <c r="E6" s="17" t="s">
        <v>21</v>
      </c>
      <c r="F6" s="18">
        <v>4100.0</v>
      </c>
      <c r="G6" s="19"/>
      <c r="H6" s="20"/>
      <c r="I6" s="21"/>
      <c r="J6" s="22"/>
      <c r="K6" s="23"/>
      <c r="L6" s="24"/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14"/>
      <c r="C7" s="15"/>
      <c r="D7" s="16"/>
      <c r="E7" s="17"/>
      <c r="F7" s="18"/>
      <c r="G7" s="19"/>
      <c r="H7" s="20"/>
      <c r="I7" s="21"/>
      <c r="J7" s="22"/>
      <c r="K7" s="23"/>
      <c r="L7" s="24"/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28"/>
      <c r="C8" s="28"/>
      <c r="D8" s="28"/>
      <c r="E8" s="28"/>
      <c r="F8" s="29">
        <f>SUM(F5:F7)</f>
        <v>4100</v>
      </c>
      <c r="G8" s="29"/>
      <c r="H8" s="29"/>
      <c r="I8" s="30">
        <f>SUM(I5:I6)</f>
        <v>570</v>
      </c>
      <c r="J8" s="31"/>
      <c r="K8" s="32"/>
      <c r="L8" s="33"/>
      <c r="M8" s="25">
        <f t="shared" si="1"/>
        <v>0</v>
      </c>
      <c r="N8" s="3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35"/>
      <c r="B9" s="28"/>
      <c r="C9" s="28"/>
      <c r="D9" s="28"/>
      <c r="E9" s="28"/>
      <c r="F9" s="36">
        <f>F8+G8+H8+I8+J8+K8+L8</f>
        <v>4670</v>
      </c>
      <c r="G9" s="2"/>
      <c r="H9" s="2"/>
      <c r="I9" s="2"/>
      <c r="J9" s="3"/>
      <c r="K9" s="37"/>
      <c r="L9" s="34"/>
      <c r="M9" s="25"/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44777.0</v>
      </c>
      <c r="C5" s="15" t="s">
        <v>23</v>
      </c>
      <c r="D5" s="16">
        <v>21828.0</v>
      </c>
      <c r="E5" s="17" t="s">
        <v>24</v>
      </c>
      <c r="F5" s="18"/>
      <c r="G5" s="19"/>
      <c r="H5" s="20"/>
      <c r="I5" s="21"/>
      <c r="J5" s="22"/>
      <c r="K5" s="23">
        <v>11432.0</v>
      </c>
      <c r="L5" s="24">
        <v>11432.0</v>
      </c>
      <c r="M5" s="25">
        <f t="shared" ref="M5:M11" si="1">SUM(M2:M4)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44777.0</v>
      </c>
      <c r="C6" s="15" t="s">
        <v>25</v>
      </c>
      <c r="D6" s="16">
        <v>62072.0</v>
      </c>
      <c r="E6" s="17" t="s">
        <v>26</v>
      </c>
      <c r="F6" s="18"/>
      <c r="G6" s="19"/>
      <c r="H6" s="20"/>
      <c r="I6" s="21"/>
      <c r="J6" s="22"/>
      <c r="K6" s="23">
        <v>300.0</v>
      </c>
      <c r="L6" s="24">
        <v>300.0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44777.0</v>
      </c>
      <c r="C7" s="15" t="s">
        <v>27</v>
      </c>
      <c r="D7" s="16">
        <v>62072.0</v>
      </c>
      <c r="E7" s="17" t="s">
        <v>26</v>
      </c>
      <c r="F7" s="18"/>
      <c r="G7" s="19"/>
      <c r="H7" s="20"/>
      <c r="I7" s="21"/>
      <c r="J7" s="22"/>
      <c r="K7" s="23">
        <v>27000.0</v>
      </c>
      <c r="L7" s="24">
        <v>27000.0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44777.0</v>
      </c>
      <c r="C8" s="15" t="s">
        <v>28</v>
      </c>
      <c r="D8" s="16">
        <v>21828.0</v>
      </c>
      <c r="E8" s="17" t="s">
        <v>24</v>
      </c>
      <c r="F8" s="18"/>
      <c r="G8" s="19"/>
      <c r="H8" s="20"/>
      <c r="I8" s="21"/>
      <c r="J8" s="22"/>
      <c r="K8" s="23">
        <v>11682.0</v>
      </c>
      <c r="L8" s="24">
        <v>11682.0</v>
      </c>
      <c r="M8" s="25">
        <f t="shared" si="1"/>
        <v>0</v>
      </c>
      <c r="N8" s="26"/>
      <c r="O8" s="27"/>
      <c r="P8" s="2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44777.0</v>
      </c>
      <c r="C9" s="15" t="s">
        <v>29</v>
      </c>
      <c r="D9" s="16">
        <v>10271.0</v>
      </c>
      <c r="E9" s="17" t="s">
        <v>30</v>
      </c>
      <c r="F9" s="18"/>
      <c r="G9" s="19"/>
      <c r="H9" s="20"/>
      <c r="I9" s="21"/>
      <c r="J9" s="22">
        <v>400.0</v>
      </c>
      <c r="K9" s="23"/>
      <c r="L9" s="24">
        <v>400.0</v>
      </c>
      <c r="M9" s="25">
        <f t="shared" si="1"/>
        <v>0</v>
      </c>
      <c r="N9" s="26"/>
      <c r="O9" s="27"/>
      <c r="P9" s="27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44777.0</v>
      </c>
      <c r="C10" s="15" t="s">
        <v>31</v>
      </c>
      <c r="D10" s="16">
        <v>35245.0</v>
      </c>
      <c r="E10" s="17" t="s">
        <v>32</v>
      </c>
      <c r="F10" s="18"/>
      <c r="G10" s="19"/>
      <c r="H10" s="20"/>
      <c r="I10" s="21">
        <v>17000.0</v>
      </c>
      <c r="J10" s="22"/>
      <c r="K10" s="23"/>
      <c r="L10" s="24">
        <v>17000.0</v>
      </c>
      <c r="M10" s="25">
        <f t="shared" si="1"/>
        <v>0</v>
      </c>
      <c r="N10" s="26"/>
      <c r="O10" s="27"/>
      <c r="P10" s="27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28"/>
      <c r="C11" s="28"/>
      <c r="D11" s="28"/>
      <c r="E11" s="28"/>
      <c r="F11" s="29">
        <f t="shared" ref="F11:L11" si="2">SUM(F5:F10)</f>
        <v>0</v>
      </c>
      <c r="G11" s="29">
        <f t="shared" si="2"/>
        <v>0</v>
      </c>
      <c r="H11" s="29">
        <f t="shared" si="2"/>
        <v>0</v>
      </c>
      <c r="I11" s="29">
        <f t="shared" si="2"/>
        <v>17000</v>
      </c>
      <c r="J11" s="29">
        <f t="shared" si="2"/>
        <v>400</v>
      </c>
      <c r="K11" s="29">
        <f t="shared" si="2"/>
        <v>50414</v>
      </c>
      <c r="L11" s="29">
        <f t="shared" si="2"/>
        <v>67814</v>
      </c>
      <c r="M11" s="25">
        <f t="shared" si="1"/>
        <v>0</v>
      </c>
      <c r="N11" s="3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35"/>
      <c r="B12" s="28"/>
      <c r="C12" s="28"/>
      <c r="D12" s="28"/>
      <c r="E12" s="28"/>
      <c r="F12" s="36">
        <f>F11+G11+H11+I11+J11+K11</f>
        <v>67814</v>
      </c>
      <c r="G12" s="2"/>
      <c r="H12" s="2"/>
      <c r="I12" s="2"/>
      <c r="J12" s="3"/>
      <c r="K12" s="37"/>
      <c r="L12" s="34"/>
      <c r="M12" s="25"/>
      <c r="N12" s="3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4" max="14" width="23.13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44778.0</v>
      </c>
      <c r="C5" s="15" t="s">
        <v>34</v>
      </c>
      <c r="D5" s="16">
        <v>21828.0</v>
      </c>
      <c r="E5" s="17" t="s">
        <v>24</v>
      </c>
      <c r="F5" s="18"/>
      <c r="G5" s="19"/>
      <c r="H5" s="38">
        <v>30000.0</v>
      </c>
      <c r="I5" s="21"/>
      <c r="J5" s="22"/>
      <c r="K5" s="23"/>
      <c r="L5" s="24">
        <v>30000.0</v>
      </c>
      <c r="M5" s="25">
        <f t="shared" ref="M5:M13" si="1">SUM(M2:M4)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44778.0</v>
      </c>
      <c r="C6" s="15" t="s">
        <v>35</v>
      </c>
      <c r="D6" s="16">
        <v>50342.0</v>
      </c>
      <c r="E6" s="17" t="s">
        <v>36</v>
      </c>
      <c r="F6" s="18"/>
      <c r="G6" s="19"/>
      <c r="H6" s="38">
        <v>5000.0</v>
      </c>
      <c r="I6" s="21"/>
      <c r="J6" s="22"/>
      <c r="K6" s="23"/>
      <c r="L6" s="24">
        <v>5000.0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44778.0</v>
      </c>
      <c r="C7" s="15" t="s">
        <v>37</v>
      </c>
      <c r="D7" s="16">
        <v>50342.0</v>
      </c>
      <c r="E7" s="17" t="s">
        <v>36</v>
      </c>
      <c r="F7" s="18"/>
      <c r="G7" s="19"/>
      <c r="H7" s="38">
        <v>800.0</v>
      </c>
      <c r="I7" s="21"/>
      <c r="J7" s="22"/>
      <c r="K7" s="23"/>
      <c r="L7" s="24">
        <v>800.0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44778.0</v>
      </c>
      <c r="C8" s="15" t="s">
        <v>38</v>
      </c>
      <c r="D8" s="16">
        <v>50342.0</v>
      </c>
      <c r="E8" s="17" t="s">
        <v>36</v>
      </c>
      <c r="F8" s="18"/>
      <c r="G8" s="19"/>
      <c r="H8" s="38">
        <v>800.0</v>
      </c>
      <c r="I8" s="21"/>
      <c r="J8" s="22"/>
      <c r="K8" s="23"/>
      <c r="L8" s="24">
        <v>800.0</v>
      </c>
      <c r="M8" s="25">
        <f t="shared" si="1"/>
        <v>0</v>
      </c>
      <c r="N8" s="26"/>
      <c r="O8" s="27"/>
      <c r="P8" s="2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44778.0</v>
      </c>
      <c r="C9" s="15" t="s">
        <v>39</v>
      </c>
      <c r="D9" s="16">
        <v>50342.0</v>
      </c>
      <c r="E9" s="17" t="s">
        <v>36</v>
      </c>
      <c r="F9" s="18"/>
      <c r="G9" s="19"/>
      <c r="H9" s="38">
        <v>800.0</v>
      </c>
      <c r="I9" s="21"/>
      <c r="J9" s="22"/>
      <c r="K9" s="23"/>
      <c r="L9" s="24">
        <v>800.0</v>
      </c>
      <c r="M9" s="25">
        <f t="shared" si="1"/>
        <v>0</v>
      </c>
      <c r="N9" s="26"/>
      <c r="O9" s="27"/>
      <c r="P9" s="27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44778.0</v>
      </c>
      <c r="C10" s="15" t="s">
        <v>40</v>
      </c>
      <c r="D10" s="16">
        <v>21828.0</v>
      </c>
      <c r="E10" s="17" t="s">
        <v>24</v>
      </c>
      <c r="F10" s="18"/>
      <c r="G10" s="19"/>
      <c r="H10" s="38">
        <v>2650.0</v>
      </c>
      <c r="I10" s="21"/>
      <c r="J10" s="22"/>
      <c r="K10" s="23"/>
      <c r="L10" s="24">
        <v>2650.0</v>
      </c>
      <c r="M10" s="25">
        <f t="shared" si="1"/>
        <v>0</v>
      </c>
      <c r="N10" s="26"/>
      <c r="O10" s="27"/>
      <c r="P10" s="27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14">
        <v>44778.0</v>
      </c>
      <c r="C11" s="15" t="s">
        <v>41</v>
      </c>
      <c r="D11" s="16">
        <v>50342.0</v>
      </c>
      <c r="E11" s="17" t="s">
        <v>36</v>
      </c>
      <c r="F11" s="18"/>
      <c r="G11" s="19"/>
      <c r="H11" s="38">
        <v>900.0</v>
      </c>
      <c r="I11" s="21"/>
      <c r="J11" s="22"/>
      <c r="K11" s="23"/>
      <c r="L11" s="24">
        <v>900.0</v>
      </c>
      <c r="M11" s="25">
        <f t="shared" si="1"/>
        <v>0</v>
      </c>
      <c r="N11" s="26"/>
      <c r="O11" s="27"/>
      <c r="P11" s="27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14">
        <v>44778.0</v>
      </c>
      <c r="C12" s="15" t="s">
        <v>42</v>
      </c>
      <c r="D12" s="16">
        <v>50342.0</v>
      </c>
      <c r="E12" s="17" t="s">
        <v>36</v>
      </c>
      <c r="F12" s="18"/>
      <c r="G12" s="19"/>
      <c r="H12" s="38">
        <v>900.0</v>
      </c>
      <c r="I12" s="21"/>
      <c r="J12" s="22"/>
      <c r="K12" s="23"/>
      <c r="L12" s="24">
        <v>900.0</v>
      </c>
      <c r="M12" s="25">
        <f t="shared" si="1"/>
        <v>0</v>
      </c>
      <c r="N12" s="26"/>
      <c r="O12" s="27"/>
      <c r="P12" s="27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/>
      <c r="B13" s="28"/>
      <c r="C13" s="28"/>
      <c r="D13" s="28"/>
      <c r="E13" s="28"/>
      <c r="F13" s="29">
        <f t="shared" ref="F13:L13" si="2">SUM(F5:F10)</f>
        <v>0</v>
      </c>
      <c r="G13" s="29">
        <f t="shared" si="2"/>
        <v>0</v>
      </c>
      <c r="H13" s="29">
        <f t="shared" si="2"/>
        <v>40050</v>
      </c>
      <c r="I13" s="29">
        <f t="shared" si="2"/>
        <v>0</v>
      </c>
      <c r="J13" s="29">
        <f t="shared" si="2"/>
        <v>0</v>
      </c>
      <c r="K13" s="29">
        <f t="shared" si="2"/>
        <v>0</v>
      </c>
      <c r="L13" s="29">
        <f t="shared" si="2"/>
        <v>40050</v>
      </c>
      <c r="M13" s="25">
        <f t="shared" si="1"/>
        <v>0</v>
      </c>
      <c r="N13" s="3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35"/>
      <c r="B14" s="28"/>
      <c r="C14" s="28"/>
      <c r="D14" s="28"/>
      <c r="E14" s="28"/>
      <c r="F14" s="36">
        <f>F13+G13+H13+I13+J13+K13</f>
        <v>40050</v>
      </c>
      <c r="G14" s="2"/>
      <c r="H14" s="2"/>
      <c r="I14" s="2"/>
      <c r="J14" s="3"/>
      <c r="K14" s="37"/>
      <c r="L14" s="34"/>
      <c r="M14" s="25"/>
      <c r="N14" s="34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</sheetData>
  <mergeCells count="15">
    <mergeCell ref="M2:M4"/>
    <mergeCell ref="N2:N4"/>
    <mergeCell ref="F3:F4"/>
    <mergeCell ref="G3:H3"/>
    <mergeCell ref="F14:J1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44780.0</v>
      </c>
      <c r="C5" s="15" t="s">
        <v>44</v>
      </c>
      <c r="D5" s="16">
        <v>66838.0</v>
      </c>
      <c r="E5" s="17" t="s">
        <v>45</v>
      </c>
      <c r="F5" s="18"/>
      <c r="G5" s="19"/>
      <c r="H5" s="38"/>
      <c r="I5" s="21">
        <v>300.0</v>
      </c>
      <c r="J5" s="22"/>
      <c r="K5" s="23"/>
      <c r="L5" s="24">
        <v>300.0</v>
      </c>
      <c r="M5" s="25">
        <f t="shared" ref="M5:M7" si="1">SUM(M2:M4)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44780.0</v>
      </c>
      <c r="C6" s="15" t="s">
        <v>46</v>
      </c>
      <c r="D6" s="16">
        <v>23221.0</v>
      </c>
      <c r="E6" s="17" t="s">
        <v>47</v>
      </c>
      <c r="F6" s="18"/>
      <c r="G6" s="19"/>
      <c r="H6" s="38"/>
      <c r="I6" s="21"/>
      <c r="J6" s="22"/>
      <c r="K6" s="23">
        <v>1600.0</v>
      </c>
      <c r="L6" s="24">
        <v>1600.0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44780.0</v>
      </c>
      <c r="C7" s="15" t="s">
        <v>48</v>
      </c>
      <c r="D7" s="16">
        <v>23221.0</v>
      </c>
      <c r="E7" s="17" t="s">
        <v>47</v>
      </c>
      <c r="F7" s="18"/>
      <c r="G7" s="19"/>
      <c r="H7" s="38"/>
      <c r="I7" s="21"/>
      <c r="J7" s="22"/>
      <c r="K7" s="23">
        <v>1000.0</v>
      </c>
      <c r="L7" s="24">
        <v>1000.0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44780.0</v>
      </c>
      <c r="C8" s="15" t="s">
        <v>49</v>
      </c>
      <c r="D8" s="16">
        <v>10002.0</v>
      </c>
      <c r="E8" s="17" t="s">
        <v>50</v>
      </c>
      <c r="F8" s="18">
        <v>6000.0</v>
      </c>
      <c r="G8" s="19"/>
      <c r="H8" s="38"/>
      <c r="I8" s="21">
        <v>8050.0</v>
      </c>
      <c r="J8" s="22"/>
      <c r="K8" s="23"/>
      <c r="L8" s="24">
        <v>14050.0</v>
      </c>
      <c r="M8" s="25">
        <f>SUM(F8+G8+H8+I8+J8+K8-L8)</f>
        <v>0</v>
      </c>
      <c r="N8" s="26"/>
      <c r="O8" s="27"/>
      <c r="P8" s="2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28"/>
      <c r="C9" s="28"/>
      <c r="D9" s="28"/>
      <c r="E9" s="28"/>
      <c r="F9" s="29">
        <f t="shared" ref="F9:L9" si="2">SUM(F5:F8)</f>
        <v>6000</v>
      </c>
      <c r="G9" s="29">
        <f t="shared" si="2"/>
        <v>0</v>
      </c>
      <c r="H9" s="29">
        <f t="shared" si="2"/>
        <v>0</v>
      </c>
      <c r="I9" s="29">
        <f t="shared" si="2"/>
        <v>8350</v>
      </c>
      <c r="J9" s="29">
        <f t="shared" si="2"/>
        <v>0</v>
      </c>
      <c r="K9" s="29">
        <f t="shared" si="2"/>
        <v>2600</v>
      </c>
      <c r="L9" s="29">
        <f t="shared" si="2"/>
        <v>16950</v>
      </c>
      <c r="M9" s="25"/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35"/>
      <c r="B10" s="28"/>
      <c r="C10" s="28"/>
      <c r="D10" s="28"/>
      <c r="E10" s="28"/>
      <c r="F10" s="36">
        <f>SUM(F9+G9+H9+I9+J9+K9)</f>
        <v>16950</v>
      </c>
      <c r="G10" s="2"/>
      <c r="H10" s="2"/>
      <c r="I10" s="2"/>
      <c r="J10" s="3"/>
      <c r="K10" s="37"/>
      <c r="L10" s="34"/>
      <c r="M10" s="25"/>
      <c r="N10" s="3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44781.0</v>
      </c>
      <c r="C5" s="15" t="s">
        <v>52</v>
      </c>
      <c r="D5" s="16">
        <v>65232.0</v>
      </c>
      <c r="E5" s="17" t="s">
        <v>53</v>
      </c>
      <c r="F5" s="18"/>
      <c r="G5" s="19"/>
      <c r="H5" s="38"/>
      <c r="I5" s="21">
        <v>0.0</v>
      </c>
      <c r="J5" s="22"/>
      <c r="K5" s="23"/>
      <c r="L5" s="24">
        <v>600.0</v>
      </c>
      <c r="M5" s="25">
        <f t="shared" ref="M5:M7" si="1">SUM(M2:M4)</f>
        <v>0</v>
      </c>
      <c r="N5" s="26" t="s">
        <v>54</v>
      </c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44781.0</v>
      </c>
      <c r="C6" s="15" t="s">
        <v>55</v>
      </c>
      <c r="D6" s="16">
        <v>15836.0</v>
      </c>
      <c r="E6" s="17" t="s">
        <v>56</v>
      </c>
      <c r="F6" s="18">
        <v>158.0</v>
      </c>
      <c r="G6" s="19"/>
      <c r="H6" s="38"/>
      <c r="I6" s="21"/>
      <c r="J6" s="22"/>
      <c r="K6" s="23"/>
      <c r="L6" s="24">
        <v>158.0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44781.0</v>
      </c>
      <c r="C7" s="15" t="s">
        <v>57</v>
      </c>
      <c r="D7" s="16">
        <v>13762.0</v>
      </c>
      <c r="E7" s="17" t="s">
        <v>58</v>
      </c>
      <c r="F7" s="18">
        <v>510.0</v>
      </c>
      <c r="G7" s="19"/>
      <c r="H7" s="38"/>
      <c r="I7" s="21"/>
      <c r="J7" s="22"/>
      <c r="K7" s="23"/>
      <c r="L7" s="24">
        <v>510.0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28"/>
      <c r="C8" s="28"/>
      <c r="D8" s="28"/>
      <c r="E8" s="28"/>
      <c r="F8" s="29">
        <f t="shared" ref="F8:L8" si="2">SUM(F5:F7)</f>
        <v>668</v>
      </c>
      <c r="G8" s="29">
        <f t="shared" si="2"/>
        <v>0</v>
      </c>
      <c r="H8" s="29">
        <f t="shared" si="2"/>
        <v>0</v>
      </c>
      <c r="I8" s="29">
        <f t="shared" si="2"/>
        <v>0</v>
      </c>
      <c r="J8" s="29">
        <f t="shared" si="2"/>
        <v>0</v>
      </c>
      <c r="K8" s="29">
        <f t="shared" si="2"/>
        <v>0</v>
      </c>
      <c r="L8" s="29">
        <f t="shared" si="2"/>
        <v>1268</v>
      </c>
      <c r="M8" s="25"/>
      <c r="N8" s="3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35"/>
      <c r="B9" s="28"/>
      <c r="C9" s="28"/>
      <c r="D9" s="28"/>
      <c r="E9" s="28"/>
      <c r="F9" s="36">
        <f>SUM(F8+G8+H8+I8+J8+K8)</f>
        <v>668</v>
      </c>
      <c r="G9" s="2"/>
      <c r="H9" s="2"/>
      <c r="I9" s="2"/>
      <c r="J9" s="3"/>
      <c r="K9" s="37"/>
      <c r="L9" s="34"/>
      <c r="M9" s="25"/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44781.0</v>
      </c>
      <c r="C5" s="15" t="s">
        <v>60</v>
      </c>
      <c r="D5" s="16">
        <v>69106.0</v>
      </c>
      <c r="E5" s="17" t="s">
        <v>61</v>
      </c>
      <c r="F5" s="18"/>
      <c r="G5" s="19"/>
      <c r="H5" s="38"/>
      <c r="I5" s="21">
        <v>200.0</v>
      </c>
      <c r="J5" s="22"/>
      <c r="K5" s="23"/>
      <c r="L5" s="24">
        <v>200.0</v>
      </c>
      <c r="M5" s="25">
        <f t="shared" ref="M5:M10" si="1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44781.0</v>
      </c>
      <c r="C6" s="15" t="s">
        <v>62</v>
      </c>
      <c r="D6" s="16">
        <v>71946.0</v>
      </c>
      <c r="E6" s="17" t="s">
        <v>63</v>
      </c>
      <c r="F6" s="18"/>
      <c r="G6" s="19"/>
      <c r="H6" s="38"/>
      <c r="I6" s="21">
        <v>200.0</v>
      </c>
      <c r="J6" s="22"/>
      <c r="K6" s="23"/>
      <c r="L6" s="24">
        <v>200.0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44781.0</v>
      </c>
      <c r="C7" s="15" t="s">
        <v>64</v>
      </c>
      <c r="D7" s="16">
        <v>71788.0</v>
      </c>
      <c r="E7" s="17" t="s">
        <v>65</v>
      </c>
      <c r="F7" s="18"/>
      <c r="G7" s="19"/>
      <c r="H7" s="38"/>
      <c r="I7" s="21">
        <v>200.0</v>
      </c>
      <c r="J7" s="22"/>
      <c r="K7" s="23"/>
      <c r="L7" s="24">
        <v>200.0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44781.0</v>
      </c>
      <c r="C8" s="15" t="s">
        <v>66</v>
      </c>
      <c r="D8" s="16">
        <v>72123.0</v>
      </c>
      <c r="E8" s="17" t="s">
        <v>67</v>
      </c>
      <c r="F8" s="18"/>
      <c r="G8" s="19"/>
      <c r="H8" s="38"/>
      <c r="I8" s="21">
        <v>200.0</v>
      </c>
      <c r="J8" s="22"/>
      <c r="K8" s="23"/>
      <c r="L8" s="24">
        <v>200.0</v>
      </c>
      <c r="M8" s="25">
        <f t="shared" si="1"/>
        <v>0</v>
      </c>
      <c r="N8" s="26"/>
      <c r="O8" s="27"/>
      <c r="P8" s="2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44781.0</v>
      </c>
      <c r="C9" s="15" t="s">
        <v>68</v>
      </c>
      <c r="D9" s="16">
        <v>70264.0</v>
      </c>
      <c r="E9" s="17" t="s">
        <v>69</v>
      </c>
      <c r="F9" s="18"/>
      <c r="G9" s="19"/>
      <c r="H9" s="38"/>
      <c r="I9" s="21">
        <v>200.0</v>
      </c>
      <c r="J9" s="22"/>
      <c r="K9" s="23"/>
      <c r="L9" s="24">
        <v>200.0</v>
      </c>
      <c r="M9" s="25">
        <f t="shared" si="1"/>
        <v>0</v>
      </c>
      <c r="N9" s="26"/>
      <c r="O9" s="27"/>
      <c r="P9" s="27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44782.0</v>
      </c>
      <c r="C10" s="15" t="s">
        <v>70</v>
      </c>
      <c r="D10" s="16">
        <v>21828.0</v>
      </c>
      <c r="E10" s="17" t="s">
        <v>24</v>
      </c>
      <c r="F10" s="18"/>
      <c r="G10" s="19"/>
      <c r="H10" s="38"/>
      <c r="I10" s="21"/>
      <c r="J10" s="22"/>
      <c r="K10" s="23">
        <v>12864.0</v>
      </c>
      <c r="L10" s="24">
        <v>12864.0</v>
      </c>
      <c r="M10" s="25">
        <f t="shared" si="1"/>
        <v>0</v>
      </c>
      <c r="N10" s="26"/>
      <c r="O10" s="27"/>
      <c r="P10" s="27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28"/>
      <c r="C11" s="28"/>
      <c r="D11" s="28"/>
      <c r="E11" s="28"/>
      <c r="F11" s="29">
        <f t="shared" ref="F11:J11" si="2">SUM(F5:F7)</f>
        <v>0</v>
      </c>
      <c r="G11" s="29">
        <f t="shared" si="2"/>
        <v>0</v>
      </c>
      <c r="H11" s="29">
        <f t="shared" si="2"/>
        <v>0</v>
      </c>
      <c r="I11" s="29">
        <f t="shared" si="2"/>
        <v>600</v>
      </c>
      <c r="J11" s="29">
        <f t="shared" si="2"/>
        <v>0</v>
      </c>
      <c r="K11" s="29">
        <f t="shared" ref="K11:M11" si="3">SUM(K5:K10)</f>
        <v>12864</v>
      </c>
      <c r="L11" s="29">
        <f t="shared" si="3"/>
        <v>13864</v>
      </c>
      <c r="M11" s="25">
        <f t="shared" si="3"/>
        <v>0</v>
      </c>
      <c r="N11" s="3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35"/>
      <c r="B12" s="28"/>
      <c r="C12" s="28"/>
      <c r="D12" s="28"/>
      <c r="E12" s="28"/>
      <c r="F12" s="36">
        <f>SUM(F11+G11+H11+I11+J11+K11)</f>
        <v>13464</v>
      </c>
      <c r="G12" s="2"/>
      <c r="H12" s="2"/>
      <c r="I12" s="2"/>
      <c r="J12" s="3"/>
      <c r="K12" s="37"/>
      <c r="L12" s="34"/>
      <c r="M12" s="25"/>
      <c r="N12" s="3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44783.0</v>
      </c>
      <c r="C5" s="15" t="s">
        <v>72</v>
      </c>
      <c r="D5" s="16">
        <v>23221.0</v>
      </c>
      <c r="E5" s="17" t="s">
        <v>47</v>
      </c>
      <c r="F5" s="18"/>
      <c r="G5" s="19"/>
      <c r="H5" s="38"/>
      <c r="I5" s="21"/>
      <c r="J5" s="22"/>
      <c r="K5" s="23">
        <v>4500.0</v>
      </c>
      <c r="L5" s="24">
        <v>4500.0</v>
      </c>
      <c r="M5" s="25">
        <f t="shared" ref="M5:M7" si="1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44783.0</v>
      </c>
      <c r="C6" s="15" t="s">
        <v>73</v>
      </c>
      <c r="D6" s="16">
        <v>63830.0</v>
      </c>
      <c r="E6" s="17" t="s">
        <v>74</v>
      </c>
      <c r="F6" s="18"/>
      <c r="G6" s="19"/>
      <c r="H6" s="38"/>
      <c r="I6" s="21">
        <v>19246.0</v>
      </c>
      <c r="J6" s="22"/>
      <c r="K6" s="23"/>
      <c r="L6" s="24">
        <v>19246.0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44783.0</v>
      </c>
      <c r="C7" s="15" t="s">
        <v>75</v>
      </c>
      <c r="D7" s="16">
        <v>23221.0</v>
      </c>
      <c r="E7" s="17" t="s">
        <v>47</v>
      </c>
      <c r="F7" s="18"/>
      <c r="G7" s="19"/>
      <c r="H7" s="38"/>
      <c r="I7" s="21"/>
      <c r="J7" s="22"/>
      <c r="K7" s="23">
        <v>2400.0</v>
      </c>
      <c r="L7" s="24">
        <v>2400.0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28"/>
      <c r="C8" s="28"/>
      <c r="D8" s="28"/>
      <c r="E8" s="28"/>
      <c r="F8" s="29">
        <f t="shared" ref="F8:M8" si="2">SUM(F5:F7)</f>
        <v>0</v>
      </c>
      <c r="G8" s="29">
        <f t="shared" si="2"/>
        <v>0</v>
      </c>
      <c r="H8" s="29">
        <f t="shared" si="2"/>
        <v>0</v>
      </c>
      <c r="I8" s="29">
        <f t="shared" si="2"/>
        <v>19246</v>
      </c>
      <c r="J8" s="29">
        <f t="shared" si="2"/>
        <v>0</v>
      </c>
      <c r="K8" s="29">
        <f t="shared" si="2"/>
        <v>6900</v>
      </c>
      <c r="L8" s="29">
        <f t="shared" si="2"/>
        <v>26146</v>
      </c>
      <c r="M8" s="25">
        <f t="shared" si="2"/>
        <v>0</v>
      </c>
      <c r="N8" s="3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35"/>
      <c r="B9" s="28"/>
      <c r="C9" s="28"/>
      <c r="D9" s="28"/>
      <c r="E9" s="28"/>
      <c r="F9" s="36">
        <f>SUM(F8+G8+H8+I8+J8+K8)</f>
        <v>26146</v>
      </c>
      <c r="G9" s="2"/>
      <c r="H9" s="2"/>
      <c r="I9" s="2"/>
      <c r="J9" s="3"/>
      <c r="K9" s="37"/>
      <c r="L9" s="34"/>
      <c r="M9" s="25"/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44784.0</v>
      </c>
      <c r="C5" s="15" t="s">
        <v>77</v>
      </c>
      <c r="D5" s="16">
        <v>60306.0</v>
      </c>
      <c r="E5" s="17" t="s">
        <v>78</v>
      </c>
      <c r="F5" s="18"/>
      <c r="G5" s="19"/>
      <c r="H5" s="38"/>
      <c r="I5" s="21">
        <v>290.0</v>
      </c>
      <c r="J5" s="22"/>
      <c r="K5" s="23"/>
      <c r="L5" s="24">
        <v>290.0</v>
      </c>
      <c r="M5" s="25">
        <f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28"/>
      <c r="C6" s="28"/>
      <c r="D6" s="28"/>
      <c r="E6" s="28"/>
      <c r="F6" s="29">
        <f t="shared" ref="F6:M6" si="1">SUM(F5)</f>
        <v>0</v>
      </c>
      <c r="G6" s="29">
        <f t="shared" si="1"/>
        <v>0</v>
      </c>
      <c r="H6" s="29">
        <f t="shared" si="1"/>
        <v>0</v>
      </c>
      <c r="I6" s="29">
        <f t="shared" si="1"/>
        <v>290</v>
      </c>
      <c r="J6" s="29">
        <f t="shared" si="1"/>
        <v>0</v>
      </c>
      <c r="K6" s="29">
        <f t="shared" si="1"/>
        <v>0</v>
      </c>
      <c r="L6" s="29">
        <f t="shared" si="1"/>
        <v>290</v>
      </c>
      <c r="M6" s="25">
        <f t="shared" si="1"/>
        <v>0</v>
      </c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5"/>
      <c r="B7" s="28"/>
      <c r="C7" s="28"/>
      <c r="D7" s="28"/>
      <c r="E7" s="28"/>
      <c r="F7" s="36">
        <f>SUM(F6+G6+H6+I6+J6+K6)</f>
        <v>290</v>
      </c>
      <c r="G7" s="2"/>
      <c r="H7" s="2"/>
      <c r="I7" s="2"/>
      <c r="J7" s="3"/>
      <c r="K7" s="37"/>
      <c r="L7" s="34"/>
      <c r="M7" s="25"/>
      <c r="N7" s="3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44787.0</v>
      </c>
      <c r="C5" s="15" t="s">
        <v>80</v>
      </c>
      <c r="D5" s="16">
        <v>23221.0</v>
      </c>
      <c r="E5" s="17" t="s">
        <v>47</v>
      </c>
      <c r="F5" s="18"/>
      <c r="G5" s="19"/>
      <c r="H5" s="38"/>
      <c r="I5" s="21"/>
      <c r="J5" s="22"/>
      <c r="K5" s="23">
        <v>900.0</v>
      </c>
      <c r="L5" s="24">
        <v>900.0</v>
      </c>
      <c r="M5" s="25">
        <f t="shared" ref="M5:M9" si="1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44787.0</v>
      </c>
      <c r="C6" s="15" t="s">
        <v>81</v>
      </c>
      <c r="D6" s="16">
        <v>23221.0</v>
      </c>
      <c r="E6" s="17" t="s">
        <v>47</v>
      </c>
      <c r="F6" s="18"/>
      <c r="G6" s="19"/>
      <c r="H6" s="38"/>
      <c r="I6" s="21"/>
      <c r="J6" s="22"/>
      <c r="K6" s="23">
        <v>1400.0</v>
      </c>
      <c r="L6" s="24">
        <v>1400.0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44787.0</v>
      </c>
      <c r="C7" s="15" t="s">
        <v>82</v>
      </c>
      <c r="D7" s="16">
        <v>21828.0</v>
      </c>
      <c r="E7" s="17" t="s">
        <v>24</v>
      </c>
      <c r="F7" s="18"/>
      <c r="G7" s="19"/>
      <c r="H7" s="38"/>
      <c r="I7" s="21"/>
      <c r="J7" s="22"/>
      <c r="K7" s="23">
        <v>16277.0</v>
      </c>
      <c r="L7" s="24">
        <v>16277.0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44787.0</v>
      </c>
      <c r="C8" s="15" t="s">
        <v>83</v>
      </c>
      <c r="D8" s="16">
        <v>49194.0</v>
      </c>
      <c r="E8" s="17" t="s">
        <v>84</v>
      </c>
      <c r="F8" s="18"/>
      <c r="G8" s="19"/>
      <c r="H8" s="38"/>
      <c r="I8" s="21">
        <v>24000.0</v>
      </c>
      <c r="J8" s="22"/>
      <c r="K8" s="23"/>
      <c r="L8" s="24">
        <v>24000.0</v>
      </c>
      <c r="M8" s="25">
        <f t="shared" si="1"/>
        <v>0</v>
      </c>
      <c r="N8" s="26"/>
      <c r="O8" s="27"/>
      <c r="P8" s="2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28"/>
      <c r="C9" s="28"/>
      <c r="D9" s="28"/>
      <c r="E9" s="28"/>
      <c r="F9" s="29">
        <f t="shared" ref="F9:H9" si="2">SUM(F5)</f>
        <v>0</v>
      </c>
      <c r="G9" s="29">
        <f t="shared" si="2"/>
        <v>0</v>
      </c>
      <c r="H9" s="29">
        <f t="shared" si="2"/>
        <v>0</v>
      </c>
      <c r="I9" s="29">
        <f>SUM(I5:I8)</f>
        <v>24000</v>
      </c>
      <c r="J9" s="29">
        <f>SUM(J5)</f>
        <v>0</v>
      </c>
      <c r="K9" s="29">
        <f t="shared" ref="K9:L9" si="3">SUM(K5:K8)</f>
        <v>18577</v>
      </c>
      <c r="L9" s="29">
        <f t="shared" si="3"/>
        <v>42577</v>
      </c>
      <c r="M9" s="25">
        <f t="shared" si="1"/>
        <v>0</v>
      </c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35"/>
      <c r="B10" s="28"/>
      <c r="C10" s="28"/>
      <c r="D10" s="28"/>
      <c r="E10" s="28"/>
      <c r="F10" s="36">
        <f>SUM(F9+G9+H9+I9+J9+K9)</f>
        <v>42577</v>
      </c>
      <c r="G10" s="2"/>
      <c r="H10" s="2"/>
      <c r="I10" s="2"/>
      <c r="J10" s="3"/>
      <c r="K10" s="37"/>
      <c r="L10" s="34"/>
      <c r="M10" s="25"/>
      <c r="N10" s="3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44791.0</v>
      </c>
      <c r="C5" s="15" t="s">
        <v>86</v>
      </c>
      <c r="D5" s="16">
        <v>53717.0</v>
      </c>
      <c r="E5" s="17" t="s">
        <v>87</v>
      </c>
      <c r="F5" s="18"/>
      <c r="G5" s="19"/>
      <c r="H5" s="38"/>
      <c r="I5" s="21"/>
      <c r="J5" s="22">
        <v>300.0</v>
      </c>
      <c r="K5" s="23"/>
      <c r="L5" s="24">
        <v>300.0</v>
      </c>
      <c r="M5" s="25">
        <f t="shared" ref="M5:M6" si="2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28"/>
      <c r="C6" s="28"/>
      <c r="D6" s="28"/>
      <c r="E6" s="28"/>
      <c r="F6" s="29">
        <f t="shared" ref="F6:L6" si="1">SUM(F5)</f>
        <v>0</v>
      </c>
      <c r="G6" s="29">
        <f t="shared" si="1"/>
        <v>0</v>
      </c>
      <c r="H6" s="29">
        <f t="shared" si="1"/>
        <v>0</v>
      </c>
      <c r="I6" s="29">
        <f t="shared" si="1"/>
        <v>0</v>
      </c>
      <c r="J6" s="29">
        <f t="shared" si="1"/>
        <v>300</v>
      </c>
      <c r="K6" s="29">
        <f t="shared" si="1"/>
        <v>0</v>
      </c>
      <c r="L6" s="29">
        <f t="shared" si="1"/>
        <v>300</v>
      </c>
      <c r="M6" s="25">
        <f t="shared" si="2"/>
        <v>0</v>
      </c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5"/>
      <c r="B7" s="28"/>
      <c r="C7" s="28"/>
      <c r="D7" s="28"/>
      <c r="E7" s="28"/>
      <c r="F7" s="36">
        <f>SUM(F6+G6+H6+I6+J6+K6)</f>
        <v>300</v>
      </c>
      <c r="G7" s="2"/>
      <c r="H7" s="2"/>
      <c r="I7" s="2"/>
      <c r="J7" s="3"/>
      <c r="K7" s="37"/>
      <c r="L7" s="34"/>
      <c r="M7" s="25"/>
      <c r="N7" s="3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44796.0</v>
      </c>
      <c r="C5" s="15" t="s">
        <v>89</v>
      </c>
      <c r="D5" s="16">
        <v>21828.0</v>
      </c>
      <c r="E5" s="17" t="s">
        <v>24</v>
      </c>
      <c r="F5" s="18"/>
      <c r="G5" s="19"/>
      <c r="H5" s="38"/>
      <c r="I5" s="21"/>
      <c r="J5" s="22">
        <v>173.0</v>
      </c>
      <c r="K5" s="23"/>
      <c r="L5" s="24">
        <v>173.0</v>
      </c>
      <c r="M5" s="25">
        <f t="shared" ref="M5:M6" si="2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28"/>
      <c r="C6" s="28"/>
      <c r="D6" s="28"/>
      <c r="E6" s="28"/>
      <c r="F6" s="29">
        <f t="shared" ref="F6:L6" si="1">SUM(F5)</f>
        <v>0</v>
      </c>
      <c r="G6" s="29">
        <f t="shared" si="1"/>
        <v>0</v>
      </c>
      <c r="H6" s="29">
        <f t="shared" si="1"/>
        <v>0</v>
      </c>
      <c r="I6" s="29">
        <f t="shared" si="1"/>
        <v>0</v>
      </c>
      <c r="J6" s="29">
        <f t="shared" si="1"/>
        <v>173</v>
      </c>
      <c r="K6" s="29">
        <f t="shared" si="1"/>
        <v>0</v>
      </c>
      <c r="L6" s="29">
        <f t="shared" si="1"/>
        <v>173</v>
      </c>
      <c r="M6" s="25">
        <f t="shared" si="2"/>
        <v>0</v>
      </c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5"/>
      <c r="B7" s="28"/>
      <c r="C7" s="28"/>
      <c r="D7" s="28"/>
      <c r="E7" s="28"/>
      <c r="F7" s="36">
        <f>SUM(F6+G6+H6+I6+J6+K6)</f>
        <v>173</v>
      </c>
      <c r="G7" s="2"/>
      <c r="H7" s="2"/>
      <c r="I7" s="2"/>
      <c r="J7" s="3"/>
      <c r="K7" s="37"/>
      <c r="L7" s="34"/>
      <c r="M7" s="25"/>
      <c r="N7" s="3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44797.0</v>
      </c>
      <c r="C5" s="15" t="s">
        <v>91</v>
      </c>
      <c r="D5" s="16">
        <v>45262.0</v>
      </c>
      <c r="E5" s="17" t="s">
        <v>92</v>
      </c>
      <c r="F5" s="18"/>
      <c r="G5" s="19"/>
      <c r="H5" s="38"/>
      <c r="I5" s="21">
        <v>100.0</v>
      </c>
      <c r="J5" s="22"/>
      <c r="K5" s="23"/>
      <c r="L5" s="24">
        <v>100.0</v>
      </c>
      <c r="M5" s="25">
        <f t="shared" ref="M5:M6" si="2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28"/>
      <c r="C6" s="28"/>
      <c r="D6" s="28"/>
      <c r="E6" s="28"/>
      <c r="F6" s="29">
        <f t="shared" ref="F6:L6" si="1">SUM(F5)</f>
        <v>0</v>
      </c>
      <c r="G6" s="29">
        <f t="shared" si="1"/>
        <v>0</v>
      </c>
      <c r="H6" s="29">
        <f t="shared" si="1"/>
        <v>0</v>
      </c>
      <c r="I6" s="29">
        <f t="shared" si="1"/>
        <v>100</v>
      </c>
      <c r="J6" s="29">
        <f t="shared" si="1"/>
        <v>0</v>
      </c>
      <c r="K6" s="29">
        <f t="shared" si="1"/>
        <v>0</v>
      </c>
      <c r="L6" s="29">
        <f t="shared" si="1"/>
        <v>100</v>
      </c>
      <c r="M6" s="25">
        <f t="shared" si="2"/>
        <v>0</v>
      </c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5"/>
      <c r="B7" s="28"/>
      <c r="C7" s="28"/>
      <c r="D7" s="28"/>
      <c r="E7" s="28"/>
      <c r="F7" s="36">
        <f>SUM(F6+G6+H6+I6+J6+K6)</f>
        <v>100</v>
      </c>
      <c r="G7" s="2"/>
      <c r="H7" s="2"/>
      <c r="I7" s="2"/>
      <c r="J7" s="3"/>
      <c r="K7" s="37"/>
      <c r="L7" s="34"/>
      <c r="M7" s="25"/>
      <c r="N7" s="3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44799.0</v>
      </c>
      <c r="C5" s="15" t="s">
        <v>94</v>
      </c>
      <c r="D5" s="16">
        <v>68529.0</v>
      </c>
      <c r="E5" s="17" t="s">
        <v>95</v>
      </c>
      <c r="F5" s="18"/>
      <c r="G5" s="19"/>
      <c r="H5" s="38"/>
      <c r="I5" s="21">
        <v>0.0</v>
      </c>
      <c r="J5" s="22"/>
      <c r="K5" s="23"/>
      <c r="L5" s="24">
        <v>9894.85</v>
      </c>
      <c r="M5" s="25">
        <f t="shared" ref="M5:M9" si="1">SUM(F5+G5+H5+I5+J5+K5-L5)</f>
        <v>-9894.85</v>
      </c>
      <c r="N5" s="26" t="s">
        <v>96</v>
      </c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44799.0</v>
      </c>
      <c r="C6" s="15" t="s">
        <v>97</v>
      </c>
      <c r="D6" s="16">
        <v>58257.0</v>
      </c>
      <c r="E6" s="17" t="s">
        <v>98</v>
      </c>
      <c r="F6" s="18"/>
      <c r="G6" s="19"/>
      <c r="H6" s="38"/>
      <c r="I6" s="21">
        <v>0.0</v>
      </c>
      <c r="J6" s="22"/>
      <c r="K6" s="23"/>
      <c r="L6" s="24">
        <v>300.0</v>
      </c>
      <c r="M6" s="25">
        <f t="shared" si="1"/>
        <v>-300</v>
      </c>
      <c r="N6" s="26" t="s">
        <v>99</v>
      </c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44799.0</v>
      </c>
      <c r="C7" s="15" t="s">
        <v>100</v>
      </c>
      <c r="D7" s="16">
        <v>72277.0</v>
      </c>
      <c r="E7" s="17" t="s">
        <v>101</v>
      </c>
      <c r="F7" s="18"/>
      <c r="G7" s="19"/>
      <c r="H7" s="38"/>
      <c r="I7" s="21"/>
      <c r="J7" s="22"/>
      <c r="K7" s="23">
        <v>300.0</v>
      </c>
      <c r="L7" s="24">
        <v>300.0</v>
      </c>
      <c r="M7" s="25">
        <f t="shared" si="1"/>
        <v>0</v>
      </c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44799.0</v>
      </c>
      <c r="C8" s="15" t="s">
        <v>102</v>
      </c>
      <c r="D8" s="16">
        <v>21828.0</v>
      </c>
      <c r="E8" s="17" t="s">
        <v>24</v>
      </c>
      <c r="F8" s="18"/>
      <c r="G8" s="19"/>
      <c r="H8" s="38"/>
      <c r="I8" s="21"/>
      <c r="J8" s="22"/>
      <c r="K8" s="23">
        <v>21059.0</v>
      </c>
      <c r="L8" s="24">
        <v>21059.0</v>
      </c>
      <c r="M8" s="25">
        <f t="shared" si="1"/>
        <v>0</v>
      </c>
      <c r="N8" s="26"/>
      <c r="O8" s="27"/>
      <c r="P8" s="27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7.0</v>
      </c>
      <c r="B9" s="28"/>
      <c r="C9" s="28"/>
      <c r="D9" s="28"/>
      <c r="E9" s="28"/>
      <c r="F9" s="29">
        <f t="shared" ref="F9:H9" si="2">SUM(F5)</f>
        <v>0</v>
      </c>
      <c r="G9" s="29">
        <f t="shared" si="2"/>
        <v>0</v>
      </c>
      <c r="H9" s="29">
        <f t="shared" si="2"/>
        <v>0</v>
      </c>
      <c r="I9" s="29">
        <f>SUM(I5:I8)</f>
        <v>0</v>
      </c>
      <c r="J9" s="29">
        <f>SUM(J5:J7)</f>
        <v>0</v>
      </c>
      <c r="K9" s="29">
        <f t="shared" ref="K9:L9" si="3">SUM(K5:K8)</f>
        <v>21359</v>
      </c>
      <c r="L9" s="29">
        <f t="shared" si="3"/>
        <v>31553.85</v>
      </c>
      <c r="M9" s="25">
        <f t="shared" si="1"/>
        <v>-10194.85</v>
      </c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35"/>
      <c r="B10" s="28"/>
      <c r="C10" s="28"/>
      <c r="D10" s="28"/>
      <c r="E10" s="28"/>
      <c r="F10" s="36">
        <f>SUM(F9+G9+H9+I9+J9+K9)</f>
        <v>21359</v>
      </c>
      <c r="G10" s="2"/>
      <c r="H10" s="2"/>
      <c r="I10" s="2"/>
      <c r="J10" s="3"/>
      <c r="K10" s="37"/>
      <c r="L10" s="34"/>
      <c r="M10" s="25"/>
      <c r="N10" s="3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44800.0</v>
      </c>
      <c r="C5" s="15" t="s">
        <v>104</v>
      </c>
      <c r="D5" s="16">
        <v>23221.0</v>
      </c>
      <c r="E5" s="17" t="s">
        <v>47</v>
      </c>
      <c r="F5" s="18"/>
      <c r="G5" s="19"/>
      <c r="H5" s="38"/>
      <c r="I5" s="21"/>
      <c r="J5" s="22"/>
      <c r="K5" s="23">
        <v>880.0</v>
      </c>
      <c r="L5" s="24">
        <v>880.0</v>
      </c>
      <c r="M5" s="25">
        <f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5"/>
      <c r="B6" s="28"/>
      <c r="C6" s="28"/>
      <c r="D6" s="28"/>
      <c r="E6" s="28"/>
      <c r="F6" s="36">
        <v>880.0</v>
      </c>
      <c r="G6" s="2"/>
      <c r="H6" s="2"/>
      <c r="I6" s="2"/>
      <c r="J6" s="3"/>
      <c r="K6" s="37"/>
      <c r="L6" s="34"/>
      <c r="M6" s="25"/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6:J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44801.0</v>
      </c>
      <c r="C5" s="15" t="s">
        <v>106</v>
      </c>
      <c r="D5" s="16">
        <v>23221.0</v>
      </c>
      <c r="E5" s="17" t="s">
        <v>47</v>
      </c>
      <c r="F5" s="18"/>
      <c r="G5" s="19"/>
      <c r="H5" s="38"/>
      <c r="I5" s="21"/>
      <c r="J5" s="22"/>
      <c r="K5" s="23">
        <v>1990.0</v>
      </c>
      <c r="L5" s="24">
        <v>1990.0</v>
      </c>
      <c r="M5" s="25">
        <f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5"/>
      <c r="B6" s="28"/>
      <c r="C6" s="28"/>
      <c r="D6" s="28"/>
      <c r="E6" s="28"/>
      <c r="F6" s="36">
        <f>SUM(F5+G5+H5+I5+J5+K5)</f>
        <v>1990</v>
      </c>
      <c r="G6" s="2"/>
      <c r="H6" s="2"/>
      <c r="I6" s="2"/>
      <c r="J6" s="3"/>
      <c r="K6" s="37"/>
      <c r="L6" s="34"/>
      <c r="M6" s="25"/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6:J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44802.0</v>
      </c>
      <c r="C5" s="15" t="s">
        <v>108</v>
      </c>
      <c r="D5" s="16">
        <v>50436.0</v>
      </c>
      <c r="E5" s="17" t="s">
        <v>109</v>
      </c>
      <c r="F5" s="18"/>
      <c r="G5" s="19"/>
      <c r="H5" s="38"/>
      <c r="I5" s="21">
        <v>1250.0</v>
      </c>
      <c r="J5" s="22"/>
      <c r="K5" s="23"/>
      <c r="L5" s="24">
        <v>1250.0</v>
      </c>
      <c r="M5" s="25">
        <f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5"/>
      <c r="B6" s="28"/>
      <c r="C6" s="28"/>
      <c r="D6" s="28"/>
      <c r="E6" s="28"/>
      <c r="F6" s="36">
        <f>SUM(F5+G5+H5+I5+J5+K5)</f>
        <v>1250</v>
      </c>
      <c r="G6" s="2"/>
      <c r="H6" s="2"/>
      <c r="I6" s="2"/>
      <c r="J6" s="3"/>
      <c r="K6" s="37"/>
      <c r="L6" s="34"/>
      <c r="M6" s="25"/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6:J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25"/>
    <col customWidth="1" min="5" max="5" width="58.88"/>
    <col customWidth="1" min="12" max="12" width="14.5"/>
    <col customWidth="1" min="13" max="13" width="18.63"/>
    <col customWidth="1" min="14" max="14" width="23.13"/>
  </cols>
  <sheetData>
    <row r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44804.0</v>
      </c>
      <c r="C5" s="15" t="s">
        <v>111</v>
      </c>
      <c r="D5" s="16">
        <v>21828.0</v>
      </c>
      <c r="E5" s="17" t="s">
        <v>24</v>
      </c>
      <c r="F5" s="18"/>
      <c r="G5" s="19"/>
      <c r="H5" s="38"/>
      <c r="I5" s="21"/>
      <c r="J5" s="22"/>
      <c r="K5" s="23">
        <v>38421.0</v>
      </c>
      <c r="L5" s="24">
        <v>38421.0</v>
      </c>
      <c r="M5" s="25">
        <f t="shared" ref="M5:M6" si="1">SUM(F5+G5+H5+I5+J5+K5-L5)</f>
        <v>0</v>
      </c>
      <c r="N5" s="26"/>
      <c r="O5" s="27"/>
      <c r="P5" s="2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44804.0</v>
      </c>
      <c r="C6" s="15" t="s">
        <v>112</v>
      </c>
      <c r="D6" s="16">
        <v>21384.0</v>
      </c>
      <c r="E6" s="17" t="s">
        <v>113</v>
      </c>
      <c r="F6" s="18"/>
      <c r="G6" s="18">
        <v>9000.0</v>
      </c>
      <c r="H6" s="38"/>
      <c r="I6" s="21"/>
      <c r="J6" s="22"/>
      <c r="K6" s="23"/>
      <c r="L6" s="24">
        <v>9000.0</v>
      </c>
      <c r="M6" s="25">
        <f t="shared" si="1"/>
        <v>0</v>
      </c>
      <c r="N6" s="26"/>
      <c r="O6" s="27"/>
      <c r="P6" s="27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14"/>
      <c r="C7" s="15"/>
      <c r="D7" s="16"/>
      <c r="E7" s="17"/>
      <c r="F7" s="18">
        <f t="shared" ref="F7:L7" si="2">SUM(F5:F6)</f>
        <v>0</v>
      </c>
      <c r="G7" s="18">
        <f t="shared" si="2"/>
        <v>9000</v>
      </c>
      <c r="H7" s="18">
        <f t="shared" si="2"/>
        <v>0</v>
      </c>
      <c r="I7" s="18">
        <f t="shared" si="2"/>
        <v>0</v>
      </c>
      <c r="J7" s="18">
        <f t="shared" si="2"/>
        <v>0</v>
      </c>
      <c r="K7" s="18">
        <f t="shared" si="2"/>
        <v>38421</v>
      </c>
      <c r="L7" s="18">
        <f t="shared" si="2"/>
        <v>47421</v>
      </c>
      <c r="M7" s="25"/>
      <c r="N7" s="26"/>
      <c r="O7" s="27"/>
      <c r="P7" s="27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5"/>
      <c r="B8" s="28"/>
      <c r="C8" s="28"/>
      <c r="D8" s="28"/>
      <c r="E8" s="28"/>
      <c r="F8" s="36">
        <f>SUM(F7+G7+H7+I7+J7+K7)</f>
        <v>47421</v>
      </c>
      <c r="G8" s="2"/>
      <c r="H8" s="2"/>
      <c r="I8" s="2"/>
      <c r="J8" s="3"/>
      <c r="K8" s="37"/>
      <c r="L8" s="34"/>
      <c r="M8" s="25"/>
      <c r="N8" s="3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
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2.11.65 " sheetId="1" r:id="rId4"/>
    <sheet state="visible" name="4.11.65" sheetId="2" r:id="rId5"/>
    <sheet state="visible" name="5.11.65" sheetId="3" r:id="rId6"/>
    <sheet state="visible" name="7.11.65" sheetId="4" r:id="rId7"/>
    <sheet state="visible" name="9.11.65" sheetId="5" r:id="rId8"/>
    <sheet state="visible" name="11.11.65" sheetId="6" r:id="rId9"/>
    <sheet state="visible" name="12.11.65" sheetId="7" r:id="rId10"/>
    <sheet state="visible" name="15.11.65" sheetId="8" r:id="rId11"/>
    <sheet state="visible" name="18.11.65" sheetId="9" r:id="rId12"/>
    <sheet state="visible" name="19.11.65" sheetId="10" r:id="rId13"/>
    <sheet state="visible" name="21.11.65" sheetId="11" r:id="rId14"/>
  </sheets>
  <definedNames/>
  <calcPr/>
</workbook>
</file>

<file path=xl/sharedStrings.xml><?xml version="1.0" encoding="utf-8"?>
<sst xmlns="http://schemas.openxmlformats.org/spreadsheetml/2006/main" count="240" uniqueCount="67">
  <si>
    <t xml:space="preserve">  E-WALLET  30-2 dec 2022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</si>
  <si>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</si>
  <si>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</si>
  <si>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</si>
  <si>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</si>
  <si>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</si>
  <si>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</si>
  <si>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</si>
  <si>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</si>
  <si>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</si>
  <si>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</si>
  <si>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</si>
  <si>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</si>
  <si>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</si>
  <si>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</si>
  <si>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</si>
  <si>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</si>
  <si>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</si>
  <si>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 xml:space="preserve">  E-WALLET  4Nov 2022                                                                                                        </t>
  </si>
  <si>
    <t>ETHBKK012211000007</t>
  </si>
  <si>
    <t>นาย จักรกฤษณ์ ผิวเขียว</t>
  </si>
  <si>
    <t>ETHBKK012211000008</t>
  </si>
  <si>
    <t>นางสาว กัลยรัตน์ ฤทธิ์น้อย</t>
  </si>
  <si>
    <t xml:space="preserve">  E-WALLET  5 Nov 2022                                                                                                        </t>
  </si>
  <si>
    <t>ETHBKK012211000009</t>
  </si>
  <si>
    <t>นาย วิสุทธิ์ จันทร์ประเสริฐ</t>
  </si>
  <si>
    <t xml:space="preserve">  E-WALLET  7 Nov 2022                                                                                                        </t>
  </si>
  <si>
    <t>ETHONLIN2211000004</t>
  </si>
  <si>
    <t>นาย สิรภพ สุดใจ</t>
  </si>
  <si>
    <t xml:space="preserve">  E-WALLET  9 Nov 2022                                                                                                        </t>
  </si>
  <si>
    <t>ETHBKK012211000010</t>
  </si>
  <si>
    <t>นาย ศราวุฒน์ สินธุวรโรจน์</t>
  </si>
  <si>
    <t xml:space="preserve">  E-WALLET  11 Nov 2022                                                                                                        </t>
  </si>
  <si>
    <t>ETHBKK012211000011</t>
  </si>
  <si>
    <t>นาง ราตรี พงษ์เสือ</t>
  </si>
  <si>
    <t>ETHBKK012211000012</t>
  </si>
  <si>
    <t>นาย เจริญ ผลถาวร</t>
  </si>
  <si>
    <t>ETHBKK012211000013</t>
  </si>
  <si>
    <t>นาง บันจง สีนอนิล</t>
  </si>
  <si>
    <t xml:space="preserve">  E-WALLET  12 Nov 2022                                                                                                        </t>
  </si>
  <si>
    <t>Untitled Spreadsheet</t>
  </si>
  <si>
    <t>ETHBKK012211000015</t>
  </si>
  <si>
    <t>นาย ไทคูณ ไพรบึง</t>
  </si>
  <si>
    <t xml:space="preserve">  E-WALLET  15 Nov 2022                                                                                                        </t>
  </si>
  <si>
    <t>ETHBKK012211000016</t>
  </si>
  <si>
    <t>นาย สำรวย แทนสูงเนิน</t>
  </si>
  <si>
    <t>ETHBKK012211000017</t>
  </si>
  <si>
    <t>นาย ทวัชร์ วงษ์ด้วง</t>
  </si>
  <si>
    <t>ETHBKK012211000018</t>
  </si>
  <si>
    <t>นาย พัฒน์รดิศ สุพัฒน์วณิชกร</t>
  </si>
  <si>
    <t>ETHBKK012211000019</t>
  </si>
  <si>
    <t>นางสาว คณาง ไพรบึง</t>
  </si>
  <si>
    <t>ETHBKK012211000020</t>
  </si>
  <si>
    <t xml:space="preserve">  E-WALLET  18 Nov 2022                                                                                                        </t>
  </si>
  <si>
    <t>ETHBKK012211000021</t>
  </si>
  <si>
    <t>นางสาว จำเรียง อินทปัตย์</t>
  </si>
  <si>
    <t xml:space="preserve">  E-WALLET  19 Nov 2022                                                                                                        </t>
  </si>
  <si>
    <t>ETHBKK012211000022</t>
  </si>
  <si>
    <t>นาง ภาวินี มีแสง</t>
  </si>
  <si>
    <t xml:space="preserve">  E-WALLET  21 Nov 2022                                                                                                        </t>
  </si>
  <si>
    <t>ETHBKK012211000023</t>
  </si>
  <si>
    <t>นาย KHAMHOU INTHAVONG</t>
  </si>
  <si>
    <t>ค่าคอมมิชชั่น</t>
  </si>
  <si>
    <t>ETHBKK012211000024</t>
  </si>
  <si>
    <t>นาย SOMBOUN SYHATHEP</t>
  </si>
  <si>
    <t>ETHBKK012211000025</t>
  </si>
  <si>
    <t>นางสาว ดวงจันทร์ แหวนรุ่งมะนี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</si>
</sst>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7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sz val="14.0"/>
      <color theme="1"/>
      <name val="Arial"/>
    </font>
    <font>
      <sz val="18.0"/>
      <color rgb="FFFF0000"/>
      <name val="Calibri"/>
    </font>
    <font>
      <sz val="18.0"/>
      <color rgb="FF4285F4"/>
      <name val="Calibri"/>
    </font>
    <font>
      <b/>
      <sz val="18.0"/>
      <color theme="1"/>
      <name val="Calibri"/>
    </font>
    <font>
      <sz val="14.0"/>
      <color theme="1"/>
      <name val="Arial"/>
      <scheme val="minor"/>
    </font>
    <font>
      <sz val="14.0"/>
      <color rgb="FF000000"/>
      <name val="&quot;Times New Roman&quot;"/>
    </font>
    <font>
      <sz val="18.0"/>
      <color rgb="FF6AA84F"/>
      <name val="Calibri"/>
    </font>
    <font>
      <sz val="18.0"/>
      <color theme="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1" fillId="0" fontId="2" numFmtId="0" xfId="0" applyBorder="1" applyFont="1"/>
    <xf borderId="2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top"/>
    </xf>
    <xf borderId="6" fillId="0" fontId="2" numFmtId="0" xfId="0" applyBorder="1" applyFont="1"/>
    <xf borderId="5" fillId="3" fontId="4" numFmtId="0" xfId="0" applyAlignment="1" applyBorder="1" applyFont="1">
      <alignment horizontal="center" vertical="bottom"/>
    </xf>
    <xf borderId="6" fillId="4" fontId="6" numFmtId="0" xfId="0" applyAlignment="1" applyBorder="1" applyFill="1" applyFont="1">
      <alignment horizontal="center" vertical="bottom"/>
    </xf>
    <xf borderId="5" fillId="0" fontId="7" numFmtId="165" xfId="0" applyAlignment="1" applyBorder="1" applyFont="1" applyNumberFormat="1">
      <alignment horizontal="right" readingOrder="0" vertical="bottom"/>
    </xf>
    <xf borderId="5" fillId="0" fontId="7" numFmtId="4" xfId="0" applyAlignment="1" applyBorder="1" applyFont="1" applyNumberFormat="1">
      <alignment readingOrder="0" vertical="bottom"/>
    </xf>
    <xf borderId="5" fillId="0" fontId="7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readingOrder="0" vertical="bottom"/>
    </xf>
    <xf borderId="5" fillId="4" fontId="3" numFmtId="38" xfId="0" applyAlignment="1" applyBorder="1" applyFont="1" applyNumberFormat="1">
      <alignment vertical="bottom"/>
    </xf>
    <xf borderId="5" fillId="4" fontId="8" numFmtId="38" xfId="0" applyAlignment="1" applyBorder="1" applyFont="1" applyNumberFormat="1">
      <alignment horizontal="right" readingOrder="0" vertical="bottom"/>
    </xf>
    <xf borderId="5" fillId="4" fontId="9" numFmtId="38" xfId="0" applyAlignment="1" applyBorder="1" applyFont="1" applyNumberFormat="1">
      <alignment readingOrder="0" vertical="bottom"/>
    </xf>
    <xf borderId="5" fillId="0" fontId="3" numFmtId="38" xfId="0" applyAlignment="1" applyBorder="1" applyFont="1" applyNumberFormat="1">
      <alignment vertical="bottom"/>
    </xf>
    <xf borderId="5" fillId="0" fontId="8" numFmtId="38" xfId="0" applyAlignment="1" applyBorder="1" applyFont="1" applyNumberFormat="1">
      <alignment horizontal="right" readingOrder="0" vertical="bottom"/>
    </xf>
    <xf borderId="5" fillId="0" fontId="10" numFmtId="38" xfId="0" applyAlignment="1" applyBorder="1" applyFont="1" applyNumberFormat="1">
      <alignment horizontal="right" vertical="bottom"/>
    </xf>
    <xf borderId="0" fillId="4" fontId="3" numFmtId="0" xfId="0" applyAlignment="1" applyFont="1">
      <alignment vertical="bottom"/>
    </xf>
    <xf borderId="5" fillId="0" fontId="3" numFmtId="38" xfId="0" applyAlignment="1" applyBorder="1" applyFont="1" applyNumberFormat="1">
      <alignment readingOrder="0" vertical="bottom"/>
    </xf>
    <xf borderId="5" fillId="0" fontId="3" numFmtId="0" xfId="0" applyAlignment="1" applyBorder="1" applyFont="1">
      <alignment vertical="bottom"/>
    </xf>
    <xf borderId="5" fillId="0" fontId="11" numFmtId="166" xfId="0" applyAlignment="1" applyBorder="1" applyFont="1" applyNumberFormat="1">
      <alignment horizontal="center" vertical="bottom"/>
    </xf>
    <xf borderId="5" fillId="0" fontId="8" numFmtId="166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" fillId="4" fontId="12" numFmtId="166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readingOrder="0" vertical="bottom"/>
    </xf>
    <xf borderId="6" fillId="4" fontId="6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readingOrder="0"/>
    </xf>
    <xf borderId="7" fillId="0" fontId="6" numFmtId="4" xfId="0" applyAlignment="1" applyBorder="1" applyFont="1" applyNumberFormat="1">
      <alignment readingOrder="0" vertical="bottom"/>
    </xf>
    <xf borderId="7" fillId="0" fontId="6" numFmtId="0" xfId="0" applyAlignment="1" applyBorder="1" applyFont="1">
      <alignment horizontal="right" readingOrder="0" vertical="bottom"/>
    </xf>
    <xf borderId="7" fillId="0" fontId="6" numFmtId="0" xfId="0" applyAlignment="1" applyBorder="1" applyFont="1">
      <alignment readingOrder="0" vertical="bottom"/>
    </xf>
    <xf borderId="7" fillId="0" fontId="14" numFmtId="165" xfId="0" applyAlignment="1" applyBorder="1" applyFont="1" applyNumberFormat="1">
      <alignment readingOrder="0" shrinkToFit="0" vertical="bottom" wrapText="0"/>
    </xf>
    <xf borderId="7" fillId="0" fontId="14" numFmtId="4" xfId="0" applyAlignment="1" applyBorder="1" applyFont="1" applyNumberFormat="1">
      <alignment readingOrder="0" shrinkToFit="0" vertical="bottom" wrapText="0"/>
    </xf>
    <xf borderId="7" fillId="0" fontId="14" numFmtId="0" xfId="0" applyAlignment="1" applyBorder="1" applyFont="1">
      <alignment readingOrder="0" shrinkToFit="0" vertical="bottom" wrapText="0"/>
    </xf>
    <xf borderId="5" fillId="0" fontId="14" numFmtId="165" xfId="0" applyAlignment="1" applyBorder="1" applyFont="1" applyNumberFormat="1">
      <alignment readingOrder="0" shrinkToFit="0" vertical="bottom" wrapText="0"/>
    </xf>
    <xf borderId="5" fillId="4" fontId="10" numFmtId="38" xfId="0" applyAlignment="1" applyBorder="1" applyFont="1" applyNumberFormat="1">
      <alignment vertical="bottom"/>
    </xf>
    <xf borderId="5" fillId="4" fontId="8" numFmtId="38" xfId="0" applyAlignment="1" applyBorder="1" applyFont="1" applyNumberFormat="1">
      <alignment vertical="bottom"/>
    </xf>
    <xf borderId="5" fillId="4" fontId="15" numFmtId="38" xfId="0" applyAlignment="1" applyBorder="1" applyFont="1" applyNumberFormat="1">
      <alignment horizontal="right" readingOrder="0" vertical="bottom"/>
    </xf>
    <xf borderId="5" fillId="4" fontId="8" numFmtId="38" xfId="0" applyAlignment="1" applyBorder="1" applyFont="1" applyNumberFormat="1">
      <alignment readingOrder="0" vertical="bottom"/>
    </xf>
    <xf borderId="5" fillId="0" fontId="16" numFmtId="38" xfId="0" applyAlignment="1" applyBorder="1" applyFont="1" applyNumberFormat="1">
      <alignment readingOrder="0" vertical="bottom"/>
    </xf>
    <xf borderId="5" fillId="4" fontId="10" numFmtId="38" xfId="0" applyAlignment="1" applyBorder="1" applyFont="1" applyNumberFormat="1">
      <alignment readingOrder="0" vertical="bottom"/>
    </xf>
    <xf borderId="5" fillId="0" fontId="16" numFmtId="38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5" fillId="0" fontId="10" numFmtId="166" xfId="0" applyAlignment="1" applyBorder="1" applyFont="1" applyNumberFormat="1">
      <alignment horizontal="center" vertical="bottom"/>
    </xf>
    <xf borderId="5" fillId="0" fontId="15" numFmtId="166" xfId="0" applyAlignment="1" applyBorder="1" applyFont="1" applyNumberFormat="1">
      <alignment horizontal="center" vertical="bottom"/>
    </xf>
    <xf borderId="5" fillId="0" fontId="16" numFmtId="166" xfId="0" applyAlignment="1" applyBorder="1" applyFont="1" applyNumberFormat="1">
      <alignment horizontal="center" vertical="bottom"/>
    </xf>
    <xf borderId="5" fillId="0" fontId="6" numFmtId="4" xfId="0" applyAlignment="1" applyBorder="1" applyFont="1" applyNumberFormat="1">
      <alignment readingOrder="0" vertical="bottom"/>
    </xf>
    <xf borderId="5" fillId="0" fontId="6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readingOrder="0" vertical="bottom"/>
    </xf>
    <xf borderId="5" fillId="0" fontId="15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/>
      <c r="C5" s="17"/>
      <c r="D5" s="18"/>
      <c r="E5" s="19"/>
      <c r="F5" s="20"/>
      <c r="G5" s="20"/>
      <c r="H5" s="20"/>
      <c r="I5" s="21"/>
      <c r="J5" s="22"/>
      <c r="K5" s="23"/>
      <c r="L5" s="24"/>
      <c r="M5" s="25">
        <f t="shared" ref="M5:M11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/>
      <c r="C6" s="17"/>
      <c r="D6" s="18"/>
      <c r="E6" s="19"/>
      <c r="F6" s="20"/>
      <c r="G6" s="20"/>
      <c r="H6" s="20"/>
      <c r="I6" s="21"/>
      <c r="J6" s="20"/>
      <c r="K6" s="23"/>
      <c r="L6" s="24"/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/>
      <c r="C7" s="17"/>
      <c r="D7" s="18"/>
      <c r="E7" s="19"/>
      <c r="F7" s="20"/>
      <c r="G7" s="20"/>
      <c r="H7" s="20"/>
      <c r="I7" s="21"/>
      <c r="J7" s="20"/>
      <c r="K7" s="23"/>
      <c r="L7" s="24"/>
      <c r="M7" s="25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>
        <v>4.0</v>
      </c>
      <c r="B8" s="16"/>
      <c r="C8" s="17"/>
      <c r="D8" s="18"/>
      <c r="E8" s="19"/>
      <c r="F8" s="20"/>
      <c r="G8" s="20"/>
      <c r="H8" s="20"/>
      <c r="I8" s="21"/>
      <c r="J8" s="20"/>
      <c r="K8" s="23"/>
      <c r="L8" s="24"/>
      <c r="M8" s="25">
        <f t="shared" si="1"/>
        <v>0</v>
      </c>
      <c r="N8" s="27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16"/>
      <c r="C9" s="17"/>
      <c r="D9" s="18"/>
      <c r="E9" s="19"/>
      <c r="F9" s="20"/>
      <c r="G9" s="20"/>
      <c r="H9" s="20"/>
      <c r="I9" s="21"/>
      <c r="J9" s="20"/>
      <c r="K9" s="23"/>
      <c r="L9" s="24"/>
      <c r="M9" s="25">
        <f t="shared" si="1"/>
        <v>0</v>
      </c>
      <c r="N9" s="27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>
        <v>6.0</v>
      </c>
      <c r="B10" s="16"/>
      <c r="C10" s="17"/>
      <c r="D10" s="18"/>
      <c r="E10" s="19"/>
      <c r="F10" s="20"/>
      <c r="G10" s="20"/>
      <c r="H10" s="20"/>
      <c r="I10" s="21"/>
      <c r="J10" s="20"/>
      <c r="K10" s="23"/>
      <c r="L10" s="24"/>
      <c r="M10" s="25">
        <f t="shared" si="1"/>
        <v>0</v>
      </c>
      <c r="N10" s="27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/>
      <c r="B11" s="28"/>
      <c r="C11" s="28"/>
      <c r="D11" s="28"/>
      <c r="E11" s="28"/>
      <c r="F11" s="29"/>
      <c r="G11" s="29"/>
      <c r="H11" s="29"/>
      <c r="I11" s="29"/>
      <c r="J11" s="29">
        <f>SUM(J5:J10)</f>
        <v>0</v>
      </c>
      <c r="K11" s="29"/>
      <c r="L11" s="30"/>
      <c r="M11" s="25">
        <f t="shared" si="1"/>
        <v>0</v>
      </c>
      <c r="N11" s="31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32"/>
      <c r="B12" s="28"/>
      <c r="C12" s="28"/>
      <c r="D12" s="28"/>
      <c r="E12" s="28"/>
      <c r="F12" s="33">
        <v>200.0</v>
      </c>
      <c r="G12" s="2"/>
      <c r="H12" s="2"/>
      <c r="I12" s="2"/>
      <c r="J12" s="8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44869.0</v>
      </c>
      <c r="C5" s="17" t="s">
        <v>19</v>
      </c>
      <c r="D5" s="18">
        <v>69620.0</v>
      </c>
      <c r="E5" s="19" t="s">
        <v>20</v>
      </c>
      <c r="F5" s="20"/>
      <c r="G5" s="20"/>
      <c r="H5" s="20"/>
      <c r="I5" s="21"/>
      <c r="J5" s="22">
        <v>17305.0</v>
      </c>
      <c r="K5" s="23"/>
      <c r="L5" s="24">
        <v>17305.0</v>
      </c>
      <c r="M5" s="25">
        <f t="shared" ref="M5:M7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>
        <v>2.0</v>
      </c>
      <c r="B6" s="16">
        <v>44869.0</v>
      </c>
      <c r="C6" s="17" t="s">
        <v>21</v>
      </c>
      <c r="D6" s="18">
        <v>66932.0</v>
      </c>
      <c r="E6" s="19" t="s">
        <v>22</v>
      </c>
      <c r="F6" s="20"/>
      <c r="G6" s="20"/>
      <c r="H6" s="20"/>
      <c r="I6" s="21">
        <v>180.0</v>
      </c>
      <c r="J6" s="20"/>
      <c r="K6" s="23"/>
      <c r="L6" s="24">
        <v>180.0</v>
      </c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/>
      <c r="G7" s="29"/>
      <c r="H7" s="29"/>
      <c r="I7" s="29">
        <f t="shared" ref="I7:J7" si="2">SUM(I5:I6)</f>
        <v>180</v>
      </c>
      <c r="J7" s="29">
        <f t="shared" si="2"/>
        <v>17305</v>
      </c>
      <c r="K7" s="29"/>
      <c r="L7" s="30">
        <f>SUM(L5:L6)</f>
        <v>17485</v>
      </c>
      <c r="M7" s="25">
        <f t="shared" si="1"/>
        <v>0</v>
      </c>
      <c r="N7" s="31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32"/>
      <c r="B8" s="28"/>
      <c r="C8" s="28"/>
      <c r="D8" s="28"/>
      <c r="E8" s="28"/>
      <c r="F8" s="33">
        <f>SUM(F7+G7+H7+I7+J7+K7)</f>
        <v>17485</v>
      </c>
      <c r="G8" s="2"/>
      <c r="H8" s="2"/>
      <c r="I8" s="2"/>
      <c r="J8" s="8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44870.0</v>
      </c>
      <c r="C5" s="17" t="s">
        <v>24</v>
      </c>
      <c r="D5" s="18">
        <v>14343.0</v>
      </c>
      <c r="E5" s="19" t="s">
        <v>25</v>
      </c>
      <c r="F5" s="20"/>
      <c r="G5" s="20"/>
      <c r="H5" s="20"/>
      <c r="I5" s="21">
        <v>20.0</v>
      </c>
      <c r="J5" s="22"/>
      <c r="K5" s="23"/>
      <c r="L5" s="24">
        <v>20.0</v>
      </c>
      <c r="M5" s="25">
        <f t="shared" ref="M5:M7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/>
      <c r="B6" s="16"/>
      <c r="C6" s="17"/>
      <c r="D6" s="18"/>
      <c r="E6" s="19"/>
      <c r="F6" s="20"/>
      <c r="G6" s="20"/>
      <c r="H6" s="20"/>
      <c r="I6" s="21"/>
      <c r="J6" s="20"/>
      <c r="K6" s="23"/>
      <c r="L6" s="24"/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/>
      <c r="G7" s="29"/>
      <c r="H7" s="29"/>
      <c r="I7" s="29">
        <f t="shared" ref="I7:J7" si="2">SUM(I5:I6)</f>
        <v>20</v>
      </c>
      <c r="J7" s="29">
        <f t="shared" si="2"/>
        <v>0</v>
      </c>
      <c r="K7" s="29"/>
      <c r="L7" s="30">
        <f>SUM(L5:L6)</f>
        <v>20</v>
      </c>
      <c r="M7" s="25">
        <f t="shared" si="1"/>
        <v>0</v>
      </c>
      <c r="N7" s="31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32"/>
      <c r="B8" s="28"/>
      <c r="C8" s="28"/>
      <c r="D8" s="28"/>
      <c r="E8" s="28"/>
      <c r="F8" s="33">
        <f>SUM(F7+G7+H7+I7+J7+K7)</f>
        <v>20</v>
      </c>
      <c r="G8" s="2"/>
      <c r="H8" s="2"/>
      <c r="I8" s="2"/>
      <c r="J8" s="8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44872.0</v>
      </c>
      <c r="C5" s="17" t="s">
        <v>27</v>
      </c>
      <c r="D5" s="18">
        <v>48577.0</v>
      </c>
      <c r="E5" s="19" t="s">
        <v>28</v>
      </c>
      <c r="F5" s="20"/>
      <c r="G5" s="20"/>
      <c r="H5" s="20"/>
      <c r="I5" s="21"/>
      <c r="J5" s="22"/>
      <c r="K5" s="27">
        <v>90.0</v>
      </c>
      <c r="L5" s="24">
        <v>90.0</v>
      </c>
      <c r="M5" s="25">
        <f t="shared" ref="M5:M7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/>
      <c r="B6" s="16"/>
      <c r="C6" s="17"/>
      <c r="D6" s="18"/>
      <c r="E6" s="19"/>
      <c r="F6" s="20"/>
      <c r="G6" s="20"/>
      <c r="H6" s="20"/>
      <c r="I6" s="21"/>
      <c r="J6" s="20"/>
      <c r="K6" s="23"/>
      <c r="L6" s="24"/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/>
      <c r="G7" s="29"/>
      <c r="H7" s="29"/>
      <c r="I7" s="29">
        <f t="shared" ref="I7:L7" si="2">SUM(I5:I6)</f>
        <v>0</v>
      </c>
      <c r="J7" s="29">
        <f t="shared" si="2"/>
        <v>0</v>
      </c>
      <c r="K7" s="29">
        <f t="shared" si="2"/>
        <v>90</v>
      </c>
      <c r="L7" s="30">
        <f t="shared" si="2"/>
        <v>90</v>
      </c>
      <c r="M7" s="25">
        <f t="shared" si="1"/>
        <v>0</v>
      </c>
      <c r="N7" s="31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32"/>
      <c r="B8" s="28"/>
      <c r="C8" s="28"/>
      <c r="D8" s="28"/>
      <c r="E8" s="28"/>
      <c r="F8" s="33">
        <f>SUM(F7+G7+H7+I7+J7+K7)</f>
        <v>90</v>
      </c>
      <c r="G8" s="2"/>
      <c r="H8" s="2"/>
      <c r="I8" s="2"/>
      <c r="J8" s="8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44874.0</v>
      </c>
      <c r="C5" s="17" t="s">
        <v>30</v>
      </c>
      <c r="D5" s="34">
        <v>49194.0</v>
      </c>
      <c r="E5" s="35" t="s">
        <v>31</v>
      </c>
      <c r="F5" s="20"/>
      <c r="G5" s="20"/>
      <c r="H5" s="20"/>
      <c r="I5" s="21">
        <v>503.0</v>
      </c>
      <c r="J5" s="22"/>
      <c r="K5" s="27"/>
      <c r="L5" s="24">
        <v>503.0</v>
      </c>
      <c r="M5" s="25">
        <f t="shared" ref="M5:M7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5"/>
      <c r="B6" s="16"/>
      <c r="C6" s="17"/>
      <c r="D6" s="18"/>
      <c r="E6" s="19"/>
      <c r="F6" s="20"/>
      <c r="G6" s="20"/>
      <c r="H6" s="20"/>
      <c r="I6" s="21"/>
      <c r="J6" s="20"/>
      <c r="K6" s="23"/>
      <c r="L6" s="24"/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/>
      <c r="B7" s="28"/>
      <c r="C7" s="28"/>
      <c r="D7" s="28"/>
      <c r="E7" s="28"/>
      <c r="F7" s="29"/>
      <c r="G7" s="29"/>
      <c r="H7" s="29"/>
      <c r="I7" s="29">
        <f t="shared" ref="I7:L7" si="2">SUM(I5:I6)</f>
        <v>503</v>
      </c>
      <c r="J7" s="29">
        <f t="shared" si="2"/>
        <v>0</v>
      </c>
      <c r="K7" s="29">
        <f t="shared" si="2"/>
        <v>0</v>
      </c>
      <c r="L7" s="30">
        <f t="shared" si="2"/>
        <v>503</v>
      </c>
      <c r="M7" s="25">
        <f t="shared" si="1"/>
        <v>0</v>
      </c>
      <c r="N7" s="31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32"/>
      <c r="B8" s="28"/>
      <c r="C8" s="28"/>
      <c r="D8" s="28"/>
      <c r="E8" s="28"/>
      <c r="F8" s="33">
        <f>SUM(F7+G7+H7+I7+J7+K7)</f>
        <v>503</v>
      </c>
      <c r="G8" s="2"/>
      <c r="H8" s="2"/>
      <c r="I8" s="2"/>
      <c r="J8" s="8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>
        <v>44876.0</v>
      </c>
      <c r="C5" s="17" t="s">
        <v>33</v>
      </c>
      <c r="D5" s="34">
        <v>73691.0</v>
      </c>
      <c r="E5" s="35" t="s">
        <v>34</v>
      </c>
      <c r="F5" s="20"/>
      <c r="G5" s="20"/>
      <c r="H5" s="20"/>
      <c r="I5" s="21"/>
      <c r="J5" s="22">
        <v>300.0</v>
      </c>
      <c r="K5" s="27"/>
      <c r="L5" s="24">
        <v>300.0</v>
      </c>
      <c r="M5" s="25">
        <f t="shared" ref="M5:M7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6">
        <v>2.0</v>
      </c>
      <c r="B6" s="16">
        <v>44876.0</v>
      </c>
      <c r="C6" s="17" t="s">
        <v>35</v>
      </c>
      <c r="D6" s="18">
        <v>50537.0</v>
      </c>
      <c r="E6" s="19" t="s">
        <v>36</v>
      </c>
      <c r="F6" s="22">
        <v>205.0</v>
      </c>
      <c r="G6" s="20"/>
      <c r="H6" s="20"/>
      <c r="I6" s="21"/>
      <c r="J6" s="20"/>
      <c r="K6" s="23"/>
      <c r="L6" s="24">
        <v>205.0</v>
      </c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6">
        <v>3.0</v>
      </c>
      <c r="B7" s="16">
        <v>44876.0</v>
      </c>
      <c r="C7" s="17" t="s">
        <v>37</v>
      </c>
      <c r="D7" s="18">
        <v>74204.0</v>
      </c>
      <c r="E7" s="19" t="s">
        <v>38</v>
      </c>
      <c r="F7" s="20"/>
      <c r="G7" s="20"/>
      <c r="H7" s="20"/>
      <c r="I7" s="21">
        <v>200.0</v>
      </c>
      <c r="J7" s="20"/>
      <c r="K7" s="23"/>
      <c r="L7" s="24">
        <v>200.0</v>
      </c>
      <c r="M7" s="25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6"/>
      <c r="B8" s="16"/>
      <c r="C8" s="17"/>
      <c r="D8" s="18"/>
      <c r="E8" s="19"/>
      <c r="F8" s="20"/>
      <c r="G8" s="20"/>
      <c r="H8" s="20"/>
      <c r="I8" s="21"/>
      <c r="J8" s="20"/>
      <c r="K8" s="23"/>
      <c r="L8" s="24"/>
      <c r="M8" s="25"/>
      <c r="N8" s="27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/>
      <c r="B9" s="28"/>
      <c r="C9" s="28"/>
      <c r="D9" s="28"/>
      <c r="E9" s="28"/>
      <c r="F9" s="29">
        <f>SUM(F5:F8)</f>
        <v>205</v>
      </c>
      <c r="G9" s="29"/>
      <c r="H9" s="29"/>
      <c r="I9" s="29">
        <f>SUM(I5:I8)</f>
        <v>200</v>
      </c>
      <c r="J9" s="29">
        <f t="shared" ref="J9:K9" si="2">SUM(J5:J6)</f>
        <v>300</v>
      </c>
      <c r="K9" s="29">
        <f t="shared" si="2"/>
        <v>0</v>
      </c>
      <c r="L9" s="30">
        <f>SUM(L3:L8)</f>
        <v>705</v>
      </c>
      <c r="M9" s="25">
        <f>SUM(M5:M8)</f>
        <v>0</v>
      </c>
      <c r="N9" s="31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32"/>
      <c r="B10" s="28"/>
      <c r="C10" s="28"/>
      <c r="D10" s="28"/>
      <c r="E10" s="28"/>
      <c r="F10" s="33">
        <f>SUM(F9+G9+H9+I9+J9+K9)</f>
        <v>705</v>
      </c>
      <c r="G10" s="2"/>
      <c r="H10" s="2"/>
      <c r="I10" s="2"/>
      <c r="J10" s="8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37" t="s">
        <v>40</v>
      </c>
      <c r="C5" s="38"/>
      <c r="D5" s="39"/>
      <c r="E5" s="40"/>
      <c r="F5" s="20"/>
      <c r="G5" s="20"/>
      <c r="H5" s="20"/>
      <c r="I5" s="21"/>
      <c r="J5" s="22"/>
      <c r="K5" s="27"/>
      <c r="L5" s="24"/>
      <c r="M5" s="25">
        <f t="shared" ref="M5:M7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6">
        <v>2.0</v>
      </c>
      <c r="B6" s="41">
        <v>44877.0</v>
      </c>
      <c r="C6" s="42" t="s">
        <v>41</v>
      </c>
      <c r="D6" s="43">
        <v>24368.0</v>
      </c>
      <c r="E6" s="43" t="s">
        <v>42</v>
      </c>
      <c r="F6" s="22"/>
      <c r="G6" s="20"/>
      <c r="H6" s="20"/>
      <c r="I6" s="21">
        <v>150.0</v>
      </c>
      <c r="J6" s="20"/>
      <c r="K6" s="23"/>
      <c r="L6" s="24">
        <v>150.0</v>
      </c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6">
        <v>3.0</v>
      </c>
      <c r="B7" s="16"/>
      <c r="C7" s="17"/>
      <c r="D7" s="18"/>
      <c r="E7" s="19"/>
      <c r="F7" s="20"/>
      <c r="G7" s="20"/>
      <c r="H7" s="20"/>
      <c r="I7" s="21"/>
      <c r="J7" s="20"/>
      <c r="K7" s="23"/>
      <c r="L7" s="24"/>
      <c r="M7" s="25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6"/>
      <c r="B8" s="16"/>
      <c r="C8" s="17"/>
      <c r="D8" s="18"/>
      <c r="E8" s="19"/>
      <c r="F8" s="20"/>
      <c r="G8" s="20"/>
      <c r="H8" s="20"/>
      <c r="I8" s="21"/>
      <c r="J8" s="20"/>
      <c r="K8" s="23"/>
      <c r="L8" s="24"/>
      <c r="M8" s="25"/>
      <c r="N8" s="27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/>
      <c r="B9" s="28"/>
      <c r="C9" s="28"/>
      <c r="D9" s="28"/>
      <c r="E9" s="28"/>
      <c r="F9" s="29">
        <f>SUM(F5:F8)</f>
        <v>0</v>
      </c>
      <c r="G9" s="29"/>
      <c r="H9" s="29"/>
      <c r="I9" s="29">
        <f>SUM(I5:I8)</f>
        <v>150</v>
      </c>
      <c r="J9" s="29">
        <f t="shared" ref="J9:K9" si="2">SUM(J5:J6)</f>
        <v>0</v>
      </c>
      <c r="K9" s="29">
        <f t="shared" si="2"/>
        <v>0</v>
      </c>
      <c r="L9" s="30">
        <f>SUM(L3:L8)</f>
        <v>150</v>
      </c>
      <c r="M9" s="25">
        <f>SUM(M5:M8)</f>
        <v>0</v>
      </c>
      <c r="N9" s="31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32"/>
      <c r="B10" s="28"/>
      <c r="C10" s="28"/>
      <c r="D10" s="28"/>
      <c r="E10" s="28"/>
      <c r="F10" s="33">
        <f>SUM(F9+G9+H9+I9+J9+K9)</f>
        <v>150</v>
      </c>
      <c r="G10" s="2"/>
      <c r="H10" s="2"/>
      <c r="I10" s="2"/>
      <c r="J10" s="8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44">
        <v>44880.0</v>
      </c>
      <c r="C5" s="38" t="s">
        <v>44</v>
      </c>
      <c r="D5" s="39">
        <v>52345.0</v>
      </c>
      <c r="E5" s="40" t="s">
        <v>45</v>
      </c>
      <c r="F5" s="45"/>
      <c r="G5" s="46"/>
      <c r="H5" s="46"/>
      <c r="I5" s="47">
        <v>1470.0</v>
      </c>
      <c r="J5" s="48"/>
      <c r="K5" s="49"/>
      <c r="L5" s="24">
        <v>1470.0</v>
      </c>
      <c r="M5" s="25">
        <f t="shared" ref="M5:M10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6">
        <v>2.0</v>
      </c>
      <c r="B6" s="41">
        <v>44880.0</v>
      </c>
      <c r="C6" s="42" t="s">
        <v>46</v>
      </c>
      <c r="D6" s="43">
        <v>62407.0</v>
      </c>
      <c r="E6" s="43" t="s">
        <v>47</v>
      </c>
      <c r="F6" s="50"/>
      <c r="G6" s="46"/>
      <c r="H6" s="46"/>
      <c r="I6" s="47">
        <v>2109.0</v>
      </c>
      <c r="J6" s="46"/>
      <c r="K6" s="51"/>
      <c r="L6" s="24">
        <v>2109.0</v>
      </c>
      <c r="M6" s="25">
        <f t="shared" si="1"/>
        <v>0</v>
      </c>
      <c r="N6" s="27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44">
        <v>44880.0</v>
      </c>
      <c r="C7" s="52" t="s">
        <v>48</v>
      </c>
      <c r="D7" s="53">
        <v>10002.0</v>
      </c>
      <c r="E7" s="53" t="s">
        <v>49</v>
      </c>
      <c r="F7" s="50"/>
      <c r="G7" s="46"/>
      <c r="H7" s="46"/>
      <c r="I7" s="47"/>
      <c r="J7" s="46"/>
      <c r="K7" s="49">
        <v>200.0</v>
      </c>
      <c r="L7" s="24">
        <v>200.0</v>
      </c>
      <c r="M7" s="25">
        <f t="shared" si="1"/>
        <v>0</v>
      </c>
      <c r="N7" s="27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6">
        <v>4.0</v>
      </c>
      <c r="B8" s="44">
        <v>44880.0</v>
      </c>
      <c r="C8" s="52" t="s">
        <v>50</v>
      </c>
      <c r="D8" s="53">
        <v>22332.0</v>
      </c>
      <c r="E8" s="53" t="s">
        <v>51</v>
      </c>
      <c r="F8" s="50"/>
      <c r="G8" s="46"/>
      <c r="H8" s="46"/>
      <c r="I8" s="47">
        <v>430.0</v>
      </c>
      <c r="J8" s="46"/>
      <c r="K8" s="51"/>
      <c r="L8" s="24">
        <v>430.0</v>
      </c>
      <c r="M8" s="25">
        <f t="shared" si="1"/>
        <v>0</v>
      </c>
      <c r="N8" s="27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44">
        <v>44880.0</v>
      </c>
      <c r="C9" s="52" t="s">
        <v>52</v>
      </c>
      <c r="D9" s="53">
        <v>24368.0</v>
      </c>
      <c r="E9" s="53" t="s">
        <v>42</v>
      </c>
      <c r="F9" s="50">
        <v>10.0</v>
      </c>
      <c r="G9" s="46"/>
      <c r="H9" s="46"/>
      <c r="I9" s="47"/>
      <c r="J9" s="46"/>
      <c r="K9" s="51"/>
      <c r="L9" s="24">
        <v>10.0</v>
      </c>
      <c r="M9" s="25">
        <f t="shared" si="1"/>
        <v>0</v>
      </c>
      <c r="N9" s="27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6"/>
      <c r="B10" s="28"/>
      <c r="C10" s="28"/>
      <c r="D10" s="28"/>
      <c r="E10" s="28"/>
      <c r="F10" s="54">
        <f>SUM(F5:F9)</f>
        <v>10</v>
      </c>
      <c r="G10" s="29"/>
      <c r="H10" s="29"/>
      <c r="I10" s="55">
        <f>SUM(I5:I9)</f>
        <v>4009</v>
      </c>
      <c r="J10" s="29">
        <f>SUM(J5:J6)</f>
        <v>0</v>
      </c>
      <c r="K10" s="56">
        <f>SUM(K5:K9)</f>
        <v>200</v>
      </c>
      <c r="L10" s="30">
        <f>SUM(L3:L9)</f>
        <v>4219</v>
      </c>
      <c r="M10" s="25">
        <f t="shared" si="1"/>
        <v>0</v>
      </c>
      <c r="N10" s="31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32"/>
      <c r="B11" s="28"/>
      <c r="C11" s="28"/>
      <c r="D11" s="28"/>
      <c r="E11" s="28"/>
      <c r="F11" s="33">
        <f>SUM(F10+G10+H10+I10+J10+K10)</f>
        <v>4219</v>
      </c>
      <c r="G11" s="2"/>
      <c r="H11" s="2"/>
      <c r="I11" s="2"/>
      <c r="J11" s="8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44">
        <v>44883.0</v>
      </c>
      <c r="C5" s="38" t="s">
        <v>54</v>
      </c>
      <c r="D5" s="39">
        <v>54211.0</v>
      </c>
      <c r="E5" s="40" t="s">
        <v>55</v>
      </c>
      <c r="F5" s="45"/>
      <c r="G5" s="46"/>
      <c r="H5" s="46"/>
      <c r="I5" s="47">
        <v>2000.0</v>
      </c>
      <c r="J5" s="48"/>
      <c r="K5" s="49"/>
      <c r="L5" s="24">
        <v>2000.0</v>
      </c>
      <c r="M5" s="25">
        <f t="shared" ref="M5:M6" si="2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6"/>
      <c r="B6" s="28"/>
      <c r="C6" s="28"/>
      <c r="D6" s="28"/>
      <c r="E6" s="28"/>
      <c r="F6" s="54">
        <f>SUM(F5)</f>
        <v>0</v>
      </c>
      <c r="G6" s="29"/>
      <c r="H6" s="29"/>
      <c r="I6" s="55">
        <f t="shared" ref="I6:K6" si="1">SUM(I5)</f>
        <v>2000</v>
      </c>
      <c r="J6" s="29">
        <f t="shared" si="1"/>
        <v>0</v>
      </c>
      <c r="K6" s="56">
        <f t="shared" si="1"/>
        <v>0</v>
      </c>
      <c r="L6" s="30">
        <f>SUM(L3:L5)</f>
        <v>2000</v>
      </c>
      <c r="M6" s="25">
        <f t="shared" si="2"/>
        <v>0</v>
      </c>
      <c r="N6" s="31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32"/>
      <c r="B7" s="28"/>
      <c r="C7" s="28"/>
      <c r="D7" s="28"/>
      <c r="E7" s="28"/>
      <c r="F7" s="33">
        <f>SUM(F6+G6+H6+I6+J6+K6)</f>
        <v>2000</v>
      </c>
      <c r="G7" s="2"/>
      <c r="H7" s="2"/>
      <c r="I7" s="2"/>
      <c r="J7" s="8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</cols>
  <sheetData>
    <row r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44">
        <v>44884.0</v>
      </c>
      <c r="C5" s="38" t="s">
        <v>57</v>
      </c>
      <c r="D5" s="39">
        <v>72299.0</v>
      </c>
      <c r="E5" s="40" t="s">
        <v>58</v>
      </c>
      <c r="F5" s="45"/>
      <c r="G5" s="46"/>
      <c r="H5" s="46"/>
      <c r="I5" s="47"/>
      <c r="J5" s="48">
        <v>145.0</v>
      </c>
      <c r="K5" s="49"/>
      <c r="L5" s="24">
        <v>145.0</v>
      </c>
      <c r="M5" s="25">
        <f t="shared" ref="M5:M6" si="2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6"/>
      <c r="B6" s="28"/>
      <c r="C6" s="28"/>
      <c r="D6" s="28"/>
      <c r="E6" s="28"/>
      <c r="F6" s="54">
        <f>SUM(F5)</f>
        <v>0</v>
      </c>
      <c r="G6" s="29"/>
      <c r="H6" s="29"/>
      <c r="I6" s="55">
        <f t="shared" ref="I6:K6" si="1">SUM(I5)</f>
        <v>0</v>
      </c>
      <c r="J6" s="29">
        <f t="shared" si="1"/>
        <v>145</v>
      </c>
      <c r="K6" s="56">
        <f t="shared" si="1"/>
        <v>0</v>
      </c>
      <c r="L6" s="30">
        <f>SUM(L3:L5)</f>
        <v>145</v>
      </c>
      <c r="M6" s="25">
        <f t="shared" si="2"/>
        <v>0</v>
      </c>
      <c r="N6" s="31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32"/>
      <c r="B7" s="28"/>
      <c r="C7" s="28"/>
      <c r="D7" s="28"/>
      <c r="E7" s="28"/>
      <c r="F7" s="33">
        <f>SUM(F6+G6+H6+I6+J6+K6)</f>
        <v>145</v>
      </c>
      <c r="G7" s="2"/>
      <c r="H7" s="2"/>
      <c r="I7" s="2"/>
      <c r="J7" s="8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9.13"/>
    <col customWidth="1" min="5" max="5" width="68.75"/>
    <col customWidth="1" min="12" max="12" width="13.75"/>
  </cols>
  <sheetData>
    <row r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8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10"/>
      <c r="C3" s="10"/>
      <c r="D3" s="10"/>
      <c r="E3" s="10"/>
      <c r="F3" s="11" t="s">
        <v>9</v>
      </c>
      <c r="G3" s="7" t="s">
        <v>10</v>
      </c>
      <c r="H3" s="8"/>
      <c r="I3" s="7" t="s">
        <v>11</v>
      </c>
      <c r="J3" s="8"/>
      <c r="K3" s="12" t="s">
        <v>12</v>
      </c>
      <c r="L3" s="6" t="s">
        <v>13</v>
      </c>
      <c r="M3" s="10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8"/>
      <c r="C4" s="8"/>
      <c r="D4" s="8"/>
      <c r="E4" s="8"/>
      <c r="F4" s="8"/>
      <c r="G4" s="14" t="s">
        <v>14</v>
      </c>
      <c r="H4" s="14" t="s">
        <v>15</v>
      </c>
      <c r="I4" s="14" t="s">
        <v>16</v>
      </c>
      <c r="J4" s="14" t="s">
        <v>17</v>
      </c>
      <c r="K4" s="8"/>
      <c r="L4" s="8"/>
      <c r="M4" s="8"/>
      <c r="N4" s="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44">
        <v>44886.0</v>
      </c>
      <c r="C5" s="38" t="s">
        <v>60</v>
      </c>
      <c r="D5" s="39">
        <v>65013.0</v>
      </c>
      <c r="E5" s="40" t="s">
        <v>61</v>
      </c>
      <c r="F5" s="45"/>
      <c r="G5" s="46"/>
      <c r="H5" s="46"/>
      <c r="I5" s="47">
        <v>0.0</v>
      </c>
      <c r="J5" s="48"/>
      <c r="K5" s="49"/>
      <c r="L5" s="24">
        <v>2784.0</v>
      </c>
      <c r="M5" s="25">
        <f t="shared" ref="M5:M8" si="1">SUM(F5+G5+H5+I5+J5+K5-L5)</f>
        <v>-2784</v>
      </c>
      <c r="N5" s="27" t="s">
        <v>62</v>
      </c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6">
        <v>2.0</v>
      </c>
      <c r="B6" s="44">
        <v>44886.0</v>
      </c>
      <c r="C6" s="57" t="s">
        <v>63</v>
      </c>
      <c r="D6" s="58">
        <v>60947.0</v>
      </c>
      <c r="E6" s="59" t="s">
        <v>64</v>
      </c>
      <c r="F6" s="45"/>
      <c r="G6" s="46"/>
      <c r="H6" s="46"/>
      <c r="I6" s="47">
        <v>0.0</v>
      </c>
      <c r="J6" s="48"/>
      <c r="K6" s="49"/>
      <c r="L6" s="24">
        <v>1694.0</v>
      </c>
      <c r="M6" s="25">
        <f t="shared" si="1"/>
        <v>-1694</v>
      </c>
      <c r="N6" s="27" t="s">
        <v>62</v>
      </c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6">
        <v>3.0</v>
      </c>
      <c r="B7" s="44">
        <v>44886.0</v>
      </c>
      <c r="C7" s="57" t="s">
        <v>65</v>
      </c>
      <c r="D7" s="58">
        <v>59776.0</v>
      </c>
      <c r="E7" s="59" t="s">
        <v>66</v>
      </c>
      <c r="F7" s="45"/>
      <c r="G7" s="46"/>
      <c r="H7" s="46"/>
      <c r="I7" s="47">
        <v>0.0</v>
      </c>
      <c r="J7" s="48"/>
      <c r="K7" s="49"/>
      <c r="L7" s="24">
        <v>2334.0</v>
      </c>
      <c r="M7" s="25">
        <f t="shared" si="1"/>
        <v>-2334</v>
      </c>
      <c r="N7" s="27" t="s">
        <v>62</v>
      </c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6"/>
      <c r="B8" s="28"/>
      <c r="C8" s="28"/>
      <c r="D8" s="28"/>
      <c r="E8" s="28"/>
      <c r="F8" s="54">
        <f>SUM(F5)</f>
        <v>0</v>
      </c>
      <c r="G8" s="29"/>
      <c r="H8" s="29"/>
      <c r="I8" s="60">
        <v>0.0</v>
      </c>
      <c r="J8" s="29">
        <f t="shared" ref="J8:K8" si="2">SUM(J5)</f>
        <v>0</v>
      </c>
      <c r="K8" s="56">
        <f t="shared" si="2"/>
        <v>0</v>
      </c>
      <c r="L8" s="30">
        <f>SUM(L5:L7)</f>
        <v>6812</v>
      </c>
      <c r="M8" s="25">
        <f t="shared" si="1"/>
        <v>-6812</v>
      </c>
      <c r="N8" s="31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32"/>
      <c r="B9" s="28"/>
      <c r="C9" s="28"/>
      <c r="D9" s="28"/>
      <c r="E9" s="28"/>
      <c r="F9" s="33">
        <f>SUM(I5:I8)</f>
        <v>0</v>
      </c>
      <c r="G9" s="2"/>
      <c r="H9" s="2"/>
      <c r="I9" s="2"/>
      <c r="J9" s="8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
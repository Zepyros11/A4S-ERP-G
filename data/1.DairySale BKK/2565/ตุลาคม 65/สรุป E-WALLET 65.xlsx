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-2.10.65" sheetId="1" r:id="rId4"/>
    <sheet state="visible" name="3.10.65" sheetId="2" r:id="rId5"/>
    <sheet state="visible" name="4.10.65" sheetId="3" r:id="rId6"/>
    <sheet state="visible" name="5.10.65" sheetId="4" r:id="rId7"/>
    <sheet state="visible" name="7.10.65" sheetId="5" r:id="rId8"/>
    <sheet state="visible" name="9.10.65" sheetId="6" r:id="rId9"/>
    <sheet state="visible" name="12.10.65" sheetId="7" r:id="rId10"/>
    <sheet state="visible" name="17.10.65" sheetId="8" r:id="rId11"/>
    <sheet state="visible" name="20.10.65" sheetId="9" r:id="rId12"/>
    <sheet state="visible" name="22.10.65" sheetId="10" r:id="rId13"/>
    <sheet state="visible" name="24.10.65" sheetId="11" r:id="rId14"/>
    <sheet state="visible" name="25.10.65" sheetId="12" r:id="rId15"/>
    <sheet state="visible" name="27.10.65" sheetId="13" r:id="rId16"/>
    <sheet state="visible" name="30.10.65" sheetId="14" r:id="rId17"/>
    <sheet state="visible" name="31.10.65" sheetId="15" r:id="rId18"/>
  </sheets>
  <definedNames/>
  <calcPr/>
</workbook>
</file>

<file path=xl/sharedStrings.xml><?xml version="1.0" encoding="utf-8"?>
<sst xmlns="http://schemas.openxmlformats.org/spreadsheetml/2006/main" count="332" uniqueCount="85">
  <si>
    <t xml:space="preserve">  E-WALLET  31-2 october 2022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</si>
  <si>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</si>
  <si>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</si>
  <si>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</si>
  <si>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</si>
  <si>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</si>
  <si>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</si>
  <si>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ผลต่าง</t>
  </si>
  <si>
    <t>หมายเหตุ</t>
  </si>
  <si>
    <t>Cash</t>
  </si>
  <si>
    <t>Credit Card</t>
  </si>
  <si>
    <t>Tranfer Money</t>
  </si>
  <si>
    <t xml:space="preserve">QR
 Payment
</t>
  </si>
  <si>
    <t>ยอดในระบบ</t>
  </si>
  <si>
    <t>Front Office</t>
  </si>
  <si>
    <t>Online</t>
  </si>
  <si>
    <t>KBANK</t>
  </si>
  <si>
    <t>KTB</t>
  </si>
  <si>
    <t>ETHBKK012210000001</t>
  </si>
  <si>
    <t>ห้างหุ้นส่วนจำกัด รีลิกธีน (สำนักงานใหญ่)</t>
  </si>
  <si>
    <t>ETHBKK012210000002</t>
  </si>
  <si>
    <t>นาง เจนจิรา อารีย์</t>
  </si>
  <si>
    <t>ETHBKK012210000003</t>
  </si>
  <si>
    <t>นางสาว สุชานันท์ สะตะ</t>
  </si>
  <si>
    <t xml:space="preserve">  E-WALLET 3 october 2022                                                                                                        </t>
  </si>
  <si>
    <t>ETHBKK012210000010</t>
  </si>
  <si>
    <t>นาย จักรกฤษณ์ ผิวเขียว</t>
  </si>
  <si>
    <t>ETHBKK012210000011</t>
  </si>
  <si>
    <t>นาง วันเพ็ญ บุญยัง</t>
  </si>
  <si>
    <t xml:space="preserve">  E-WALLET 4 october 2022                                                                                                        </t>
  </si>
  <si>
    <t>ETHONLIN2210000001</t>
  </si>
  <si>
    <t>นาย วสันต์ สมสว่าง</t>
  </si>
  <si>
    <t>ETHBKK012210000012</t>
  </si>
  <si>
    <t>นางสาว รัชตวรรณ เนาวสินธ์</t>
  </si>
  <si>
    <t>ETHBKK012210000013</t>
  </si>
  <si>
    <t>นาย พุฒิพัฒน์ รัตนพิริยสกุล</t>
  </si>
  <si>
    <t>c4 คืน</t>
  </si>
  <si>
    <t xml:space="preserve">  E-WALLET 5october 2022                                                                                                        </t>
  </si>
  <si>
    <t>ETHONLIN2210000002</t>
  </si>
  <si>
    <t>ETHBKK012210000014</t>
  </si>
  <si>
    <t>นาง บังอร ช่วยประดิษฐ</t>
  </si>
  <si>
    <t>ETHBKK012210000015</t>
  </si>
  <si>
    <t>นาง ฐานมญ ชลคีรี</t>
  </si>
  <si>
    <t>ETHBKK012210000016</t>
  </si>
  <si>
    <t>นาย บัญชา สดสี</t>
  </si>
  <si>
    <t>ETHONLIN2210000003</t>
  </si>
  <si>
    <t>ETHBKK012210000017</t>
  </si>
  <si>
    <t>นางสาว สมพร ภิรมย์ไทย</t>
  </si>
  <si>
    <t xml:space="preserve">  E-WALLET 7 october 2022                                                                                                        </t>
  </si>
  <si>
    <t>ETHBKK012210000018</t>
  </si>
  <si>
    <t>บริษัท เศรษฐกวี จำกัด ( สำนักงานใหญ่ )</t>
  </si>
  <si>
    <t xml:space="preserve">  E-WALLET 9 october 2022                                                                                                        </t>
  </si>
  <si>
    <t>ETHBKK012210000019</t>
  </si>
  <si>
    <t>นางสาว ธนัชชา หวังเทวีวรกุล</t>
  </si>
  <si>
    <t xml:space="preserve">  E-WALLET 12october 2022                                                                                                        </t>
  </si>
  <si>
    <t>ETHBKK012210000020</t>
  </si>
  <si>
    <t>นาย สยาม โพธิ์ทอง</t>
  </si>
  <si>
    <t>ETHBKK012210000021</t>
  </si>
  <si>
    <t xml:space="preserve">  E-WALLET 17 october 2022                                                                                                        </t>
  </si>
  <si>
    <t>ETHBKK012210000022</t>
  </si>
  <si>
    <t>นาย ศราวุฒน์ สินธุวรโรจน์</t>
  </si>
  <si>
    <t>ETHBKK012210000024</t>
  </si>
  <si>
    <t>นาย ทนงศักดิ์ รัตนบุรี</t>
  </si>
  <si>
    <t>พี่เปิ้ลเติม</t>
  </si>
  <si>
    <t xml:space="preserve">  E-WALLET 22 october 2022                                                                                                        </t>
  </si>
  <si>
    <t>ETHBKK012210000025</t>
  </si>
  <si>
    <t>นาย พัฒน์รดิศ สุพัฒน์วณิชกร</t>
  </si>
  <si>
    <t xml:space="preserve">  E-WALLET 24 october 2022                                                                                                        </t>
  </si>
  <si>
    <t>ETHBKK012210000026</t>
  </si>
  <si>
    <t xml:space="preserve">  E-WALLET 25 october 2022                                                                                                        </t>
  </si>
  <si>
    <t>ETHBKK012210000027</t>
  </si>
  <si>
    <t>นางสาว จินตนา อ่อนหวาน</t>
  </si>
  <si>
    <t xml:space="preserve">  E-WALLET 27 october 2022                                                                                                        </t>
  </si>
  <si>
    <t>ETHBKK012210000028</t>
  </si>
  <si>
    <t>นาย ยศพัทธิ์ ศรีอุทิศ</t>
  </si>
  <si>
    <t xml:space="preserve">  E-WALLET 30october 2022                                                                                                        </t>
  </si>
  <si>
    <t>ETHONLIN2210000014</t>
  </si>
  <si>
    <t>ETHBKK012210000029</t>
  </si>
  <si>
    <t xml:space="preserve">  E-WALLET 31 october 2022                                                                                                        </t>
  </si>
  <si>
    <t>ETHBKK012210000030</t>
  </si>
  <si>
    <t>ETHBKK012210000031</t>
  </si>
  <si>
    <t>นาย กอบชัย ศิริคุม</t>
  </si>
  <si>
    <t>ETHBKK012210000032</t>
  </si>
  <si>
    <t>นาง ณัฎฐณันธ์ วงวันดี</t>
  </si>
  <si>
    <t>ETHBKK012210000033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</si>
</sst>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฿-41E]#,##0.00"/>
    <numFmt numFmtId="165" formatCode="m/d/yyyy"/>
    <numFmt numFmtId="166" formatCode="#,###_);\(#,###\)"/>
  </numFmts>
  <fonts count="18">
    <font>
      <sz val="10.0"/>
      <color rgb="FF000000"/>
      <name val="Arial"/>
      <scheme val="minor"/>
    </font>
    <font>
      <b/>
      <sz val="24.0"/>
      <color theme="1"/>
      <name val="Calibri"/>
    </font>
    <font/>
    <font>
      <color theme="1"/>
      <name val="Arial"/>
    </font>
    <font>
      <b/>
      <sz val="14.0"/>
      <color theme="1"/>
      <name val="Calibri"/>
    </font>
    <font>
      <b/>
      <sz val="14.0"/>
      <color rgb="FFFF0000"/>
      <name val="Calibri"/>
    </font>
    <font>
      <sz val="14.0"/>
      <color theme="1"/>
      <name val="Calibri"/>
    </font>
    <font>
      <sz val="16.0"/>
      <color theme="1"/>
      <name val="Calibri"/>
    </font>
    <font>
      <sz val="18.0"/>
      <color theme="1"/>
      <name val="Calibri"/>
    </font>
    <font>
      <sz val="18.0"/>
      <color rgb="FFFF0000"/>
      <name val="Calibri"/>
    </font>
    <font>
      <sz val="18.0"/>
      <color rgb="FF4285F4"/>
      <name val="Calibri"/>
    </font>
    <font>
      <b/>
      <sz val="18.0"/>
      <color theme="1"/>
      <name val="Calibri"/>
    </font>
    <font>
      <sz val="14.0"/>
      <color theme="1"/>
      <name val="Arial"/>
    </font>
    <font>
      <sz val="18.0"/>
      <color theme="1"/>
      <name val="Arial"/>
    </font>
    <font>
      <sz val="18.0"/>
      <color rgb="FF38761D"/>
      <name val="Calibri"/>
    </font>
    <font>
      <sz val="18.0"/>
      <color rgb="FFFF9900"/>
      <name val="Calibri"/>
    </font>
    <font>
      <sz val="18.0"/>
      <color rgb="FFFF00FF"/>
      <name val="Calibri"/>
    </font>
    <font>
      <sz val="18.0"/>
      <color rgb="FF6FA8DC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 vertical="bottom"/>
    </xf>
    <xf borderId="1" fillId="0" fontId="2" numFmtId="0" xfId="0" applyBorder="1" applyFont="1"/>
    <xf borderId="2" fillId="2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5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4" fillId="3" fontId="5" numFmtId="0" xfId="0" applyAlignment="1" applyBorder="1" applyFont="1">
      <alignment horizontal="center" vertical="bottom"/>
    </xf>
    <xf borderId="4" fillId="3" fontId="5" numFmtId="0" xfId="0" applyAlignment="1" applyBorder="1" applyFont="1">
      <alignment horizontal="center" vertical="top"/>
    </xf>
    <xf borderId="6" fillId="0" fontId="2" numFmtId="0" xfId="0" applyBorder="1" applyFont="1"/>
    <xf borderId="5" fillId="3" fontId="4" numFmtId="0" xfId="0" applyAlignment="1" applyBorder="1" applyFont="1">
      <alignment horizontal="center" vertical="bottom"/>
    </xf>
    <xf borderId="6" fillId="4" fontId="6" numFmtId="0" xfId="0" applyAlignment="1" applyBorder="1" applyFill="1" applyFont="1">
      <alignment horizontal="center" vertical="bottom"/>
    </xf>
    <xf borderId="5" fillId="0" fontId="7" numFmtId="165" xfId="0" applyAlignment="1" applyBorder="1" applyFont="1" applyNumberFormat="1">
      <alignment readingOrder="0" vertical="bottom"/>
    </xf>
    <xf borderId="5" fillId="0" fontId="7" numFmtId="4" xfId="0" applyAlignment="1" applyBorder="1" applyFont="1" applyNumberFormat="1">
      <alignment readingOrder="0" vertical="bottom"/>
    </xf>
    <xf borderId="5" fillId="0" fontId="7" numFmtId="0" xfId="0" applyAlignment="1" applyBorder="1" applyFont="1">
      <alignment readingOrder="0" vertical="bottom"/>
    </xf>
    <xf borderId="5" fillId="4" fontId="3" numFmtId="38" xfId="0" applyAlignment="1" applyBorder="1" applyFont="1" applyNumberFormat="1">
      <alignment vertical="bottom"/>
    </xf>
    <xf borderId="5" fillId="4" fontId="8" numFmtId="38" xfId="0" applyAlignment="1" applyBorder="1" applyFont="1" applyNumberFormat="1">
      <alignment readingOrder="0" vertical="bottom"/>
    </xf>
    <xf borderId="5" fillId="0" fontId="8" numFmtId="38" xfId="0" applyAlignment="1" applyBorder="1" applyFont="1" applyNumberFormat="1">
      <alignment horizontal="right" vertical="bottom"/>
    </xf>
    <xf borderId="5" fillId="0" fontId="8" numFmtId="38" xfId="0" applyAlignment="1" applyBorder="1" applyFont="1" applyNumberFormat="1">
      <alignment horizontal="right" readingOrder="0" vertical="bottom"/>
    </xf>
    <xf borderId="5" fillId="0" fontId="9" numFmtId="38" xfId="0" applyAlignment="1" applyBorder="1" applyFont="1" applyNumberFormat="1">
      <alignment horizontal="right" vertical="bottom"/>
    </xf>
    <xf borderId="5" fillId="0" fontId="3" numFmtId="38" xfId="0" applyAlignment="1" applyBorder="1" applyFont="1" applyNumberFormat="1">
      <alignment vertical="bottom"/>
    </xf>
    <xf borderId="0" fillId="4" fontId="3" numFmtId="0" xfId="0" applyAlignment="1" applyFont="1">
      <alignment vertical="bottom"/>
    </xf>
    <xf borderId="5" fillId="4" fontId="8" numFmtId="38" xfId="0" applyAlignment="1" applyBorder="1" applyFont="1" applyNumberFormat="1">
      <alignment horizontal="right" readingOrder="0" vertical="bottom"/>
    </xf>
    <xf borderId="5" fillId="4" fontId="8" numFmtId="38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10" numFmtId="166" xfId="0" applyAlignment="1" applyBorder="1" applyFont="1" applyNumberFormat="1">
      <alignment horizontal="center" vertical="bottom"/>
    </xf>
    <xf borderId="5" fillId="0" fontId="8" numFmtId="166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1" fillId="4" fontId="11" numFmtId="166" xfId="0" applyAlignment="1" applyBorder="1" applyFont="1" applyNumberFormat="1">
      <alignment horizontal="center" vertical="bottom"/>
    </xf>
    <xf borderId="5" fillId="0" fontId="7" numFmtId="0" xfId="0" applyAlignment="1" applyBorder="1" applyFont="1">
      <alignment readingOrder="0" vertical="bottom"/>
    </xf>
    <xf borderId="5" fillId="0" fontId="12" numFmtId="38" xfId="0" applyAlignment="1" applyBorder="1" applyFont="1" applyNumberFormat="1">
      <alignment readingOrder="0" vertical="bottom"/>
    </xf>
    <xf borderId="5" fillId="0" fontId="13" numFmtId="38" xfId="0" applyAlignment="1" applyBorder="1" applyFont="1" applyNumberFormat="1">
      <alignment vertical="bottom"/>
    </xf>
    <xf borderId="5" fillId="0" fontId="13" numFmtId="38" xfId="0" applyAlignment="1" applyBorder="1" applyFont="1" applyNumberFormat="1">
      <alignment readingOrder="0" vertical="bottom"/>
    </xf>
    <xf borderId="5" fillId="4" fontId="3" numFmtId="38" xfId="0" applyAlignment="1" applyBorder="1" applyFont="1" applyNumberFormat="1">
      <alignment readingOrder="0" vertical="bottom"/>
    </xf>
    <xf borderId="6" fillId="4" fontId="6" numFmtId="0" xfId="0" applyAlignment="1" applyBorder="1" applyFont="1">
      <alignment horizontal="center" readingOrder="0" vertical="bottom"/>
    </xf>
    <xf borderId="5" fillId="4" fontId="14" numFmtId="38" xfId="0" applyAlignment="1" applyBorder="1" applyFont="1" applyNumberFormat="1">
      <alignment readingOrder="0" vertical="bottom"/>
    </xf>
    <xf borderId="5" fillId="0" fontId="14" numFmtId="166" xfId="0" applyAlignment="1" applyBorder="1" applyFont="1" applyNumberFormat="1">
      <alignment horizontal="center" vertical="bottom"/>
    </xf>
    <xf borderId="5" fillId="4" fontId="8" numFmtId="38" xfId="0" applyAlignment="1" applyBorder="1" applyFont="1" applyNumberFormat="1">
      <alignment vertical="bottom"/>
    </xf>
    <xf borderId="5" fillId="4" fontId="15" numFmtId="38" xfId="0" applyAlignment="1" applyBorder="1" applyFont="1" applyNumberFormat="1">
      <alignment readingOrder="0" vertical="bottom"/>
    </xf>
    <xf borderId="5" fillId="4" fontId="16" numFmtId="38" xfId="0" applyAlignment="1" applyBorder="1" applyFont="1" applyNumberFormat="1">
      <alignment vertical="bottom"/>
    </xf>
    <xf borderId="5" fillId="4" fontId="17" numFmtId="38" xfId="0" applyAlignment="1" applyBorder="1" applyFont="1" applyNumberFormat="1">
      <alignment horizontal="right" readingOrder="0" vertical="bottom"/>
    </xf>
    <xf borderId="5" fillId="4" fontId="16" numFmtId="38" xfId="0" applyAlignment="1" applyBorder="1" applyFont="1" applyNumberFormat="1">
      <alignment readingOrder="0" vertical="bottom"/>
    </xf>
    <xf borderId="5" fillId="0" fontId="15" numFmtId="166" xfId="0" applyAlignment="1" applyBorder="1" applyFont="1" applyNumberFormat="1">
      <alignment horizontal="center" vertical="bottom"/>
    </xf>
    <xf borderId="5" fillId="0" fontId="16" numFmtId="166" xfId="0" applyAlignment="1" applyBorder="1" applyFont="1" applyNumberFormat="1">
      <alignment horizontal="center" vertical="bottom"/>
    </xf>
    <xf borderId="5" fillId="0" fontId="17" numFmtId="166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6.75"/>
    <col customWidth="1" min="5" max="5" width="69.63"/>
    <col customWidth="1" min="12" max="12" width="15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>
        <v>44835.0</v>
      </c>
      <c r="C5" s="17" t="s">
        <v>18</v>
      </c>
      <c r="D5" s="18">
        <v>48631.0</v>
      </c>
      <c r="E5" s="18" t="s">
        <v>19</v>
      </c>
      <c r="F5" s="19"/>
      <c r="G5" s="19"/>
      <c r="H5" s="19"/>
      <c r="I5" s="20">
        <v>1000.0</v>
      </c>
      <c r="J5" s="19"/>
      <c r="K5" s="21"/>
      <c r="L5" s="22">
        <v>1000.0</v>
      </c>
      <c r="M5" s="23">
        <f t="shared" ref="M5:M8" si="1">SUM(F5+G5+H5+I5+J5+K5-L5)</f>
        <v>0</v>
      </c>
      <c r="N5" s="24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5">
        <v>2.0</v>
      </c>
      <c r="B6" s="16">
        <v>44836.0</v>
      </c>
      <c r="C6" s="17" t="s">
        <v>20</v>
      </c>
      <c r="D6" s="18">
        <v>57738.0</v>
      </c>
      <c r="E6" s="18" t="s">
        <v>21</v>
      </c>
      <c r="F6" s="19"/>
      <c r="G6" s="19"/>
      <c r="H6" s="19"/>
      <c r="I6" s="26">
        <v>200.0</v>
      </c>
      <c r="J6" s="19"/>
      <c r="K6" s="24"/>
      <c r="L6" s="22">
        <v>200.0</v>
      </c>
      <c r="M6" s="23">
        <f t="shared" si="1"/>
        <v>0</v>
      </c>
      <c r="N6" s="24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>
        <v>3.0</v>
      </c>
      <c r="B7" s="16">
        <v>44836.0</v>
      </c>
      <c r="C7" s="17" t="s">
        <v>22</v>
      </c>
      <c r="D7" s="18">
        <v>13762.0</v>
      </c>
      <c r="E7" s="18" t="s">
        <v>23</v>
      </c>
      <c r="F7" s="19"/>
      <c r="G7" s="19"/>
      <c r="H7" s="19"/>
      <c r="I7" s="20">
        <v>480.0</v>
      </c>
      <c r="J7" s="27"/>
      <c r="K7" s="24"/>
      <c r="L7" s="22">
        <v>480.0</v>
      </c>
      <c r="M7" s="23">
        <f t="shared" si="1"/>
        <v>0</v>
      </c>
      <c r="N7" s="24"/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5"/>
      <c r="B8" s="28"/>
      <c r="C8" s="28"/>
      <c r="D8" s="28"/>
      <c r="E8" s="28"/>
      <c r="F8" s="29">
        <f t="shared" ref="F8:G8" si="2">SUM(F5:F6)</f>
        <v>0</v>
      </c>
      <c r="G8" s="29">
        <f t="shared" si="2"/>
        <v>0</v>
      </c>
      <c r="H8" s="29">
        <f t="shared" ref="H8:J8" si="3">SUM(H5:H7)</f>
        <v>0</v>
      </c>
      <c r="I8" s="29">
        <f t="shared" si="3"/>
        <v>1680</v>
      </c>
      <c r="J8" s="29">
        <f t="shared" si="3"/>
        <v>0</v>
      </c>
      <c r="K8" s="29">
        <f>SUM(K5:K6)</f>
        <v>0</v>
      </c>
      <c r="L8" s="30">
        <f>SUM(L5:L7)</f>
        <v>1680</v>
      </c>
      <c r="M8" s="23">
        <f t="shared" si="1"/>
        <v>0</v>
      </c>
      <c r="N8" s="31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32"/>
      <c r="B9" s="28"/>
      <c r="C9" s="28"/>
      <c r="D9" s="28"/>
      <c r="E9" s="28"/>
      <c r="F9" s="33">
        <f>SUM(J8+K8+L8+M8+N8+O8)</f>
        <v>1680</v>
      </c>
      <c r="G9" s="2"/>
      <c r="H9" s="2"/>
      <c r="I9" s="2"/>
      <c r="J9" s="8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5">
    <mergeCell ref="M2:M4"/>
    <mergeCell ref="N2:N4"/>
    <mergeCell ref="F3:F4"/>
    <mergeCell ref="G3:H3"/>
    <mergeCell ref="F9:J9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6.75"/>
    <col customWidth="1" min="5" max="5" width="69.63"/>
    <col customWidth="1" min="12" max="12" width="15.13"/>
  </cols>
  <sheetData>
    <row r="1">
      <c r="A1" s="1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>
        <v>44837.0</v>
      </c>
      <c r="C5" s="17" t="s">
        <v>25</v>
      </c>
      <c r="D5" s="34">
        <v>69620.0</v>
      </c>
      <c r="E5" s="34" t="s">
        <v>26</v>
      </c>
      <c r="F5" s="19"/>
      <c r="G5" s="19"/>
      <c r="H5" s="19"/>
      <c r="I5" s="20"/>
      <c r="J5" s="26">
        <v>16313.0</v>
      </c>
      <c r="K5" s="21"/>
      <c r="L5" s="22">
        <v>16313.0</v>
      </c>
      <c r="M5" s="23">
        <f t="shared" ref="M5:M8" si="1">SUM(F5+G5+H5+I5+J5+K5-L5)</f>
        <v>0</v>
      </c>
      <c r="N5" s="24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5">
        <v>2.0</v>
      </c>
      <c r="B6" s="16">
        <v>44837.0</v>
      </c>
      <c r="C6" s="17" t="s">
        <v>27</v>
      </c>
      <c r="D6" s="34">
        <v>71947.0</v>
      </c>
      <c r="E6" s="34" t="s">
        <v>28</v>
      </c>
      <c r="F6" s="19"/>
      <c r="G6" s="19"/>
      <c r="H6" s="19"/>
      <c r="I6" s="26">
        <v>200.0</v>
      </c>
      <c r="J6" s="19"/>
      <c r="K6" s="24"/>
      <c r="L6" s="22">
        <v>200.0</v>
      </c>
      <c r="M6" s="23">
        <f t="shared" si="1"/>
        <v>0</v>
      </c>
      <c r="N6" s="24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/>
      <c r="B7" s="16"/>
      <c r="C7" s="17"/>
      <c r="D7" s="18"/>
      <c r="E7" s="18"/>
      <c r="F7" s="19"/>
      <c r="G7" s="19"/>
      <c r="H7" s="19"/>
      <c r="I7" s="20"/>
      <c r="J7" s="27"/>
      <c r="K7" s="24"/>
      <c r="L7" s="22"/>
      <c r="M7" s="23">
        <f t="shared" si="1"/>
        <v>0</v>
      </c>
      <c r="N7" s="24"/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5"/>
      <c r="B8" s="28"/>
      <c r="C8" s="28"/>
      <c r="D8" s="28"/>
      <c r="E8" s="28"/>
      <c r="F8" s="29">
        <f t="shared" ref="F8:G8" si="2">SUM(F5:F6)</f>
        <v>0</v>
      </c>
      <c r="G8" s="29">
        <f t="shared" si="2"/>
        <v>0</v>
      </c>
      <c r="H8" s="29">
        <f t="shared" ref="H8:J8" si="3">SUM(H5:H7)</f>
        <v>0</v>
      </c>
      <c r="I8" s="29">
        <f t="shared" si="3"/>
        <v>200</v>
      </c>
      <c r="J8" s="29">
        <f t="shared" si="3"/>
        <v>16313</v>
      </c>
      <c r="K8" s="29">
        <f>SUM(K5:K6)</f>
        <v>0</v>
      </c>
      <c r="L8" s="30">
        <f>SUM(L5:L7)</f>
        <v>16513</v>
      </c>
      <c r="M8" s="23">
        <f t="shared" si="1"/>
        <v>0</v>
      </c>
      <c r="N8" s="31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32"/>
      <c r="B9" s="28"/>
      <c r="C9" s="28"/>
      <c r="D9" s="28"/>
      <c r="E9" s="28"/>
      <c r="F9" s="33">
        <f>SUM(J8+K8+L8+M8+N8+O8)</f>
        <v>32826</v>
      </c>
      <c r="G9" s="2"/>
      <c r="H9" s="2"/>
      <c r="I9" s="2"/>
      <c r="J9" s="8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5">
    <mergeCell ref="M2:M4"/>
    <mergeCell ref="N2:N4"/>
    <mergeCell ref="F3:F4"/>
    <mergeCell ref="G3:H3"/>
    <mergeCell ref="F9:J9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6.75"/>
    <col customWidth="1" min="5" max="5" width="69.63"/>
    <col customWidth="1" min="12" max="12" width="15.13"/>
    <col customWidth="1" min="14" max="14" width="18.13"/>
  </cols>
  <sheetData>
    <row r="1">
      <c r="A1" s="1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>
        <v>44837.0</v>
      </c>
      <c r="C5" s="17" t="s">
        <v>30</v>
      </c>
      <c r="D5" s="34">
        <v>60648.0</v>
      </c>
      <c r="E5" s="34" t="s">
        <v>31</v>
      </c>
      <c r="F5" s="19"/>
      <c r="G5" s="19"/>
      <c r="H5" s="19"/>
      <c r="I5" s="20"/>
      <c r="J5" s="26"/>
      <c r="K5" s="22">
        <v>5775.0</v>
      </c>
      <c r="L5" s="22">
        <v>5775.0</v>
      </c>
      <c r="M5" s="23">
        <f t="shared" ref="M5:M8" si="1">SUM(F5+G5+H5+I5+J5+K5-L5)</f>
        <v>0</v>
      </c>
      <c r="N5" s="24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5">
        <v>2.0</v>
      </c>
      <c r="B6" s="16">
        <v>44838.0</v>
      </c>
      <c r="C6" s="17" t="s">
        <v>32</v>
      </c>
      <c r="D6" s="34">
        <v>23221.0</v>
      </c>
      <c r="E6" s="34" t="s">
        <v>33</v>
      </c>
      <c r="F6" s="19"/>
      <c r="G6" s="19"/>
      <c r="H6" s="19"/>
      <c r="I6" s="26">
        <v>27000.0</v>
      </c>
      <c r="J6" s="19"/>
      <c r="K6" s="24"/>
      <c r="L6" s="22">
        <v>27000.0</v>
      </c>
      <c r="M6" s="23">
        <f t="shared" si="1"/>
        <v>0</v>
      </c>
      <c r="N6" s="24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>
        <v>3.0</v>
      </c>
      <c r="B7" s="16">
        <v>44838.0</v>
      </c>
      <c r="C7" s="17" t="s">
        <v>34</v>
      </c>
      <c r="D7" s="18">
        <v>20541.0</v>
      </c>
      <c r="E7" s="18" t="s">
        <v>35</v>
      </c>
      <c r="F7" s="19"/>
      <c r="G7" s="19"/>
      <c r="H7" s="19"/>
      <c r="I7" s="20">
        <v>0.0</v>
      </c>
      <c r="J7" s="27"/>
      <c r="K7" s="24"/>
      <c r="L7" s="22">
        <v>300.0</v>
      </c>
      <c r="M7" s="23">
        <f t="shared" si="1"/>
        <v>-300</v>
      </c>
      <c r="N7" s="35" t="s">
        <v>36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5"/>
      <c r="B8" s="28"/>
      <c r="C8" s="28"/>
      <c r="D8" s="28"/>
      <c r="E8" s="28"/>
      <c r="F8" s="29">
        <f t="shared" ref="F8:G8" si="2">SUM(F5:F6)</f>
        <v>0</v>
      </c>
      <c r="G8" s="29">
        <f t="shared" si="2"/>
        <v>0</v>
      </c>
      <c r="H8" s="29">
        <f t="shared" ref="H8:J8" si="3">SUM(H5:H7)</f>
        <v>0</v>
      </c>
      <c r="I8" s="29">
        <f t="shared" si="3"/>
        <v>27000</v>
      </c>
      <c r="J8" s="29">
        <f t="shared" si="3"/>
        <v>0</v>
      </c>
      <c r="K8" s="29">
        <f>SUM(K5:K6)</f>
        <v>5775</v>
      </c>
      <c r="L8" s="30">
        <f>SUM(L5:L7)</f>
        <v>33075</v>
      </c>
      <c r="M8" s="23">
        <f t="shared" si="1"/>
        <v>-300</v>
      </c>
      <c r="N8" s="31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32"/>
      <c r="B9" s="28"/>
      <c r="C9" s="28"/>
      <c r="D9" s="28"/>
      <c r="E9" s="28"/>
      <c r="F9" s="33">
        <f>SUM(J8+K8+L8+M8+N8+O8)</f>
        <v>38550</v>
      </c>
      <c r="G9" s="2"/>
      <c r="H9" s="2"/>
      <c r="I9" s="2"/>
      <c r="J9" s="8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5">
    <mergeCell ref="M2:M4"/>
    <mergeCell ref="N2:N4"/>
    <mergeCell ref="F3:F4"/>
    <mergeCell ref="G3:H3"/>
    <mergeCell ref="F9:J9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6.75"/>
    <col customWidth="1" min="5" max="5" width="69.63"/>
    <col customWidth="1" min="12" max="12" width="15.13"/>
    <col customWidth="1" min="14" max="14" width="18.13"/>
  </cols>
  <sheetData>
    <row r="1">
      <c r="A1" s="1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>
        <v>44839.0</v>
      </c>
      <c r="C5" s="17" t="s">
        <v>38</v>
      </c>
      <c r="D5" s="34">
        <v>23221.0</v>
      </c>
      <c r="E5" s="34" t="s">
        <v>33</v>
      </c>
      <c r="F5" s="19"/>
      <c r="G5" s="19"/>
      <c r="H5" s="19"/>
      <c r="I5" s="20"/>
      <c r="J5" s="26"/>
      <c r="K5" s="22">
        <v>360.0</v>
      </c>
      <c r="L5" s="22">
        <v>360.0</v>
      </c>
      <c r="M5" s="23">
        <f t="shared" ref="M5:M11" si="1">SUM(F5+G5+H5+I5+J5+K5-L5)</f>
        <v>0</v>
      </c>
      <c r="N5" s="24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5">
        <v>2.0</v>
      </c>
      <c r="B6" s="16">
        <v>44839.0</v>
      </c>
      <c r="C6" s="17" t="s">
        <v>39</v>
      </c>
      <c r="D6" s="34">
        <v>38576.0</v>
      </c>
      <c r="E6" s="34" t="s">
        <v>40</v>
      </c>
      <c r="F6" s="19"/>
      <c r="G6" s="19"/>
      <c r="H6" s="19"/>
      <c r="I6" s="26"/>
      <c r="J6" s="20">
        <v>248.0</v>
      </c>
      <c r="K6" s="36"/>
      <c r="L6" s="22">
        <v>248.0</v>
      </c>
      <c r="M6" s="23">
        <f t="shared" si="1"/>
        <v>0</v>
      </c>
      <c r="N6" s="24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>
        <v>3.0</v>
      </c>
      <c r="B7" s="16">
        <v>44839.0</v>
      </c>
      <c r="C7" s="17" t="s">
        <v>41</v>
      </c>
      <c r="D7" s="34">
        <v>36928.0</v>
      </c>
      <c r="E7" s="34" t="s">
        <v>42</v>
      </c>
      <c r="F7" s="19"/>
      <c r="G7" s="19"/>
      <c r="H7" s="19"/>
      <c r="I7" s="20"/>
      <c r="J7" s="26">
        <v>3352.0</v>
      </c>
      <c r="K7" s="36"/>
      <c r="L7" s="22">
        <v>3352.0</v>
      </c>
      <c r="M7" s="23">
        <f t="shared" si="1"/>
        <v>0</v>
      </c>
      <c r="N7" s="35"/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5">
        <v>4.0</v>
      </c>
      <c r="B8" s="16">
        <v>44839.0</v>
      </c>
      <c r="C8" s="17" t="s">
        <v>43</v>
      </c>
      <c r="D8" s="34">
        <v>57026.0</v>
      </c>
      <c r="E8" s="34" t="s">
        <v>44</v>
      </c>
      <c r="F8" s="19"/>
      <c r="G8" s="19"/>
      <c r="H8" s="19"/>
      <c r="I8" s="20">
        <v>303.0</v>
      </c>
      <c r="J8" s="27"/>
      <c r="K8" s="36"/>
      <c r="L8" s="22">
        <v>303.0</v>
      </c>
      <c r="M8" s="23">
        <f t="shared" si="1"/>
        <v>0</v>
      </c>
      <c r="N8" s="35"/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5">
        <v>5.0</v>
      </c>
      <c r="B9" s="16">
        <v>44839.0</v>
      </c>
      <c r="C9" s="17" t="s">
        <v>45</v>
      </c>
      <c r="D9" s="34">
        <v>23221.0</v>
      </c>
      <c r="E9" s="34" t="s">
        <v>33</v>
      </c>
      <c r="F9" s="19"/>
      <c r="G9" s="19"/>
      <c r="H9" s="19"/>
      <c r="I9" s="20"/>
      <c r="J9" s="27"/>
      <c r="K9" s="37">
        <v>1000.0</v>
      </c>
      <c r="L9" s="22">
        <v>1000.0</v>
      </c>
      <c r="M9" s="23">
        <f t="shared" si="1"/>
        <v>0</v>
      </c>
      <c r="N9" s="35"/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5">
        <v>6.0</v>
      </c>
      <c r="B10" s="16">
        <v>44839.0</v>
      </c>
      <c r="C10" s="17" t="s">
        <v>46</v>
      </c>
      <c r="D10" s="34">
        <v>64209.0</v>
      </c>
      <c r="E10" s="34" t="s">
        <v>47</v>
      </c>
      <c r="F10" s="19"/>
      <c r="G10" s="19"/>
      <c r="H10" s="19"/>
      <c r="I10" s="20">
        <v>200.0</v>
      </c>
      <c r="J10" s="27"/>
      <c r="K10" s="36"/>
      <c r="L10" s="22">
        <v>200.0</v>
      </c>
      <c r="M10" s="23">
        <f t="shared" si="1"/>
        <v>0</v>
      </c>
      <c r="N10" s="35"/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5">
        <v>7.0</v>
      </c>
      <c r="B11" s="28"/>
      <c r="C11" s="28"/>
      <c r="D11" s="28"/>
      <c r="E11" s="28"/>
      <c r="F11" s="29">
        <f t="shared" ref="F11:G11" si="2">SUM(F5:F6)</f>
        <v>0</v>
      </c>
      <c r="G11" s="29">
        <f t="shared" si="2"/>
        <v>0</v>
      </c>
      <c r="H11" s="29">
        <f>SUM(H5:H7)</f>
        <v>0</v>
      </c>
      <c r="I11" s="29">
        <f>SUM(I5:I10)</f>
        <v>503</v>
      </c>
      <c r="J11" s="29">
        <f>SUM(J5:J7)</f>
        <v>3600</v>
      </c>
      <c r="K11" s="29">
        <f t="shared" ref="K11:L11" si="3">SUM(K5:K10)</f>
        <v>1360</v>
      </c>
      <c r="L11" s="30">
        <f t="shared" si="3"/>
        <v>5463</v>
      </c>
      <c r="M11" s="23">
        <f t="shared" si="1"/>
        <v>0</v>
      </c>
      <c r="N11" s="31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>
      <c r="A12" s="32"/>
      <c r="B12" s="28"/>
      <c r="C12" s="28"/>
      <c r="D12" s="28"/>
      <c r="E12" s="28"/>
      <c r="F12" s="33">
        <f>SUM(F11+G11+H11+I11+J11+K11)</f>
        <v>5463</v>
      </c>
      <c r="G12" s="2"/>
      <c r="H12" s="2"/>
      <c r="I12" s="2"/>
      <c r="J12" s="8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</sheetData>
  <mergeCells count="15">
    <mergeCell ref="M2:M4"/>
    <mergeCell ref="N2:N4"/>
    <mergeCell ref="F3:F4"/>
    <mergeCell ref="G3:H3"/>
    <mergeCell ref="F12:J12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6.75"/>
    <col customWidth="1" min="5" max="5" width="69.63"/>
    <col customWidth="1" min="12" max="12" width="15.13"/>
    <col customWidth="1" min="14" max="14" width="18.13"/>
  </cols>
  <sheetData>
    <row r="1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>
        <v>44841.0</v>
      </c>
      <c r="C5" s="17" t="s">
        <v>49</v>
      </c>
      <c r="D5" s="34">
        <v>35245.0</v>
      </c>
      <c r="E5" s="34" t="s">
        <v>50</v>
      </c>
      <c r="F5" s="19"/>
      <c r="G5" s="38">
        <v>3040.0</v>
      </c>
      <c r="H5" s="19"/>
      <c r="I5" s="20"/>
      <c r="J5" s="26"/>
      <c r="K5" s="22"/>
      <c r="L5" s="22">
        <v>3040.0</v>
      </c>
      <c r="M5" s="23">
        <f t="shared" ref="M5:M6" si="2">SUM(F5+G5+H5+I5+J5+K5-L5)</f>
        <v>0</v>
      </c>
      <c r="N5" s="24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5">
        <v>7.0</v>
      </c>
      <c r="B6" s="28"/>
      <c r="C6" s="28"/>
      <c r="D6" s="28"/>
      <c r="E6" s="28"/>
      <c r="F6" s="29">
        <f t="shared" ref="F6:L6" si="1">SUM(F5)</f>
        <v>0</v>
      </c>
      <c r="G6" s="29">
        <f t="shared" si="1"/>
        <v>3040</v>
      </c>
      <c r="H6" s="29">
        <f t="shared" si="1"/>
        <v>0</v>
      </c>
      <c r="I6" s="29">
        <f t="shared" si="1"/>
        <v>0</v>
      </c>
      <c r="J6" s="29">
        <f t="shared" si="1"/>
        <v>0</v>
      </c>
      <c r="K6" s="29">
        <f t="shared" si="1"/>
        <v>0</v>
      </c>
      <c r="L6" s="30">
        <f t="shared" si="1"/>
        <v>3040</v>
      </c>
      <c r="M6" s="23">
        <f t="shared" si="2"/>
        <v>0</v>
      </c>
      <c r="N6" s="31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32"/>
      <c r="B7" s="28"/>
      <c r="C7" s="28"/>
      <c r="D7" s="28"/>
      <c r="E7" s="28"/>
      <c r="F7" s="33">
        <f>SUM(F6+G6+H6+I6+J6+K6)</f>
        <v>3040</v>
      </c>
      <c r="G7" s="2"/>
      <c r="H7" s="2"/>
      <c r="I7" s="2"/>
      <c r="J7" s="8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6.75"/>
    <col customWidth="1" min="5" max="5" width="69.63"/>
    <col customWidth="1" min="12" max="12" width="15.13"/>
    <col customWidth="1" min="14" max="14" width="18.13"/>
  </cols>
  <sheetData>
    <row r="1">
      <c r="A1" s="1" t="s">
        <v>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>
        <v>44843.0</v>
      </c>
      <c r="C5" s="17" t="s">
        <v>52</v>
      </c>
      <c r="D5" s="34">
        <v>10921.0</v>
      </c>
      <c r="E5" s="34" t="s">
        <v>53</v>
      </c>
      <c r="F5" s="19"/>
      <c r="G5" s="38"/>
      <c r="H5" s="19"/>
      <c r="I5" s="20">
        <v>360.0</v>
      </c>
      <c r="J5" s="26"/>
      <c r="K5" s="22"/>
      <c r="L5" s="22">
        <v>360.0</v>
      </c>
      <c r="M5" s="23">
        <f t="shared" ref="M5:M6" si="2">SUM(F5+G5+H5+I5+J5+K5-L5)</f>
        <v>0</v>
      </c>
      <c r="N5" s="24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5"/>
      <c r="B6" s="28"/>
      <c r="C6" s="28"/>
      <c r="D6" s="28"/>
      <c r="E6" s="28"/>
      <c r="F6" s="29">
        <f t="shared" ref="F6:L6" si="1">SUM(F5)</f>
        <v>0</v>
      </c>
      <c r="G6" s="29">
        <f t="shared" si="1"/>
        <v>0</v>
      </c>
      <c r="H6" s="29">
        <f t="shared" si="1"/>
        <v>0</v>
      </c>
      <c r="I6" s="29">
        <f t="shared" si="1"/>
        <v>360</v>
      </c>
      <c r="J6" s="29">
        <f t="shared" si="1"/>
        <v>0</v>
      </c>
      <c r="K6" s="29">
        <f t="shared" si="1"/>
        <v>0</v>
      </c>
      <c r="L6" s="30">
        <f t="shared" si="1"/>
        <v>360</v>
      </c>
      <c r="M6" s="23">
        <f t="shared" si="2"/>
        <v>0</v>
      </c>
      <c r="N6" s="31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32"/>
      <c r="B7" s="28"/>
      <c r="C7" s="28"/>
      <c r="D7" s="28"/>
      <c r="E7" s="28"/>
      <c r="F7" s="33">
        <f>SUM(F6+G6+H6+I6+J6+K6)</f>
        <v>360</v>
      </c>
      <c r="G7" s="2"/>
      <c r="H7" s="2"/>
      <c r="I7" s="2"/>
      <c r="J7" s="8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36.75"/>
    <col customWidth="1" min="5" max="5" width="69.63"/>
    <col customWidth="1" min="12" max="12" width="15.13"/>
    <col customWidth="1" min="14" max="14" width="18.13"/>
  </cols>
  <sheetData>
    <row r="1">
      <c r="A1" s="1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>
        <v>44846.0</v>
      </c>
      <c r="C5" s="17" t="s">
        <v>55</v>
      </c>
      <c r="D5" s="34">
        <v>67523.0</v>
      </c>
      <c r="E5" s="34" t="s">
        <v>56</v>
      </c>
      <c r="F5" s="19"/>
      <c r="G5" s="38"/>
      <c r="H5" s="19"/>
      <c r="I5" s="20"/>
      <c r="J5" s="26">
        <v>1500.0</v>
      </c>
      <c r="K5" s="22"/>
      <c r="L5" s="22">
        <v>1500.0</v>
      </c>
      <c r="M5" s="23">
        <f t="shared" ref="M5:M7" si="1">SUM(F5+G5+H5+I5+J5+K5-L5)</f>
        <v>0</v>
      </c>
      <c r="N5" s="24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9">
        <v>2.0</v>
      </c>
      <c r="B6" s="16">
        <v>44846.0</v>
      </c>
      <c r="C6" s="17" t="s">
        <v>57</v>
      </c>
      <c r="D6" s="34">
        <v>35245.0</v>
      </c>
      <c r="E6" s="34" t="s">
        <v>50</v>
      </c>
      <c r="F6" s="19"/>
      <c r="G6" s="38"/>
      <c r="H6" s="19"/>
      <c r="I6" s="20"/>
      <c r="J6" s="26">
        <v>2600.0</v>
      </c>
      <c r="K6" s="22"/>
      <c r="L6" s="22">
        <v>2600.0</v>
      </c>
      <c r="M6" s="23">
        <f t="shared" si="1"/>
        <v>0</v>
      </c>
      <c r="N6" s="24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/>
      <c r="B7" s="28"/>
      <c r="C7" s="28"/>
      <c r="D7" s="28"/>
      <c r="E7" s="28"/>
      <c r="F7" s="29">
        <f t="shared" ref="F7:I7" si="2">SUM(F5)</f>
        <v>0</v>
      </c>
      <c r="G7" s="29">
        <f t="shared" si="2"/>
        <v>0</v>
      </c>
      <c r="H7" s="29">
        <f t="shared" si="2"/>
        <v>0</v>
      </c>
      <c r="I7" s="29">
        <f t="shared" si="2"/>
        <v>0</v>
      </c>
      <c r="J7" s="29">
        <f>SUM(J5:J6)</f>
        <v>4100</v>
      </c>
      <c r="K7" s="29">
        <f>SUM(K5)</f>
        <v>0</v>
      </c>
      <c r="L7" s="30">
        <f>SUM(L5:L6)</f>
        <v>4100</v>
      </c>
      <c r="M7" s="23">
        <f t="shared" si="1"/>
        <v>0</v>
      </c>
      <c r="N7" s="31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32"/>
      <c r="B8" s="28"/>
      <c r="C8" s="28"/>
      <c r="D8" s="28"/>
      <c r="E8" s="28"/>
      <c r="F8" s="33">
        <f>SUM(F7+G7+H7+I7+J7+K7)</f>
        <v>4100</v>
      </c>
      <c r="G8" s="2"/>
      <c r="H8" s="2"/>
      <c r="I8" s="2"/>
      <c r="J8" s="8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36.75"/>
    <col customWidth="1" min="5" max="5" width="69.63"/>
    <col customWidth="1" min="12" max="12" width="15.13"/>
    <col customWidth="1" min="14" max="14" width="18.13"/>
  </cols>
  <sheetData>
    <row r="1">
      <c r="A1" s="1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>
        <v>44851.0</v>
      </c>
      <c r="C5" s="17" t="s">
        <v>59</v>
      </c>
      <c r="D5" s="34">
        <v>49194.0</v>
      </c>
      <c r="E5" s="34" t="s">
        <v>60</v>
      </c>
      <c r="F5" s="19"/>
      <c r="G5" s="38"/>
      <c r="H5" s="19"/>
      <c r="I5" s="40">
        <v>7340.0</v>
      </c>
      <c r="J5" s="26"/>
      <c r="K5" s="22"/>
      <c r="L5" s="22">
        <v>7340.0</v>
      </c>
      <c r="M5" s="23">
        <f t="shared" ref="M5:M7" si="1">SUM(F5+G5+H5+I5+J5+K5-L5)</f>
        <v>0</v>
      </c>
      <c r="N5" s="24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9"/>
      <c r="B6" s="16"/>
      <c r="C6" s="17"/>
      <c r="D6" s="34"/>
      <c r="E6" s="34"/>
      <c r="F6" s="19"/>
      <c r="G6" s="38"/>
      <c r="H6" s="19"/>
      <c r="I6" s="40"/>
      <c r="J6" s="26"/>
      <c r="K6" s="22"/>
      <c r="L6" s="22"/>
      <c r="M6" s="23">
        <f t="shared" si="1"/>
        <v>0</v>
      </c>
      <c r="N6" s="24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/>
      <c r="B7" s="28"/>
      <c r="C7" s="28"/>
      <c r="D7" s="28"/>
      <c r="E7" s="28"/>
      <c r="F7" s="29">
        <f t="shared" ref="F7:I7" si="2">SUM(F5)</f>
        <v>0</v>
      </c>
      <c r="G7" s="29">
        <f t="shared" si="2"/>
        <v>0</v>
      </c>
      <c r="H7" s="29">
        <f t="shared" si="2"/>
        <v>0</v>
      </c>
      <c r="I7" s="41">
        <f t="shared" si="2"/>
        <v>7340</v>
      </c>
      <c r="J7" s="29">
        <f>SUM(J5:J6)</f>
        <v>0</v>
      </c>
      <c r="K7" s="29">
        <f>SUM(K5)</f>
        <v>0</v>
      </c>
      <c r="L7" s="30">
        <f>SUM(L5:L6)</f>
        <v>7340</v>
      </c>
      <c r="M7" s="23">
        <f t="shared" si="1"/>
        <v>0</v>
      </c>
      <c r="N7" s="31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32"/>
      <c r="B8" s="28"/>
      <c r="C8" s="28"/>
      <c r="D8" s="28"/>
      <c r="E8" s="28"/>
      <c r="F8" s="33">
        <f>SUM(F7+G7+H7+I7+J7+K7)</f>
        <v>7340</v>
      </c>
      <c r="G8" s="2"/>
      <c r="H8" s="2"/>
      <c r="I8" s="2"/>
      <c r="J8" s="8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36.75"/>
    <col customWidth="1" min="5" max="5" width="69.63"/>
    <col customWidth="1" min="12" max="12" width="15.13"/>
    <col customWidth="1" min="14" max="14" width="18.13"/>
  </cols>
  <sheetData>
    <row r="1">
      <c r="A1" s="1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>
        <v>44854.0</v>
      </c>
      <c r="C5" s="17" t="s">
        <v>61</v>
      </c>
      <c r="D5" s="34">
        <v>57499.0</v>
      </c>
      <c r="E5" s="34" t="s">
        <v>62</v>
      </c>
      <c r="F5" s="19"/>
      <c r="G5" s="38"/>
      <c r="H5" s="38">
        <v>0.0</v>
      </c>
      <c r="I5" s="40"/>
      <c r="J5" s="26"/>
      <c r="K5" s="22"/>
      <c r="L5" s="22">
        <v>29100.0</v>
      </c>
      <c r="M5" s="23">
        <f t="shared" ref="M5:M7" si="1">SUM(F5+G5+H5+I5+J5+K5-L5)</f>
        <v>-29100</v>
      </c>
      <c r="N5" s="35" t="s">
        <v>63</v>
      </c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9"/>
      <c r="B6" s="16"/>
      <c r="C6" s="17"/>
      <c r="D6" s="34"/>
      <c r="E6" s="34"/>
      <c r="F6" s="19"/>
      <c r="G6" s="38"/>
      <c r="H6" s="19"/>
      <c r="I6" s="40"/>
      <c r="J6" s="26"/>
      <c r="K6" s="22"/>
      <c r="L6" s="22"/>
      <c r="M6" s="23">
        <f t="shared" si="1"/>
        <v>0</v>
      </c>
      <c r="N6" s="24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/>
      <c r="B7" s="28"/>
      <c r="C7" s="28"/>
      <c r="D7" s="28"/>
      <c r="E7" s="28"/>
      <c r="F7" s="29">
        <f t="shared" ref="F7:I7" si="2">SUM(F5)</f>
        <v>0</v>
      </c>
      <c r="G7" s="29">
        <f t="shared" si="2"/>
        <v>0</v>
      </c>
      <c r="H7" s="29">
        <f t="shared" si="2"/>
        <v>0</v>
      </c>
      <c r="I7" s="41">
        <f t="shared" si="2"/>
        <v>0</v>
      </c>
      <c r="J7" s="29">
        <f>SUM(J5:J6)</f>
        <v>0</v>
      </c>
      <c r="K7" s="29">
        <f>SUM(K5)</f>
        <v>0</v>
      </c>
      <c r="L7" s="30">
        <f>SUM(L5:L6)</f>
        <v>29100</v>
      </c>
      <c r="M7" s="23">
        <f t="shared" si="1"/>
        <v>-29100</v>
      </c>
      <c r="N7" s="31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32"/>
      <c r="B8" s="28"/>
      <c r="C8" s="28"/>
      <c r="D8" s="28"/>
      <c r="E8" s="28"/>
      <c r="F8" s="33">
        <f>SUM(F7+G7+H7+I7+J7+K7)</f>
        <v>0</v>
      </c>
      <c r="G8" s="2"/>
      <c r="H8" s="2"/>
      <c r="I8" s="2"/>
      <c r="J8" s="8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36.75"/>
    <col customWidth="1" min="5" max="5" width="69.63"/>
    <col customWidth="1" min="12" max="12" width="15.13"/>
    <col customWidth="1" min="14" max="14" width="18.13"/>
  </cols>
  <sheetData>
    <row r="1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>
        <v>44856.0</v>
      </c>
      <c r="C5" s="17" t="s">
        <v>65</v>
      </c>
      <c r="D5" s="34">
        <v>10002.0</v>
      </c>
      <c r="E5" s="34" t="s">
        <v>66</v>
      </c>
      <c r="F5" s="19"/>
      <c r="G5" s="38"/>
      <c r="H5" s="19"/>
      <c r="I5" s="40">
        <v>595.0</v>
      </c>
      <c r="J5" s="26"/>
      <c r="K5" s="22"/>
      <c r="L5" s="22">
        <v>595.0</v>
      </c>
      <c r="M5" s="23">
        <f t="shared" ref="M5:M7" si="1">SUM(F5+G5+H5+I5+J5+K5-L5)</f>
        <v>0</v>
      </c>
      <c r="N5" s="24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9"/>
      <c r="B6" s="16"/>
      <c r="C6" s="17"/>
      <c r="D6" s="34"/>
      <c r="E6" s="34"/>
      <c r="F6" s="19"/>
      <c r="G6" s="38"/>
      <c r="H6" s="19"/>
      <c r="I6" s="40"/>
      <c r="J6" s="26"/>
      <c r="K6" s="22"/>
      <c r="L6" s="22"/>
      <c r="M6" s="23">
        <f t="shared" si="1"/>
        <v>0</v>
      </c>
      <c r="N6" s="24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/>
      <c r="B7" s="28"/>
      <c r="C7" s="28"/>
      <c r="D7" s="28"/>
      <c r="E7" s="28"/>
      <c r="F7" s="29">
        <f t="shared" ref="F7:I7" si="2">SUM(F5)</f>
        <v>0</v>
      </c>
      <c r="G7" s="29">
        <f t="shared" si="2"/>
        <v>0</v>
      </c>
      <c r="H7" s="29">
        <f t="shared" si="2"/>
        <v>0</v>
      </c>
      <c r="I7" s="41">
        <f t="shared" si="2"/>
        <v>595</v>
      </c>
      <c r="J7" s="29">
        <f>SUM(J5:J6)</f>
        <v>0</v>
      </c>
      <c r="K7" s="29">
        <f>SUM(K5)</f>
        <v>0</v>
      </c>
      <c r="L7" s="30">
        <f>SUM(L5:L6)</f>
        <v>595</v>
      </c>
      <c r="M7" s="23">
        <f t="shared" si="1"/>
        <v>0</v>
      </c>
      <c r="N7" s="31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32"/>
      <c r="B8" s="28"/>
      <c r="C8" s="28"/>
      <c r="D8" s="28"/>
      <c r="E8" s="28"/>
      <c r="F8" s="33">
        <f>SUM(F7+G7+H7+I7+J7+K7)</f>
        <v>595</v>
      </c>
      <c r="G8" s="2"/>
      <c r="H8" s="2"/>
      <c r="I8" s="2"/>
      <c r="J8" s="8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36.75"/>
    <col customWidth="1" min="5" max="5" width="69.63"/>
    <col customWidth="1" min="12" max="12" width="15.13"/>
    <col customWidth="1" min="14" max="14" width="18.13"/>
  </cols>
  <sheetData>
    <row r="1">
      <c r="A1" s="1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>
        <v>44858.0</v>
      </c>
      <c r="C5" s="17" t="s">
        <v>68</v>
      </c>
      <c r="D5" s="34">
        <v>35245.0</v>
      </c>
      <c r="E5" s="34" t="s">
        <v>50</v>
      </c>
      <c r="F5" s="19"/>
      <c r="G5" s="38"/>
      <c r="H5" s="19"/>
      <c r="I5" s="40"/>
      <c r="J5" s="26">
        <v>5150.0</v>
      </c>
      <c r="K5" s="22"/>
      <c r="L5" s="22">
        <v>5150.0</v>
      </c>
      <c r="M5" s="23">
        <f t="shared" ref="M5:M7" si="1">SUM(F5+G5+H5+I5+J5+K5-L5)</f>
        <v>0</v>
      </c>
      <c r="N5" s="24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9"/>
      <c r="B6" s="16"/>
      <c r="C6" s="17"/>
      <c r="D6" s="34"/>
      <c r="E6" s="34"/>
      <c r="F6" s="19"/>
      <c r="G6" s="38"/>
      <c r="H6" s="19"/>
      <c r="I6" s="40"/>
      <c r="J6" s="26"/>
      <c r="K6" s="22"/>
      <c r="L6" s="22"/>
      <c r="M6" s="23">
        <f t="shared" si="1"/>
        <v>0</v>
      </c>
      <c r="N6" s="24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/>
      <c r="B7" s="28"/>
      <c r="C7" s="28"/>
      <c r="D7" s="28"/>
      <c r="E7" s="28"/>
      <c r="F7" s="29">
        <f t="shared" ref="F7:I7" si="2">SUM(F5)</f>
        <v>0</v>
      </c>
      <c r="G7" s="29">
        <f t="shared" si="2"/>
        <v>0</v>
      </c>
      <c r="H7" s="29">
        <f t="shared" si="2"/>
        <v>0</v>
      </c>
      <c r="I7" s="41">
        <f t="shared" si="2"/>
        <v>0</v>
      </c>
      <c r="J7" s="29">
        <f>SUM(J5:J6)</f>
        <v>5150</v>
      </c>
      <c r="K7" s="29">
        <f>SUM(K5)</f>
        <v>0</v>
      </c>
      <c r="L7" s="30">
        <f>SUM(L5:L6)</f>
        <v>5150</v>
      </c>
      <c r="M7" s="23">
        <f t="shared" si="1"/>
        <v>0</v>
      </c>
      <c r="N7" s="31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32"/>
      <c r="B8" s="28"/>
      <c r="C8" s="28"/>
      <c r="D8" s="28"/>
      <c r="E8" s="28"/>
      <c r="F8" s="33">
        <f>SUM(F7+G7+H7+I7+J7+K7)</f>
        <v>5150</v>
      </c>
      <c r="G8" s="2"/>
      <c r="H8" s="2"/>
      <c r="I8" s="2"/>
      <c r="J8" s="8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36.75"/>
    <col customWidth="1" min="5" max="5" width="69.63"/>
    <col customWidth="1" min="12" max="12" width="15.13"/>
    <col customWidth="1" min="14" max="14" width="18.13"/>
  </cols>
  <sheetData>
    <row r="1">
      <c r="A1" s="1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>
        <v>44859.0</v>
      </c>
      <c r="C5" s="17" t="s">
        <v>70</v>
      </c>
      <c r="D5" s="34">
        <v>73589.0</v>
      </c>
      <c r="E5" s="34" t="s">
        <v>71</v>
      </c>
      <c r="F5" s="19"/>
      <c r="G5" s="38"/>
      <c r="H5" s="19"/>
      <c r="I5" s="40"/>
      <c r="J5" s="26"/>
      <c r="K5" s="22">
        <v>200.0</v>
      </c>
      <c r="L5" s="22">
        <v>200.0</v>
      </c>
      <c r="M5" s="23">
        <f t="shared" ref="M5:M7" si="1">SUM(F5+G5+H5+I5+J5+K5-L5)</f>
        <v>0</v>
      </c>
      <c r="N5" s="24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9"/>
      <c r="B6" s="16"/>
      <c r="C6" s="17"/>
      <c r="D6" s="34"/>
      <c r="E6" s="34"/>
      <c r="F6" s="19"/>
      <c r="G6" s="38"/>
      <c r="H6" s="19"/>
      <c r="I6" s="40"/>
      <c r="J6" s="26"/>
      <c r="K6" s="22"/>
      <c r="L6" s="22"/>
      <c r="M6" s="23">
        <f t="shared" si="1"/>
        <v>0</v>
      </c>
      <c r="N6" s="24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/>
      <c r="B7" s="28"/>
      <c r="C7" s="28"/>
      <c r="D7" s="28"/>
      <c r="E7" s="28"/>
      <c r="F7" s="29">
        <f t="shared" ref="F7:I7" si="2">SUM(F5)</f>
        <v>0</v>
      </c>
      <c r="G7" s="29">
        <f t="shared" si="2"/>
        <v>0</v>
      </c>
      <c r="H7" s="29">
        <f t="shared" si="2"/>
        <v>0</v>
      </c>
      <c r="I7" s="41">
        <f t="shared" si="2"/>
        <v>0</v>
      </c>
      <c r="J7" s="29">
        <f>SUM(J5:J6)</f>
        <v>0</v>
      </c>
      <c r="K7" s="29">
        <f>SUM(K5)</f>
        <v>200</v>
      </c>
      <c r="L7" s="30">
        <f>SUM(L5:L6)</f>
        <v>200</v>
      </c>
      <c r="M7" s="23">
        <f t="shared" si="1"/>
        <v>0</v>
      </c>
      <c r="N7" s="31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32"/>
      <c r="B8" s="28"/>
      <c r="C8" s="28"/>
      <c r="D8" s="28"/>
      <c r="E8" s="28"/>
      <c r="F8" s="33">
        <f>SUM(F7+G7+H7+I7+J7+K7)</f>
        <v>200</v>
      </c>
      <c r="G8" s="2"/>
      <c r="H8" s="2"/>
      <c r="I8" s="2"/>
      <c r="J8" s="8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36.75"/>
    <col customWidth="1" min="5" max="5" width="69.63"/>
    <col customWidth="1" min="12" max="12" width="15.13"/>
    <col customWidth="1" min="14" max="14" width="18.13"/>
  </cols>
  <sheetData>
    <row r="1">
      <c r="A1" s="1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>
        <v>44861.0</v>
      </c>
      <c r="C5" s="17" t="s">
        <v>73</v>
      </c>
      <c r="D5" s="34">
        <v>36769.0</v>
      </c>
      <c r="E5" s="34" t="s">
        <v>74</v>
      </c>
      <c r="F5" s="19"/>
      <c r="G5" s="38"/>
      <c r="H5" s="19"/>
      <c r="I5" s="40">
        <v>50.0</v>
      </c>
      <c r="J5" s="26"/>
      <c r="K5" s="22"/>
      <c r="L5" s="22">
        <v>50.0</v>
      </c>
      <c r="M5" s="23">
        <f t="shared" ref="M5:M7" si="1">SUM(F5+G5+H5+I5+J5+K5-L5)</f>
        <v>0</v>
      </c>
      <c r="N5" s="24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9"/>
      <c r="B6" s="16"/>
      <c r="C6" s="17"/>
      <c r="D6" s="34"/>
      <c r="E6" s="34"/>
      <c r="F6" s="19"/>
      <c r="G6" s="38"/>
      <c r="H6" s="19"/>
      <c r="I6" s="40"/>
      <c r="J6" s="26"/>
      <c r="K6" s="22"/>
      <c r="L6" s="22"/>
      <c r="M6" s="23">
        <f t="shared" si="1"/>
        <v>0</v>
      </c>
      <c r="N6" s="24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/>
      <c r="B7" s="28"/>
      <c r="C7" s="28"/>
      <c r="D7" s="28"/>
      <c r="E7" s="28"/>
      <c r="F7" s="29">
        <f t="shared" ref="F7:I7" si="2">SUM(F5)</f>
        <v>0</v>
      </c>
      <c r="G7" s="29">
        <f t="shared" si="2"/>
        <v>0</v>
      </c>
      <c r="H7" s="29">
        <f t="shared" si="2"/>
        <v>0</v>
      </c>
      <c r="I7" s="41">
        <f t="shared" si="2"/>
        <v>50</v>
      </c>
      <c r="J7" s="29">
        <f>SUM(J5:J6)</f>
        <v>0</v>
      </c>
      <c r="K7" s="29">
        <f>SUM(K5)</f>
        <v>0</v>
      </c>
      <c r="L7" s="30">
        <f>SUM(L5:L6)</f>
        <v>50</v>
      </c>
      <c r="M7" s="23">
        <f t="shared" si="1"/>
        <v>0</v>
      </c>
      <c r="N7" s="31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32"/>
      <c r="B8" s="28"/>
      <c r="C8" s="28"/>
      <c r="D8" s="28"/>
      <c r="E8" s="28"/>
      <c r="F8" s="33">
        <f>SUM(F7+G7+H7+I7+J7+K7)</f>
        <v>50</v>
      </c>
      <c r="G8" s="2"/>
      <c r="H8" s="2"/>
      <c r="I8" s="2"/>
      <c r="J8" s="8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36.75"/>
    <col customWidth="1" min="5" max="5" width="69.63"/>
    <col customWidth="1" min="12" max="12" width="15.13"/>
    <col customWidth="1" min="14" max="14" width="18.13"/>
  </cols>
  <sheetData>
    <row r="1">
      <c r="A1" s="1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>
        <v>44863.0</v>
      </c>
      <c r="C5" s="17" t="s">
        <v>76</v>
      </c>
      <c r="D5" s="34">
        <v>23221.0</v>
      </c>
      <c r="E5" s="34" t="s">
        <v>33</v>
      </c>
      <c r="F5" s="19"/>
      <c r="G5" s="38"/>
      <c r="H5" s="19"/>
      <c r="I5" s="40"/>
      <c r="J5" s="26"/>
      <c r="K5" s="22">
        <v>930.0</v>
      </c>
      <c r="L5" s="22">
        <v>930.0</v>
      </c>
      <c r="M5" s="23">
        <f t="shared" ref="M5:M7" si="1">SUM(F5+G5+H5+I5+J5+K5-L5)</f>
        <v>0</v>
      </c>
      <c r="N5" s="24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9">
        <v>2.0</v>
      </c>
      <c r="B6" s="16">
        <v>44864.0</v>
      </c>
      <c r="C6" s="17" t="s">
        <v>77</v>
      </c>
      <c r="D6" s="34">
        <v>35245.0</v>
      </c>
      <c r="E6" s="34" t="s">
        <v>50</v>
      </c>
      <c r="F6" s="19"/>
      <c r="G6" s="38"/>
      <c r="H6" s="19"/>
      <c r="I6" s="40"/>
      <c r="J6" s="26">
        <v>2600.0</v>
      </c>
      <c r="K6" s="22"/>
      <c r="L6" s="22">
        <v>2600.0</v>
      </c>
      <c r="M6" s="23">
        <f t="shared" si="1"/>
        <v>0</v>
      </c>
      <c r="N6" s="24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/>
      <c r="B7" s="28"/>
      <c r="C7" s="28"/>
      <c r="D7" s="28"/>
      <c r="E7" s="28"/>
      <c r="F7" s="29">
        <f t="shared" ref="F7:I7" si="2">SUM(F5)</f>
        <v>0</v>
      </c>
      <c r="G7" s="29">
        <f t="shared" si="2"/>
        <v>0</v>
      </c>
      <c r="H7" s="29">
        <f t="shared" si="2"/>
        <v>0</v>
      </c>
      <c r="I7" s="41">
        <f t="shared" si="2"/>
        <v>0</v>
      </c>
      <c r="J7" s="29">
        <f>SUM(J5:J6)</f>
        <v>2600</v>
      </c>
      <c r="K7" s="29">
        <f>SUM(K5)</f>
        <v>930</v>
      </c>
      <c r="L7" s="30">
        <f>SUM(L5:L6)</f>
        <v>3530</v>
      </c>
      <c r="M7" s="23">
        <f t="shared" si="1"/>
        <v>0</v>
      </c>
      <c r="N7" s="31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32"/>
      <c r="B8" s="28"/>
      <c r="C8" s="28"/>
      <c r="D8" s="28"/>
      <c r="E8" s="28"/>
      <c r="F8" s="33">
        <f>SUM(F7+G7+H7+I7+J7+K7)</f>
        <v>3530</v>
      </c>
      <c r="G8" s="2"/>
      <c r="H8" s="2"/>
      <c r="I8" s="2"/>
      <c r="J8" s="8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36.75"/>
    <col customWidth="1" min="5" max="5" width="69.63"/>
    <col customWidth="1" min="12" max="12" width="15.13"/>
    <col customWidth="1" min="14" max="14" width="18.13"/>
  </cols>
  <sheetData>
    <row r="1">
      <c r="A1" s="1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>
        <v>44865.0</v>
      </c>
      <c r="C5" s="17" t="s">
        <v>79</v>
      </c>
      <c r="D5" s="34">
        <v>69620.0</v>
      </c>
      <c r="E5" s="34" t="s">
        <v>26</v>
      </c>
      <c r="F5" s="42"/>
      <c r="G5" s="43"/>
      <c r="H5" s="44"/>
      <c r="I5" s="40"/>
      <c r="J5" s="45">
        <v>6618.0</v>
      </c>
      <c r="K5" s="22"/>
      <c r="L5" s="22">
        <v>6618.0</v>
      </c>
      <c r="M5" s="23">
        <f t="shared" ref="M5:M9" si="1">SUM(F5+G5+H5+I5+J5+K5-L5)</f>
        <v>0</v>
      </c>
      <c r="N5" s="24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9">
        <v>2.0</v>
      </c>
      <c r="B6" s="16">
        <v>44865.0</v>
      </c>
      <c r="C6" s="17" t="s">
        <v>80</v>
      </c>
      <c r="D6" s="34">
        <v>59778.0</v>
      </c>
      <c r="E6" s="34" t="s">
        <v>81</v>
      </c>
      <c r="F6" s="42"/>
      <c r="G6" s="43"/>
      <c r="H6" s="44"/>
      <c r="I6" s="40">
        <v>50.0</v>
      </c>
      <c r="J6" s="45"/>
      <c r="K6" s="22"/>
      <c r="L6" s="22">
        <v>50.0</v>
      </c>
      <c r="M6" s="23">
        <f t="shared" si="1"/>
        <v>0</v>
      </c>
      <c r="N6" s="24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>
        <v>3.0</v>
      </c>
      <c r="B7" s="16">
        <v>44865.0</v>
      </c>
      <c r="C7" s="17" t="s">
        <v>82</v>
      </c>
      <c r="D7" s="34">
        <v>28414.0</v>
      </c>
      <c r="E7" s="34" t="s">
        <v>83</v>
      </c>
      <c r="F7" s="42"/>
      <c r="G7" s="43"/>
      <c r="H7" s="46">
        <v>5050.0</v>
      </c>
      <c r="I7" s="40"/>
      <c r="J7" s="45"/>
      <c r="K7" s="22"/>
      <c r="L7" s="22">
        <v>5050.0</v>
      </c>
      <c r="M7" s="23">
        <f t="shared" si="1"/>
        <v>0</v>
      </c>
      <c r="N7" s="24"/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39">
        <v>4.0</v>
      </c>
      <c r="B8" s="16">
        <v>44865.0</v>
      </c>
      <c r="C8" s="17" t="s">
        <v>84</v>
      </c>
      <c r="D8" s="34">
        <v>35245.0</v>
      </c>
      <c r="E8" s="34" t="s">
        <v>50</v>
      </c>
      <c r="F8" s="42"/>
      <c r="G8" s="43">
        <v>7050.0</v>
      </c>
      <c r="H8" s="44"/>
      <c r="I8" s="40"/>
      <c r="J8" s="45"/>
      <c r="K8" s="22"/>
      <c r="L8" s="22">
        <v>7050.0</v>
      </c>
      <c r="M8" s="23">
        <f t="shared" si="1"/>
        <v>0</v>
      </c>
      <c r="N8" s="24"/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5"/>
      <c r="B9" s="28"/>
      <c r="C9" s="28"/>
      <c r="D9" s="28"/>
      <c r="E9" s="28"/>
      <c r="F9" s="29">
        <f>SUM(F5)</f>
        <v>0</v>
      </c>
      <c r="G9" s="47">
        <f t="shared" ref="G9:I9" si="2">SUM(G5:G8)</f>
        <v>7050</v>
      </c>
      <c r="H9" s="48">
        <f t="shared" si="2"/>
        <v>5050</v>
      </c>
      <c r="I9" s="41">
        <f t="shared" si="2"/>
        <v>50</v>
      </c>
      <c r="J9" s="49">
        <f>SUM(J5:J6)</f>
        <v>6618</v>
      </c>
      <c r="K9" s="29">
        <f>SUM(K5)</f>
        <v>0</v>
      </c>
      <c r="L9" s="30">
        <f>SUM(L5:L8)</f>
        <v>18768</v>
      </c>
      <c r="M9" s="23">
        <f t="shared" si="1"/>
        <v>0</v>
      </c>
      <c r="N9" s="31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32"/>
      <c r="B10" s="28"/>
      <c r="C10" s="28"/>
      <c r="D10" s="28"/>
      <c r="E10" s="28"/>
      <c r="F10" s="33">
        <f>SUM(F9+G9+H9+I9+J9+K9)</f>
        <v>18768</v>
      </c>
      <c r="G10" s="2"/>
      <c r="H10" s="2"/>
      <c r="I10" s="2"/>
      <c r="J10" s="8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mergeCells count="15">
    <mergeCell ref="M2:M4"/>
    <mergeCell ref="N2:N4"/>
    <mergeCell ref="F3:F4"/>
    <mergeCell ref="G3:H3"/>
    <mergeCell ref="F10:J10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
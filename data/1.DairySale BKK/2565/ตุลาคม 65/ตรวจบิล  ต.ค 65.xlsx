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</sheets>
  <definedNames/>
  <calcPr/>
</workbook>
</file>

<file path=xl/sharedStrings.xml><?xml version="1.0" encoding="utf-8"?>
<sst xmlns="http://schemas.openxmlformats.org/spreadsheetml/2006/main" count="94" uniqueCount="54">
  <si>
    <t>ตรวจบิล ต.ค  65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</si>
  <si>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</si>
  <si>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</si>
  <si>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</si>
  <si>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</si>
  <si>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</si>
  <si>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</si>
  <si>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</si>
  <si>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</si>
  <si>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</si>
  <si>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31-2.10.65</t>
  </si>
  <si>
    <t>พี่เกษ</t>
  </si>
  <si>
    <t>3.10.65</t>
  </si>
  <si>
    <t>พี่ี่เกษ</t>
  </si>
  <si>
    <t>ผลต่าง 1200 บาท จากเลขบิล STHBKK012210000089 เป็นบิล -Dummy</t>
  </si>
  <si>
    <t>4.10.65</t>
  </si>
  <si>
    <t>5.10.65</t>
  </si>
  <si>
    <t>6.10.65</t>
  </si>
  <si>
    <t>ผลต่าง 3600 บาท เป็นบิลยกเลิกวันที่ 2/10/65 จากเลขบิล STHBKK012210000293</t>
  </si>
  <si>
    <t>7.10.65</t>
  </si>
  <si>
    <t>ปูน</t>
  </si>
  <si>
    <t>8.10.65</t>
  </si>
  <si>
    <t>9.10.65</t>
  </si>
  <si>
    <t>10.10.65</t>
  </si>
  <si>
    <t>11.10.65</t>
  </si>
  <si>
    <t>12.10.64</t>
  </si>
  <si>
    <t>ผลต่าง 17500 บาท เป็นบิลยกเลิกวันที่ 3/10/65 จากเลขบิล STHBKK012210000132 // STHBKK012210000140</t>
  </si>
  <si>
    <t>13.10.65</t>
  </si>
  <si>
    <t>วันหยุด</t>
  </si>
  <si>
    <t>14.10.65</t>
  </si>
  <si>
    <t>ผลต่าง 3600บาท เป็นบิลยกเลิกวันที่ 2/10/65 จากเลขบิล STHBKK012210000047</t>
  </si>
  <si>
    <t>15.10.65</t>
  </si>
  <si>
    <t xml:space="preserve">ผลต่าง 2900 บาท เป็นบิลยกเลิกวันที่ 14/10/65 จากเลขบิลSTHBKK012210000657	</t>
  </si>
  <si>
    <t>16.10.65</t>
  </si>
  <si>
    <t>รวม</t>
  </si>
  <si>
    <t>.</t>
  </si>
  <si>
    <t>17.10.65</t>
  </si>
  <si>
    <t>18.10.65</t>
  </si>
  <si>
    <t>19.10.65</t>
  </si>
  <si>
    <t>20.10.65</t>
  </si>
  <si>
    <t>21.10.65</t>
  </si>
  <si>
    <t>22.10.65</t>
  </si>
  <si>
    <t>23.10.65</t>
  </si>
  <si>
    <t>24.10.65</t>
  </si>
  <si>
    <t>25.10.65</t>
  </si>
  <si>
    <t>ผลต่าง 5000 บาท เป็นบิลยกเลิกวันที่ 24/10/65 จากเลขบิล STHBKK012210001264</t>
  </si>
  <si>
    <t>26.10.65</t>
  </si>
  <si>
    <t>27.10.65</t>
  </si>
  <si>
    <t>เอิง</t>
  </si>
  <si>
    <t>28.10.65</t>
  </si>
  <si>
    <t>29.10.65</t>
  </si>
  <si>
    <t>นี</t>
  </si>
  <si>
    <t>30.10.65</t>
  </si>
  <si>
    <t>31.10.65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</si>
</sst>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2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6.0"/>
      <color theme="1"/>
      <name val="Calibri"/>
    </font>
    <font>
      <sz val="16.0"/>
      <color rgb="FFFF0000"/>
      <name val="Calibri"/>
    </font>
    <font>
      <sz val="18.0"/>
      <color rgb="FF000000"/>
      <name val="Arial"/>
    </font>
    <font>
      <sz val="14.0"/>
      <color theme="1"/>
      <name val="Arial"/>
    </font>
    <font>
      <sz val="18.0"/>
      <color theme="1"/>
      <name val="Arial"/>
    </font>
    <font>
      <sz val="17.0"/>
      <color theme="1"/>
      <name val="Calibri"/>
    </font>
    <font>
      <b/>
      <u/>
      <sz val="16.0"/>
      <color theme="1"/>
      <name val="Calibri"/>
    </font>
    <font>
      <b/>
      <u/>
      <sz val="16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5" fillId="0" fontId="4" numFmtId="0" xfId="0" applyAlignment="1" applyBorder="1" applyFont="1">
      <alignment horizontal="center" readingOrder="0" vertical="bottom"/>
    </xf>
    <xf borderId="3" fillId="5" fontId="4" numFmtId="38" xfId="0" applyAlignment="1" applyBorder="1" applyFont="1" applyNumberFormat="1">
      <alignment horizontal="right" readingOrder="0" vertical="bottom"/>
    </xf>
    <xf borderId="3" fillId="5" fontId="4" numFmtId="38" xfId="0" applyAlignment="1" applyBorder="1" applyFont="1" applyNumberFormat="1">
      <alignment horizontal="right" vertical="bottom"/>
    </xf>
    <xf borderId="3" fillId="4" fontId="4" numFmtId="38" xfId="0" applyAlignment="1" applyBorder="1" applyFont="1" applyNumberFormat="1">
      <alignment horizontal="right" readingOrder="0" vertical="bottom"/>
    </xf>
    <xf borderId="3" fillId="0" fontId="5" numFmtId="164" xfId="0" applyAlignment="1" applyBorder="1" applyFont="1" applyNumberFormat="1">
      <alignment horizontal="right" vertical="bottom"/>
    </xf>
    <xf borderId="3" fillId="0" fontId="4" numFmtId="0" xfId="0" applyAlignment="1" applyBorder="1" applyFont="1">
      <alignment horizontal="center" readingOrder="0" vertical="bottom"/>
    </xf>
    <xf borderId="3" fillId="0" fontId="3" numFmtId="0" xfId="0" applyAlignment="1" applyBorder="1" applyFont="1">
      <alignment vertical="bottom"/>
    </xf>
    <xf borderId="3" fillId="5" fontId="4" numFmtId="164" xfId="0" applyAlignment="1" applyBorder="1" applyFont="1" applyNumberFormat="1">
      <alignment horizontal="right" readingOrder="0" vertical="bottom"/>
    </xf>
    <xf borderId="3" fillId="0" fontId="6" numFmtId="0" xfId="0" applyAlignment="1" applyBorder="1" applyFont="1">
      <alignment horizontal="left" readingOrder="0" vertical="center"/>
    </xf>
    <xf borderId="3" fillId="5" fontId="4" numFmtId="164" xfId="0" applyAlignment="1" applyBorder="1" applyFont="1" applyNumberFormat="1">
      <alignment horizontal="right" vertical="bottom"/>
    </xf>
    <xf borderId="3" fillId="4" fontId="4" numFmtId="38" xfId="0" applyAlignment="1" applyBorder="1" applyFont="1" applyNumberFormat="1">
      <alignment horizontal="right" vertical="bottom"/>
    </xf>
    <xf borderId="3" fillId="6" fontId="3" numFmtId="0" xfId="0" applyAlignment="1" applyBorder="1" applyFill="1" applyFont="1">
      <alignment vertical="bottom"/>
    </xf>
    <xf borderId="3" fillId="6" fontId="7" numFmtId="0" xfId="0" applyAlignment="1" applyBorder="1" applyFont="1">
      <alignment vertical="bottom"/>
    </xf>
    <xf borderId="3" fillId="0" fontId="8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center" readingOrder="0" vertical="bottom"/>
    </xf>
    <xf borderId="4" fillId="5" fontId="4" numFmtId="38" xfId="0" applyAlignment="1" applyBorder="1" applyFont="1" applyNumberFormat="1">
      <alignment horizontal="right" readingOrder="0" vertical="bottom"/>
    </xf>
    <xf borderId="4" fillId="5" fontId="4" numFmtId="38" xfId="0" applyAlignment="1" applyBorder="1" applyFont="1" applyNumberFormat="1">
      <alignment horizontal="right" vertical="bottom"/>
    </xf>
    <xf borderId="4" fillId="4" fontId="4" numFmtId="38" xfId="0" applyAlignment="1" applyBorder="1" applyFont="1" applyNumberFormat="1">
      <alignment horizontal="right" readingOrder="0" vertical="bottom"/>
    </xf>
    <xf borderId="4" fillId="4" fontId="4" numFmtId="38" xfId="0" applyAlignment="1" applyBorder="1" applyFont="1" applyNumberFormat="1">
      <alignment horizontal="right" vertical="bottom"/>
    </xf>
    <xf borderId="4" fillId="0" fontId="5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readingOrder="0" vertical="bottom"/>
    </xf>
    <xf borderId="6" fillId="7" fontId="9" numFmtId="0" xfId="0" applyAlignment="1" applyBorder="1" applyFill="1" applyFont="1">
      <alignment horizontal="center" readingOrder="0" vertical="bottom"/>
    </xf>
    <xf borderId="7" fillId="7" fontId="9" numFmtId="38" xfId="0" applyAlignment="1" applyBorder="1" applyFont="1" applyNumberFormat="1">
      <alignment horizontal="right" vertical="bottom"/>
    </xf>
    <xf borderId="7" fillId="7" fontId="4" numFmtId="38" xfId="0" applyAlignment="1" applyBorder="1" applyFont="1" applyNumberFormat="1">
      <alignment horizontal="right" vertical="bottom"/>
    </xf>
    <xf borderId="7" fillId="7" fontId="5" numFmtId="164" xfId="0" applyAlignment="1" applyBorder="1" applyFont="1" applyNumberFormat="1">
      <alignment horizontal="right" vertical="bottom"/>
    </xf>
    <xf borderId="7" fillId="7" fontId="4" numFmtId="0" xfId="0" applyAlignment="1" applyBorder="1" applyFont="1">
      <alignment horizontal="center" readingOrder="0" vertical="bottom"/>
    </xf>
    <xf borderId="8" fillId="7" fontId="3" numFmtId="0" xfId="0" applyAlignment="1" applyBorder="1" applyFont="1">
      <alignment vertical="bottom"/>
    </xf>
    <xf borderId="9" fillId="0" fontId="10" numFmtId="0" xfId="0" applyAlignment="1" applyBorder="1" applyFont="1">
      <alignment horizontal="center" vertical="bottom"/>
    </xf>
    <xf borderId="3" fillId="0" fontId="11" numFmtId="38" xfId="0" applyAlignment="1" applyBorder="1" applyFont="1" applyNumberFormat="1">
      <alignment horizontal="center" vertical="bottom"/>
    </xf>
    <xf borderId="10" fillId="6" fontId="4" numFmtId="0" xfId="0" applyAlignment="1" applyBorder="1" applyFont="1">
      <alignment horizontal="center" readingOrder="0" vertical="bottom"/>
    </xf>
    <xf borderId="10" fillId="6" fontId="4" numFmtId="38" xfId="0" applyAlignment="1" applyBorder="1" applyFont="1" applyNumberFormat="1">
      <alignment horizontal="right" readingOrder="0" vertical="bottom"/>
    </xf>
    <xf borderId="10" fillId="6" fontId="4" numFmtId="38" xfId="0" applyAlignment="1" applyBorder="1" applyFont="1" applyNumberFormat="1">
      <alignment horizontal="right" vertical="bottom"/>
    </xf>
    <xf borderId="10" fillId="6" fontId="5" numFmtId="164" xfId="0" applyAlignment="1" applyBorder="1" applyFont="1" applyNumberFormat="1">
      <alignment horizontal="right" vertical="bottom"/>
    </xf>
    <xf borderId="10" fillId="6" fontId="3" numFmtId="0" xfId="0" applyAlignment="1" applyBorder="1" applyFont="1">
      <alignment vertical="bottom"/>
    </xf>
    <xf borderId="10" fillId="6" fontId="4" numFmtId="164" xfId="0" applyAlignment="1" applyBorder="1" applyFont="1" applyNumberFormat="1">
      <alignment horizontal="right" vertical="bottom"/>
    </xf>
    <xf borderId="10" fillId="6" fontId="6" numFmtId="0" xfId="0" applyAlignment="1" applyBorder="1" applyFont="1">
      <alignment horizontal="left" readingOrder="0" vertical="center"/>
    </xf>
    <xf borderId="10" fillId="6" fontId="7" numFmtId="0" xfId="0" applyAlignment="1" applyBorder="1" applyFont="1">
      <alignment vertical="bottom"/>
    </xf>
    <xf borderId="10" fillId="6" fontId="8" numFmtId="0" xfId="0" applyAlignment="1" applyBorder="1" applyFont="1">
      <alignment readingOrder="0" vertical="bottom"/>
    </xf>
    <xf borderId="10" fillId="6" fontId="4" numFmtId="164" xfId="0" applyAlignment="1" applyBorder="1" applyFont="1" applyNumberFormat="1">
      <alignment horizontal="right" readingOrder="0" vertical="bottom"/>
    </xf>
    <xf borderId="10" fillId="6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7.13"/>
    <col customWidth="1" min="9" max="9" width="148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4">
        <v>67.0</v>
      </c>
      <c r="C4" s="15">
        <v>375230.0</v>
      </c>
      <c r="D4" s="14">
        <v>375230.0</v>
      </c>
      <c r="E4" s="16">
        <v>67.0</v>
      </c>
      <c r="F4" s="16">
        <v>375230.0</v>
      </c>
      <c r="G4" s="17">
        <f t="shared" ref="G4:G19" si="1">SUM(F4-D4)</f>
        <v>0</v>
      </c>
      <c r="H4" s="18" t="s">
        <v>11</v>
      </c>
      <c r="I4" s="1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 t="s">
        <v>12</v>
      </c>
      <c r="B5" s="14">
        <v>63.0</v>
      </c>
      <c r="C5" s="20">
        <v>527270.0</v>
      </c>
      <c r="D5" s="20">
        <v>527270.0</v>
      </c>
      <c r="E5" s="16">
        <v>63.0</v>
      </c>
      <c r="F5" s="16">
        <v>528470.0</v>
      </c>
      <c r="G5" s="17">
        <f t="shared" si="1"/>
        <v>1200</v>
      </c>
      <c r="H5" s="18" t="s">
        <v>13</v>
      </c>
      <c r="I5" s="21" t="s">
        <v>14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3" t="s">
        <v>15</v>
      </c>
      <c r="B6" s="14">
        <v>67.0</v>
      </c>
      <c r="C6" s="22">
        <v>457505.0</v>
      </c>
      <c r="D6" s="22">
        <v>457505.0</v>
      </c>
      <c r="E6" s="16">
        <v>67.0</v>
      </c>
      <c r="F6" s="23">
        <v>457505.0</v>
      </c>
      <c r="G6" s="17">
        <f t="shared" si="1"/>
        <v>0</v>
      </c>
      <c r="H6" s="18" t="s">
        <v>13</v>
      </c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3" t="s">
        <v>16</v>
      </c>
      <c r="B7" s="14">
        <v>67.0</v>
      </c>
      <c r="C7" s="15">
        <v>363175.0</v>
      </c>
      <c r="D7" s="15">
        <v>363175.0</v>
      </c>
      <c r="E7" s="16">
        <v>67.0</v>
      </c>
      <c r="F7" s="23">
        <v>363175.0</v>
      </c>
      <c r="G7" s="17">
        <f t="shared" si="1"/>
        <v>0</v>
      </c>
      <c r="H7" s="18" t="s">
        <v>13</v>
      </c>
      <c r="I7" s="25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17</v>
      </c>
      <c r="B8" s="14">
        <v>46.0</v>
      </c>
      <c r="C8" s="14">
        <v>280395.0</v>
      </c>
      <c r="D8" s="15">
        <v>280395.0</v>
      </c>
      <c r="E8" s="16">
        <v>46.0</v>
      </c>
      <c r="F8" s="23">
        <v>283995.0</v>
      </c>
      <c r="G8" s="17">
        <f t="shared" si="1"/>
        <v>3600</v>
      </c>
      <c r="H8" s="18" t="s">
        <v>13</v>
      </c>
      <c r="I8" s="26" t="s">
        <v>18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3" t="s">
        <v>19</v>
      </c>
      <c r="B9" s="14">
        <v>44.0</v>
      </c>
      <c r="C9" s="15">
        <v>551575.0</v>
      </c>
      <c r="D9" s="15">
        <v>551575.0</v>
      </c>
      <c r="E9" s="16">
        <v>44.0</v>
      </c>
      <c r="F9" s="23">
        <v>551575.0</v>
      </c>
      <c r="G9" s="17">
        <f t="shared" si="1"/>
        <v>0</v>
      </c>
      <c r="H9" s="18" t="s">
        <v>20</v>
      </c>
      <c r="I9" s="1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 t="s">
        <v>21</v>
      </c>
      <c r="B10" s="14">
        <v>44.0</v>
      </c>
      <c r="C10" s="14">
        <v>254145.0</v>
      </c>
      <c r="D10" s="14">
        <v>254145.0</v>
      </c>
      <c r="E10" s="16">
        <v>44.0</v>
      </c>
      <c r="F10" s="16">
        <v>254145.0</v>
      </c>
      <c r="G10" s="17">
        <f t="shared" si="1"/>
        <v>0</v>
      </c>
      <c r="H10" s="18" t="s">
        <v>13</v>
      </c>
      <c r="I10" s="1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 t="s">
        <v>22</v>
      </c>
      <c r="B11" s="14">
        <v>41.0</v>
      </c>
      <c r="C11" s="15">
        <v>276630.0</v>
      </c>
      <c r="D11" s="22">
        <v>276630.0</v>
      </c>
      <c r="E11" s="16">
        <v>41.0</v>
      </c>
      <c r="F11" s="23">
        <v>276630.0</v>
      </c>
      <c r="G11" s="17">
        <f t="shared" si="1"/>
        <v>0</v>
      </c>
      <c r="H11" s="18" t="s">
        <v>13</v>
      </c>
      <c r="I11" s="19"/>
      <c r="J11" s="3"/>
      <c r="K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 t="s">
        <v>23</v>
      </c>
      <c r="B12" s="14">
        <v>35.0</v>
      </c>
      <c r="C12" s="15">
        <v>290200.0</v>
      </c>
      <c r="D12" s="15">
        <v>290200.0</v>
      </c>
      <c r="E12" s="16">
        <v>35.0</v>
      </c>
      <c r="F12" s="23">
        <v>290200.0</v>
      </c>
      <c r="G12" s="17">
        <f t="shared" si="1"/>
        <v>0</v>
      </c>
      <c r="H12" s="18" t="s">
        <v>13</v>
      </c>
      <c r="I12" s="1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 t="s">
        <v>24</v>
      </c>
      <c r="B13" s="14">
        <v>33.0</v>
      </c>
      <c r="C13" s="15">
        <v>258294.0</v>
      </c>
      <c r="D13" s="22">
        <v>258294.0</v>
      </c>
      <c r="E13" s="16">
        <v>33.0</v>
      </c>
      <c r="F13" s="23">
        <v>258294.0</v>
      </c>
      <c r="G13" s="17">
        <f t="shared" si="1"/>
        <v>0</v>
      </c>
      <c r="H13" s="18" t="s">
        <v>13</v>
      </c>
      <c r="I13" s="1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7" t="s">
        <v>25</v>
      </c>
      <c r="B14" s="28">
        <v>53.0</v>
      </c>
      <c r="C14" s="29">
        <v>443895.0</v>
      </c>
      <c r="D14" s="29">
        <v>443895.0</v>
      </c>
      <c r="E14" s="30">
        <v>53.0</v>
      </c>
      <c r="F14" s="31">
        <v>461395.0</v>
      </c>
      <c r="G14" s="32">
        <f t="shared" si="1"/>
        <v>17500</v>
      </c>
      <c r="H14" s="33" t="s">
        <v>13</v>
      </c>
      <c r="I14" s="34" t="s">
        <v>26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5" t="s">
        <v>27</v>
      </c>
      <c r="B15" s="36"/>
      <c r="C15" s="37"/>
      <c r="D15" s="37"/>
      <c r="E15" s="36"/>
      <c r="F15" s="37"/>
      <c r="G15" s="38">
        <f t="shared" si="1"/>
        <v>0</v>
      </c>
      <c r="H15" s="39" t="s">
        <v>28</v>
      </c>
      <c r="I15" s="40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 t="s">
        <v>29</v>
      </c>
      <c r="B16" s="14">
        <v>63.0</v>
      </c>
      <c r="C16" s="15">
        <v>975240.0</v>
      </c>
      <c r="D16" s="15">
        <v>975240.0</v>
      </c>
      <c r="E16" s="16">
        <v>63.0</v>
      </c>
      <c r="F16" s="23">
        <v>978840.0</v>
      </c>
      <c r="G16" s="17">
        <f t="shared" si="1"/>
        <v>3600</v>
      </c>
      <c r="H16" s="18" t="s">
        <v>20</v>
      </c>
      <c r="I16" s="26" t="s">
        <v>30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 t="s">
        <v>31</v>
      </c>
      <c r="B17" s="14">
        <v>46.0</v>
      </c>
      <c r="C17" s="20">
        <v>315830.0</v>
      </c>
      <c r="D17" s="20">
        <v>315830.0</v>
      </c>
      <c r="E17" s="16">
        <v>46.0</v>
      </c>
      <c r="F17" s="16">
        <v>318730.0</v>
      </c>
      <c r="G17" s="17">
        <f t="shared" si="1"/>
        <v>2900</v>
      </c>
      <c r="H17" s="18" t="s">
        <v>11</v>
      </c>
      <c r="I17" s="26" t="s">
        <v>32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" t="s">
        <v>33</v>
      </c>
      <c r="B18" s="14">
        <v>31.0</v>
      </c>
      <c r="C18" s="22">
        <v>249170.0</v>
      </c>
      <c r="D18" s="22">
        <v>249170.0</v>
      </c>
      <c r="E18" s="16">
        <v>31.0</v>
      </c>
      <c r="F18" s="23">
        <v>249170.0</v>
      </c>
      <c r="G18" s="17">
        <f t="shared" si="1"/>
        <v>0</v>
      </c>
      <c r="H18" s="18" t="s">
        <v>20</v>
      </c>
      <c r="I18" s="2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1" t="s">
        <v>34</v>
      </c>
      <c r="B19" s="2"/>
      <c r="C19" s="6"/>
      <c r="D19" s="42">
        <f>SUM(D4:D17)</f>
        <v>5369384</v>
      </c>
      <c r="E19" s="19"/>
      <c r="F19" s="42">
        <f>SUM(F4:F17)</f>
        <v>5398184</v>
      </c>
      <c r="G19" s="17">
        <f t="shared" si="1"/>
        <v>28800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35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8" max="8" width="17.13"/>
    <col customWidth="1" min="9" max="9" width="91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3" t="s">
        <v>36</v>
      </c>
      <c r="B4" s="44">
        <v>49.0</v>
      </c>
      <c r="C4" s="45">
        <v>437705.0</v>
      </c>
      <c r="D4" s="44">
        <v>437705.0</v>
      </c>
      <c r="E4" s="44">
        <v>49.0</v>
      </c>
      <c r="F4" s="45">
        <v>437705.0</v>
      </c>
      <c r="G4" s="46">
        <f t="shared" ref="G4:G13" si="1">SUM(F4-D4)</f>
        <v>0</v>
      </c>
      <c r="H4" s="43" t="s">
        <v>11</v>
      </c>
      <c r="I4" s="4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3" t="s">
        <v>37</v>
      </c>
      <c r="B5" s="44">
        <v>42.0</v>
      </c>
      <c r="C5" s="48">
        <v>412430.0</v>
      </c>
      <c r="D5" s="48">
        <v>412430.0</v>
      </c>
      <c r="E5" s="44">
        <v>12.0</v>
      </c>
      <c r="F5" s="45">
        <v>412430.0</v>
      </c>
      <c r="G5" s="46">
        <f t="shared" si="1"/>
        <v>0</v>
      </c>
      <c r="H5" s="43" t="s">
        <v>11</v>
      </c>
      <c r="I5" s="4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3" t="s">
        <v>38</v>
      </c>
      <c r="B6" s="44">
        <v>45.0</v>
      </c>
      <c r="C6" s="48">
        <v>366340.0</v>
      </c>
      <c r="D6" s="48">
        <v>366340.0</v>
      </c>
      <c r="E6" s="44">
        <v>45.0</v>
      </c>
      <c r="F6" s="45">
        <v>366340.0</v>
      </c>
      <c r="G6" s="46">
        <f t="shared" si="1"/>
        <v>0</v>
      </c>
      <c r="H6" s="43" t="s">
        <v>20</v>
      </c>
      <c r="I6" s="4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3" t="s">
        <v>39</v>
      </c>
      <c r="B7" s="44">
        <v>40.0</v>
      </c>
      <c r="C7" s="45">
        <v>393370.0</v>
      </c>
      <c r="D7" s="45">
        <v>393370.0</v>
      </c>
      <c r="E7" s="44">
        <v>40.0</v>
      </c>
      <c r="F7" s="45">
        <v>393370.0</v>
      </c>
      <c r="G7" s="46">
        <f t="shared" si="1"/>
        <v>0</v>
      </c>
      <c r="H7" s="43" t="s">
        <v>20</v>
      </c>
      <c r="I7" s="5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3" t="s">
        <v>40</v>
      </c>
      <c r="B8" s="44">
        <v>37.0</v>
      </c>
      <c r="C8" s="44">
        <v>132085.0</v>
      </c>
      <c r="D8" s="44">
        <v>132085.0</v>
      </c>
      <c r="E8" s="44">
        <v>37.0</v>
      </c>
      <c r="F8" s="44">
        <v>132085.0</v>
      </c>
      <c r="G8" s="46">
        <f t="shared" si="1"/>
        <v>0</v>
      </c>
      <c r="H8" s="43" t="s">
        <v>11</v>
      </c>
      <c r="I8" s="51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3" t="s">
        <v>41</v>
      </c>
      <c r="B9" s="44">
        <v>40.0</v>
      </c>
      <c r="C9" s="45">
        <v>300220.0</v>
      </c>
      <c r="D9" s="45">
        <v>300220.0</v>
      </c>
      <c r="E9" s="44">
        <v>40.0</v>
      </c>
      <c r="F9" s="45">
        <v>300220.0</v>
      </c>
      <c r="G9" s="46">
        <f t="shared" si="1"/>
        <v>0</v>
      </c>
      <c r="H9" s="43" t="s">
        <v>20</v>
      </c>
      <c r="I9" s="47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5" t="s">
        <v>42</v>
      </c>
      <c r="B10" s="36"/>
      <c r="C10" s="37"/>
      <c r="D10" s="37"/>
      <c r="E10" s="36"/>
      <c r="F10" s="37"/>
      <c r="G10" s="38">
        <f t="shared" si="1"/>
        <v>0</v>
      </c>
      <c r="H10" s="39" t="s">
        <v>28</v>
      </c>
      <c r="I10" s="4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3" t="s">
        <v>43</v>
      </c>
      <c r="B11" s="44">
        <v>76.0</v>
      </c>
      <c r="C11" s="44">
        <v>869780.0</v>
      </c>
      <c r="D11" s="52">
        <v>869780.0</v>
      </c>
      <c r="E11" s="44">
        <v>76.0</v>
      </c>
      <c r="F11" s="44">
        <v>869780.0</v>
      </c>
      <c r="G11" s="46">
        <f t="shared" si="1"/>
        <v>0</v>
      </c>
      <c r="H11" s="43" t="s">
        <v>11</v>
      </c>
      <c r="I11" s="47"/>
      <c r="J11" s="3"/>
      <c r="K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3" t="s">
        <v>44</v>
      </c>
      <c r="B12" s="44">
        <v>41.0</v>
      </c>
      <c r="C12" s="45">
        <v>275710.0</v>
      </c>
      <c r="D12" s="45">
        <v>275710.0</v>
      </c>
      <c r="E12" s="44">
        <v>41.0</v>
      </c>
      <c r="F12" s="44">
        <v>280710.0</v>
      </c>
      <c r="G12" s="46">
        <f t="shared" si="1"/>
        <v>5000</v>
      </c>
      <c r="H12" s="43" t="s">
        <v>20</v>
      </c>
      <c r="I12" s="53" t="s">
        <v>45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3" t="s">
        <v>46</v>
      </c>
      <c r="B13" s="44">
        <v>44.0</v>
      </c>
      <c r="C13" s="45">
        <v>314470.0</v>
      </c>
      <c r="D13" s="48">
        <v>314470.0</v>
      </c>
      <c r="E13" s="44">
        <v>44.0</v>
      </c>
      <c r="F13" s="45">
        <v>314470.0</v>
      </c>
      <c r="G13" s="46">
        <f t="shared" si="1"/>
        <v>0</v>
      </c>
      <c r="H13" s="43" t="s">
        <v>11</v>
      </c>
      <c r="I13" s="47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3" t="s">
        <v>47</v>
      </c>
      <c r="B14" s="44">
        <v>56.0</v>
      </c>
      <c r="C14" s="44">
        <v>413045.0</v>
      </c>
      <c r="D14" s="44">
        <v>413045.0</v>
      </c>
      <c r="E14" s="44">
        <v>56.0</v>
      </c>
      <c r="F14" s="44">
        <v>413045.0</v>
      </c>
      <c r="G14" s="46"/>
      <c r="H14" s="43" t="s">
        <v>48</v>
      </c>
      <c r="I14" s="51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3" t="s">
        <v>49</v>
      </c>
      <c r="B15" s="44">
        <v>51.0</v>
      </c>
      <c r="C15" s="44">
        <v>303770.0</v>
      </c>
      <c r="D15" s="44">
        <v>303770.0</v>
      </c>
      <c r="E15" s="44">
        <v>51.0</v>
      </c>
      <c r="F15" s="45">
        <v>303770.0</v>
      </c>
      <c r="G15" s="46">
        <f t="shared" ref="G15:G16" si="2">SUM(F15-D15)</f>
        <v>0</v>
      </c>
      <c r="H15" s="43" t="s">
        <v>20</v>
      </c>
      <c r="I15" s="51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3" t="s">
        <v>50</v>
      </c>
      <c r="B16" s="44">
        <v>33.0</v>
      </c>
      <c r="C16" s="52">
        <v>113540.0</v>
      </c>
      <c r="D16" s="52">
        <f>SUM(C16)</f>
        <v>113540</v>
      </c>
      <c r="E16" s="44">
        <v>33.0</v>
      </c>
      <c r="F16" s="44">
        <v>113540.0</v>
      </c>
      <c r="G16" s="46">
        <f t="shared" si="2"/>
        <v>0</v>
      </c>
      <c r="H16" s="43" t="s">
        <v>51</v>
      </c>
      <c r="I16" s="51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43" t="s">
        <v>52</v>
      </c>
      <c r="B17" s="44">
        <v>35.0</v>
      </c>
      <c r="C17" s="52">
        <v>240820.0</v>
      </c>
      <c r="D17" s="52">
        <v>240820.0</v>
      </c>
      <c r="E17" s="44">
        <v>35.0</v>
      </c>
      <c r="F17" s="44">
        <v>240820.0</v>
      </c>
      <c r="G17" s="46"/>
      <c r="H17" s="43" t="s">
        <v>11</v>
      </c>
      <c r="I17" s="4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3" t="s">
        <v>53</v>
      </c>
      <c r="B18" s="44">
        <v>81.0</v>
      </c>
      <c r="C18" s="48">
        <v>631800.0</v>
      </c>
      <c r="D18" s="48">
        <v>631800.0</v>
      </c>
      <c r="E18" s="44">
        <v>81.0</v>
      </c>
      <c r="F18" s="45">
        <v>631800.0</v>
      </c>
      <c r="G18" s="46">
        <f t="shared" ref="G18:G19" si="3">SUM(F18-D18)</f>
        <v>0</v>
      </c>
      <c r="H18" s="43" t="s">
        <v>11</v>
      </c>
      <c r="I18" s="47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1" t="s">
        <v>34</v>
      </c>
      <c r="B19" s="2"/>
      <c r="C19" s="6"/>
      <c r="D19" s="42">
        <f>SUM(D4:D16)</f>
        <v>4332465</v>
      </c>
      <c r="E19" s="19"/>
      <c r="F19" s="42">
        <f>SUM(F4:F16)</f>
        <v>4337465</v>
      </c>
      <c r="G19" s="17">
        <f t="shared" si="3"/>
        <v>5000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35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
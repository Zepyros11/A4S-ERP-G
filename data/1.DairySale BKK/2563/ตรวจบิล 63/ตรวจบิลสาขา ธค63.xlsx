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11263" sheetId="1" r:id="rId4"/>
    <sheet state="visible" name="12-221263" sheetId="2" r:id="rId5"/>
    <sheet state="visible" name="23-31" sheetId="3" r:id="rId6"/>
  </sheets>
  <definedNames/>
  <calcPr/>
</workbook>
</file>

<file path=xl/sharedStrings.xml><?xml version="1.0" encoding="utf-8"?>
<sst xmlns="http://schemas.openxmlformats.org/spreadsheetml/2006/main" count="88" uniqueCount="30">
  <si>
    <t>ตรวจสอบบิลขายในระบบ กับ DAILY SALE กรุงเทพฯ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</si>
  <si>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</si>
  <si>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</si>
  <si>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</si>
  <si>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</si>
  <si>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</si>
  <si>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</si>
  <si>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</si>
  <si>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</si>
  <si>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</si>
  <si>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</si>
  <si>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</si>
  <si>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อริสรา</t>
  </si>
  <si>
    <t>มุรณี</t>
  </si>
  <si>
    <t>ผลต่าง7500 เนื่องจากเป็นยอดรูดบัตรเครดิตที่หาดใหญ่ค่ะ</t>
  </si>
  <si>
    <t>สาริยา</t>
  </si>
  <si>
    <t>ผลต่าง 15,000 บาท เกิดจากการยกเลิกบิล และลงบิลใหม่และทำเดลี่วันนี้เรียบร้อย</t>
  </si>
  <si>
    <t>ผลต่าง700 บาท เนื่องจากเป็นบิลยกเลิกทำการลงเดลี่เรียบร้อยค่ะ</t>
  </si>
  <si>
    <t>มุุรณี</t>
  </si>
  <si>
    <t>รวม</t>
  </si>
  <si>
    <t>ผลต่าง 112,773 เนื่องจากยกเลิกบิลทำการลงคะแนนให้ลูกค้าใหม่ ทำการลงเดลี่เรียบร้อยค่ะ</t>
  </si>
  <si>
    <t>ผลต่าง 6250 บาทเนื่องจากยกเลิกบิลทำการลงเดลี่เรียบร้อยค่ะ</t>
  </si>
  <si>
    <t>ผลต่่าง 2800 บาทเนื่องจากเป็นบิลยกเลิกและบิล dummy ทำการลงเดลี่เรียบร้อยค่ะ</t>
  </si>
  <si>
    <t xml:space="preserve">ผลต่าง 300 บาทเนื่องจากเป็นบิล dummy </t>
  </si>
  <si>
    <t>ผลต่าง 11700บาทเนื่องจากยกเลิกบิลทำการลงเดลี่เรียบร้อยค่ะ</t>
  </si>
  <si>
    <t>ผลต่าง 5950 บาท เนื่องจากเป็นบิลยกเลิกทำการลงเดลี่เรียบร้อยค่ะ</t>
  </si>
  <si>
    <t>ผลต่าง 20 บาท เนื่องจากเป็นบิลลงคะแนน dummy</t>
  </si>
  <si>
    <t>ผลต่าง 4000 บาท เนื่องจากเป็นบิลยกเลิกทำการลงเดลี่เรียบร้อยค่ะ</t>
  </si>
  <si>
    <t xml:space="preserve">1.ผลต่าง 109100 บาท เนื่องจากเป็นบิลยกเลิกทำการลงเดลี่เรียบร้อยค่ะ
2.ผลต่าง322500 เป็นบิลค้างชำระของพี่เค้ก                                    </t>
  </si>
  <si>
    <t>ผลต่าง 300 บาท เนื่องจากเป็นบิลยกเลิกทำการลงเดลี่เรียบร้อยค่ะ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</si>
</sst>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_-;\-* #,##0_-;_-* &quot;-&quot;??_-;_-@"/>
  </numFmts>
  <fonts count="14">
    <font>
      <sz val="10.0"/>
      <color rgb="FF000000"/>
      <name val="Arial"/>
      <scheme val="minor"/>
    </font>
    <font>
      <b/>
      <sz val="20.0"/>
      <color theme="1"/>
      <name val="&quot;Cordia New&quot;"/>
    </font>
    <font>
      <sz val="11.0"/>
      <color theme="1"/>
      <name val="Calibri"/>
    </font>
    <font>
      <sz val="20.0"/>
      <color theme="1"/>
      <name val="&quot;Cordia New&quot;"/>
    </font>
    <font/>
    <font>
      <sz val="20.0"/>
      <color rgb="FF000000"/>
      <name val="&quot;Cordia New&quot;"/>
    </font>
    <font>
      <sz val="20.0"/>
      <color rgb="FFFF0000"/>
      <name val="&quot;Cordia New&quot;"/>
    </font>
    <font>
      <sz val="12.0"/>
      <color rgb="FFFF0000"/>
      <name val="Calibri"/>
    </font>
    <font>
      <sz val="11.0"/>
      <color rgb="FFFF0000"/>
      <name val="Calibri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20.0"/>
      <color rgb="FFFF0000"/>
      <name val="&quot;Cordia New&quot;"/>
    </font>
    <font>
      <sz val="14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4" fontId="3" numFmtId="0" xfId="0" applyAlignment="1" applyBorder="1" applyFill="1" applyFont="1">
      <alignment horizontal="center" vertical="bottom"/>
    </xf>
    <xf borderId="6" fillId="4" fontId="3" numFmtId="0" xfId="0" applyAlignment="1" applyBorder="1" applyFont="1">
      <alignment horizontal="center"/>
    </xf>
    <xf borderId="6" fillId="5" fontId="3" numFmtId="0" xfId="0" applyAlignment="1" applyBorder="1" applyFill="1" applyFont="1">
      <alignment horizontal="center" vertical="bottom"/>
    </xf>
    <xf borderId="6" fillId="0" fontId="5" numFmtId="164" xfId="0" applyAlignment="1" applyBorder="1" applyFont="1" applyNumberFormat="1">
      <alignment horizontal="center" readingOrder="0" vertical="bottom"/>
    </xf>
    <xf borderId="6" fillId="4" fontId="5" numFmtId="38" xfId="0" applyAlignment="1" applyBorder="1" applyFont="1" applyNumberFormat="1">
      <alignment horizontal="center" readingOrder="0" vertical="bottom"/>
    </xf>
    <xf borderId="6" fillId="4" fontId="2" numFmtId="38" xfId="0" applyAlignment="1" applyBorder="1" applyFont="1" applyNumberFormat="1">
      <alignment vertical="bottom"/>
    </xf>
    <xf borderId="6" fillId="4" fontId="3" numFmtId="165" xfId="0" applyAlignment="1" applyBorder="1" applyFont="1" applyNumberFormat="1">
      <alignment horizontal="center" readingOrder="0"/>
    </xf>
    <xf borderId="6" fillId="5" fontId="5" numFmtId="38" xfId="0" applyAlignment="1" applyBorder="1" applyFont="1" applyNumberFormat="1">
      <alignment horizontal="center" readingOrder="0" vertical="bottom"/>
    </xf>
    <xf borderId="6" fillId="5" fontId="5" numFmtId="165" xfId="0" applyAlignment="1" applyBorder="1" applyFont="1" applyNumberFormat="1">
      <alignment horizontal="center" readingOrder="0" vertical="bottom"/>
    </xf>
    <xf borderId="6" fillId="0" fontId="6" numFmtId="165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horizontal="center" readingOrder="0" vertical="bottom"/>
    </xf>
    <xf borderId="6" fillId="0" fontId="7" numFmtId="0" xfId="0" applyBorder="1" applyFont="1"/>
    <xf borderId="6" fillId="0" fontId="7" numFmtId="0" xfId="0" applyAlignment="1" applyBorder="1" applyFont="1">
      <alignment vertical="bottom"/>
    </xf>
    <xf borderId="0" fillId="0" fontId="2" numFmtId="16" xfId="0" applyAlignment="1" applyFont="1" applyNumberFormat="1">
      <alignment vertical="bottom"/>
    </xf>
    <xf borderId="6" fillId="0" fontId="6" numFmtId="165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8" numFmtId="0" xfId="0" applyAlignment="1" applyBorder="1" applyFont="1">
      <alignment readingOrder="0" vertical="bottom"/>
    </xf>
    <xf borderId="6" fillId="4" fontId="3" numFmtId="165" xfId="0" applyAlignment="1" applyBorder="1" applyFont="1" applyNumberFormat="1">
      <alignment horizontal="center"/>
    </xf>
    <xf borderId="6" fillId="4" fontId="5" numFmtId="165" xfId="0" applyAlignment="1" applyBorder="1" applyFont="1" applyNumberFormat="1">
      <alignment horizontal="center" readingOrder="0"/>
    </xf>
    <xf borderId="6" fillId="0" fontId="3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vertical="bottom"/>
    </xf>
    <xf borderId="6" fillId="4" fontId="2" numFmtId="165" xfId="0" applyBorder="1" applyFont="1" applyNumberFormat="1"/>
    <xf borderId="6" fillId="5" fontId="2" numFmtId="38" xfId="0" applyAlignment="1" applyBorder="1" applyFont="1" applyNumberFormat="1">
      <alignment vertical="bottom"/>
    </xf>
    <xf borderId="6" fillId="5" fontId="2" numFmtId="165" xfId="0" applyAlignment="1" applyBorder="1" applyFont="1" applyNumberFormat="1">
      <alignment vertical="bottom"/>
    </xf>
    <xf borderId="6" fillId="0" fontId="2" numFmtId="165" xfId="0" applyAlignment="1" applyBorder="1" applyFont="1" applyNumberFormat="1">
      <alignment vertical="bottom"/>
    </xf>
    <xf borderId="2" fillId="0" fontId="9" numFmtId="0" xfId="0" applyAlignment="1" applyBorder="1" applyFont="1">
      <alignment horizontal="center" vertical="bottom"/>
    </xf>
    <xf borderId="6" fillId="0" fontId="10" numFmtId="38" xfId="0" applyAlignment="1" applyBorder="1" applyFont="1" applyNumberFormat="1">
      <alignment horizontal="center"/>
    </xf>
    <xf borderId="6" fillId="0" fontId="11" numFmtId="38" xfId="0" applyAlignment="1" applyBorder="1" applyFont="1" applyNumberFormat="1">
      <alignment horizontal="center" vertical="bottom"/>
    </xf>
    <xf borderId="6" fillId="0" fontId="12" numFmtId="38" xfId="0" applyAlignment="1" applyBorder="1" applyFont="1" applyNumberFormat="1">
      <alignment horizontal="center" vertical="bottom"/>
    </xf>
    <xf borderId="0" fillId="0" fontId="2" numFmtId="0" xfId="0" applyFont="1"/>
    <xf borderId="6" fillId="0" fontId="1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6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3" t="s">
        <v>4</v>
      </c>
      <c r="J2" s="3" t="s">
        <v>5</v>
      </c>
      <c r="K2" s="3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10" t="s">
        <v>11</v>
      </c>
      <c r="G3" s="11" t="s">
        <v>7</v>
      </c>
      <c r="H3" s="11" t="s">
        <v>8</v>
      </c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>
        <v>44166.0</v>
      </c>
      <c r="B4" s="13">
        <v>120.0</v>
      </c>
      <c r="C4" s="13">
        <v>1234012.0</v>
      </c>
      <c r="D4" s="14"/>
      <c r="E4" s="14"/>
      <c r="F4" s="15">
        <v>1234012.0</v>
      </c>
      <c r="G4" s="16">
        <v>120.0</v>
      </c>
      <c r="H4" s="17">
        <v>1234012.0</v>
      </c>
      <c r="I4" s="18"/>
      <c r="J4" s="19" t="s">
        <v>12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>
        <v>44167.0</v>
      </c>
      <c r="B5" s="13">
        <v>118.0</v>
      </c>
      <c r="C5" s="13">
        <v>800679.0</v>
      </c>
      <c r="D5" s="14"/>
      <c r="E5" s="14"/>
      <c r="F5" s="15">
        <v>800679.0</v>
      </c>
      <c r="G5" s="16">
        <v>118.0</v>
      </c>
      <c r="H5" s="17">
        <v>800679.0</v>
      </c>
      <c r="I5" s="18"/>
      <c r="J5" s="19" t="s">
        <v>13</v>
      </c>
      <c r="K5" s="21"/>
      <c r="L5" s="2"/>
      <c r="M5" s="2"/>
      <c r="N5" s="2"/>
      <c r="O5" s="2"/>
      <c r="P5" s="2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>
        <v>44168.0</v>
      </c>
      <c r="B6" s="13">
        <v>82.0</v>
      </c>
      <c r="C6" s="13">
        <v>774961.0</v>
      </c>
      <c r="D6" s="14"/>
      <c r="E6" s="14"/>
      <c r="F6" s="15">
        <v>774961.0</v>
      </c>
      <c r="G6" s="16">
        <v>80.0</v>
      </c>
      <c r="H6" s="17">
        <v>782461.0</v>
      </c>
      <c r="I6" s="23">
        <v>-7500.0</v>
      </c>
      <c r="J6" s="19" t="s">
        <v>12</v>
      </c>
      <c r="K6" s="24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>
        <v>44169.0</v>
      </c>
      <c r="B7" s="13">
        <v>88.0</v>
      </c>
      <c r="C7" s="13">
        <v>890278.0</v>
      </c>
      <c r="D7" s="14"/>
      <c r="E7" s="14"/>
      <c r="F7" s="15">
        <v>890278.0</v>
      </c>
      <c r="G7" s="16">
        <v>88.0</v>
      </c>
      <c r="H7" s="17">
        <v>890278.0</v>
      </c>
      <c r="I7" s="18"/>
      <c r="J7" s="19" t="s">
        <v>12</v>
      </c>
      <c r="K7" s="2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>
        <v>44170.0</v>
      </c>
      <c r="B8" s="13">
        <v>61.0</v>
      </c>
      <c r="C8" s="13">
        <v>412710.0</v>
      </c>
      <c r="D8" s="14"/>
      <c r="E8" s="14"/>
      <c r="F8" s="15">
        <v>412710.0</v>
      </c>
      <c r="G8" s="16">
        <v>61.0</v>
      </c>
      <c r="H8" s="17">
        <v>427710.0</v>
      </c>
      <c r="I8" s="23">
        <v>-15000.0</v>
      </c>
      <c r="J8" s="19" t="s">
        <v>15</v>
      </c>
      <c r="K8" s="26" t="s">
        <v>16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>
        <v>44171.0</v>
      </c>
      <c r="B9" s="13">
        <v>54.0</v>
      </c>
      <c r="C9" s="13">
        <v>452215.0</v>
      </c>
      <c r="D9" s="14"/>
      <c r="E9" s="14"/>
      <c r="F9" s="15">
        <v>452215.0</v>
      </c>
      <c r="G9" s="16">
        <v>54.0</v>
      </c>
      <c r="H9" s="17">
        <v>452215.0</v>
      </c>
      <c r="I9" s="18"/>
      <c r="J9" s="19" t="s">
        <v>12</v>
      </c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>
        <v>44172.0</v>
      </c>
      <c r="B10" s="13">
        <v>96.0</v>
      </c>
      <c r="C10" s="13">
        <v>855179.0</v>
      </c>
      <c r="D10" s="14"/>
      <c r="E10" s="14"/>
      <c r="F10" s="15">
        <v>855179.0</v>
      </c>
      <c r="G10" s="16">
        <v>96.0</v>
      </c>
      <c r="H10" s="17">
        <v>855179.0</v>
      </c>
      <c r="I10" s="18"/>
      <c r="J10" s="19" t="s">
        <v>12</v>
      </c>
      <c r="K10" s="2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>
        <v>44173.0</v>
      </c>
      <c r="B11" s="13">
        <v>125.0</v>
      </c>
      <c r="C11" s="13">
        <v>988299.0</v>
      </c>
      <c r="D11" s="14"/>
      <c r="E11" s="14"/>
      <c r="F11" s="15">
        <v>988299.0</v>
      </c>
      <c r="G11" s="16">
        <v>125.0</v>
      </c>
      <c r="H11" s="17">
        <v>988999.0</v>
      </c>
      <c r="I11" s="23">
        <v>-700.0</v>
      </c>
      <c r="J11" s="19" t="s">
        <v>12</v>
      </c>
      <c r="K11" s="26" t="s">
        <v>17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>
        <v>44174.0</v>
      </c>
      <c r="B12" s="13">
        <v>119.0</v>
      </c>
      <c r="C12" s="13">
        <v>1035525.0</v>
      </c>
      <c r="D12" s="14"/>
      <c r="E12" s="14"/>
      <c r="F12" s="15">
        <v>1035525.0</v>
      </c>
      <c r="G12" s="16">
        <v>119.0</v>
      </c>
      <c r="H12" s="17">
        <v>1035525.0</v>
      </c>
      <c r="I12" s="18"/>
      <c r="J12" s="19" t="s">
        <v>12</v>
      </c>
      <c r="K12" s="2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>
        <v>44175.0</v>
      </c>
      <c r="B13" s="13">
        <v>70.0</v>
      </c>
      <c r="C13" s="13">
        <v>633817.0</v>
      </c>
      <c r="D13" s="14"/>
      <c r="E13" s="14"/>
      <c r="F13" s="27">
        <f>SUM(C13)</f>
        <v>633817</v>
      </c>
      <c r="G13" s="16">
        <v>70.0</v>
      </c>
      <c r="H13" s="17">
        <v>633817.0</v>
      </c>
      <c r="I13" s="18"/>
      <c r="J13" s="19" t="s">
        <v>18</v>
      </c>
      <c r="K13" s="2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>
        <v>44176.0</v>
      </c>
      <c r="B14" s="13">
        <v>89.0</v>
      </c>
      <c r="C14" s="13">
        <v>1118732.0</v>
      </c>
      <c r="D14" s="14"/>
      <c r="E14" s="14"/>
      <c r="F14" s="28">
        <v>1118732.0</v>
      </c>
      <c r="G14" s="16">
        <v>89.0</v>
      </c>
      <c r="H14" s="17">
        <v>1118732.0</v>
      </c>
      <c r="I14" s="29"/>
      <c r="J14" s="19" t="s">
        <v>12</v>
      </c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"/>
      <c r="B15" s="14"/>
      <c r="C15" s="14"/>
      <c r="D15" s="14"/>
      <c r="E15" s="14"/>
      <c r="F15" s="31"/>
      <c r="G15" s="32"/>
      <c r="H15" s="33"/>
      <c r="I15" s="3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 t="s">
        <v>19</v>
      </c>
      <c r="B16" s="5"/>
      <c r="C16" s="5"/>
      <c r="D16" s="5"/>
      <c r="E16" s="6"/>
      <c r="F16" s="36">
        <f>SUM(F4:F14)</f>
        <v>9196407</v>
      </c>
      <c r="G16" s="25"/>
      <c r="H16" s="37">
        <f>SUM(H4:H14)</f>
        <v>9219607</v>
      </c>
      <c r="I16" s="38">
        <f>SUM(I4:I15)</f>
        <v>-23200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3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3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3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3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3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3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3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3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3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3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3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3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3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3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3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3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3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3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3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3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3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3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3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3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3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3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3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3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3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3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3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3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3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3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39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3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3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3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39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3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39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3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39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3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39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39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39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39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39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39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39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39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39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39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39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39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39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39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39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39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3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3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3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3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3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3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3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3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3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3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39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3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3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3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3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39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39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3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3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39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39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3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3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3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39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3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39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39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3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3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3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39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39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39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3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39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39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39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39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39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3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39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39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3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39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39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39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39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39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3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39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3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39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39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39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39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39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39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3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3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3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39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39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39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39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39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3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39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39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3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39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3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3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39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39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39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39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39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39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39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3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3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3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39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39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3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3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3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3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3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3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3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3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3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39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3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39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39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3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39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3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3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3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3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39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3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3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3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3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3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3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3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3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3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3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39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3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39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3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39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39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3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3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3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3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39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3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3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3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3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3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3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3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3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3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3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3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3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3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3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3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3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3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3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3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3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3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3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3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3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3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3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3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3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3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3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39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3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3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3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3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3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3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3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3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3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3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3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3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3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3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3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3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3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3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3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3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3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3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3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3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3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3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3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3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3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3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3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3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3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3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3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3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3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3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3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3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3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3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3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3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3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3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3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3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3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3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3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3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3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3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3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3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3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3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3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3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3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3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3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3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3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3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3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3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3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3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3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3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3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39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3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3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3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39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39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39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39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39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39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39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39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39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39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39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39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39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39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39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39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39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39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39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39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39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39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39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39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39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39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39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39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39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3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39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3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39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39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39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39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39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39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39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39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39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39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39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39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39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39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39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39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39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39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39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39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39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39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39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39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39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39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39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39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39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39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39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39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39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39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39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39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39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39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39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39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39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39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39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39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39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39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39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39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39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39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39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39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39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39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39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39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3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39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39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39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39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39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39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39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39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39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39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39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39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39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39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39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39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39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39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39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39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39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39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39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39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39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39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39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39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39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39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39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39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39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39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39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39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39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39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39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39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39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39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39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39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39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39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39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39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39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39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39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39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39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39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39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39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39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39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39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39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39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39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39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39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39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39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39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39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39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39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39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39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39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39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39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39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39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39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39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39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39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39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39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39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39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39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39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39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39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39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39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39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39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39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39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39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39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39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39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39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39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39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39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39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39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39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39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39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39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39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39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39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39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39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39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39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39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39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39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39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39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39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39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39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39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39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39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39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39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39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39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39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39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39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39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39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39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39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39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39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39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39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39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39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39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39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39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39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39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39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39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39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39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39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39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39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39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39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39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39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39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39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39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39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39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39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39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39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39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39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39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39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39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39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39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39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39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39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39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39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39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39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39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39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39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39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39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39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39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39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39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39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39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39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39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39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39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39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39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39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39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39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39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39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39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39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39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39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39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39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39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39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39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39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39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39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39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39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39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39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39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39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39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39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39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39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39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39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39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39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39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39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39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39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39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39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39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39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39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39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39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39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39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39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39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39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39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39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39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39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39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39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39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39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39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39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39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39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39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39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39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39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39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39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39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39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39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39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39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39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39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39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39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39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39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39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39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39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39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39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39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39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39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39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39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39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39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39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39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39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39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39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39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39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39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39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39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39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39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39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39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39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39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39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39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39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39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39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39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39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39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39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39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39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39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39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39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39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39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39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39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39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39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39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39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39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39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39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39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39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39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39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39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39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39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39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39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39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39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39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39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39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39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39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39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39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39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39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39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39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39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39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39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39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39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39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39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39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39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39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39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39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39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39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39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39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39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39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39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39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39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39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39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39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39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39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39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39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39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39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39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39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39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39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39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39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39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39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39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39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39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39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39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39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39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39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39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39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39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39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39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39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39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39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39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39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39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39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39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39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39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39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39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39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39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39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39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39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39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39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39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39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39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39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39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39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39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39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39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39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39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39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39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39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39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39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39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39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39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39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39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39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39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39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39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39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39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39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39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39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39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39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39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39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39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39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39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39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39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39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39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39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39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39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39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39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39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39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39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39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39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39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39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39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39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39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39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39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39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39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39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39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39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39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39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39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39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39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39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39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39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39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39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39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39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39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39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39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39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39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39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39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39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39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39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39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39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39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39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39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39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39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39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39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39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39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39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39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39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39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39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39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39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39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39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39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39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39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39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39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39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39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39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39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39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39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39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39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39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39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39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39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39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39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39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39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39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39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39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39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39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39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39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39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39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39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39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39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39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39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39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39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39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39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39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39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39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39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39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39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39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39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39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39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39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39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39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39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39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39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39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39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39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39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39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39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39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39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39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39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39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39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39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39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39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39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39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39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39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39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39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39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6:E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10.88"/>
    <col customWidth="1" min="5" max="5" width="11.13"/>
    <col customWidth="1" min="6" max="6" width="15.75"/>
    <col customWidth="1" min="8" max="8" width="15.5"/>
    <col customWidth="1" min="11" max="11" width="87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3" t="s">
        <v>4</v>
      </c>
      <c r="J2" s="3" t="s">
        <v>5</v>
      </c>
      <c r="K2" s="3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10" t="s">
        <v>11</v>
      </c>
      <c r="G3" s="11" t="s">
        <v>7</v>
      </c>
      <c r="H3" s="11" t="s">
        <v>8</v>
      </c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>
        <v>44177.0</v>
      </c>
      <c r="B4" s="13">
        <v>93.0</v>
      </c>
      <c r="C4" s="13">
        <v>813084.0</v>
      </c>
      <c r="D4" s="14"/>
      <c r="E4" s="14"/>
      <c r="F4" s="15">
        <v>813084.0</v>
      </c>
      <c r="G4" s="16">
        <v>93.0</v>
      </c>
      <c r="H4" s="17">
        <v>813084.0</v>
      </c>
      <c r="I4" s="18"/>
      <c r="J4" s="19" t="s">
        <v>13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>
        <v>44178.0</v>
      </c>
      <c r="B5" s="13">
        <v>72.0</v>
      </c>
      <c r="C5" s="13">
        <v>837636.0</v>
      </c>
      <c r="D5" s="14"/>
      <c r="E5" s="14"/>
      <c r="F5" s="15">
        <v>837636.0</v>
      </c>
      <c r="G5" s="16">
        <v>72.0</v>
      </c>
      <c r="H5" s="17">
        <v>950409.0</v>
      </c>
      <c r="I5" s="23">
        <v>112773.0</v>
      </c>
      <c r="J5" s="19" t="s">
        <v>12</v>
      </c>
      <c r="K5" s="40" t="s">
        <v>20</v>
      </c>
      <c r="L5" s="2"/>
      <c r="M5" s="2"/>
      <c r="N5" s="2"/>
      <c r="O5" s="2"/>
      <c r="P5" s="2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>
        <v>44179.0</v>
      </c>
      <c r="B6" s="13">
        <v>162.0</v>
      </c>
      <c r="C6" s="13">
        <v>2140675.0</v>
      </c>
      <c r="D6" s="14"/>
      <c r="E6" s="14"/>
      <c r="F6" s="15">
        <v>2140675.0</v>
      </c>
      <c r="G6" s="16">
        <v>162.0</v>
      </c>
      <c r="H6" s="17">
        <v>2140675.0</v>
      </c>
      <c r="I6" s="23"/>
      <c r="J6" s="19" t="s">
        <v>18</v>
      </c>
      <c r="K6" s="2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>
        <v>44180.0</v>
      </c>
      <c r="B7" s="13">
        <v>120.0</v>
      </c>
      <c r="C7" s="13">
        <v>1123815.0</v>
      </c>
      <c r="D7" s="14"/>
      <c r="E7" s="14"/>
      <c r="F7" s="15">
        <v>1123815.0</v>
      </c>
      <c r="G7" s="16">
        <v>120.0</v>
      </c>
      <c r="H7" s="17">
        <v>1123815.0</v>
      </c>
      <c r="I7" s="18"/>
      <c r="J7" s="19" t="s">
        <v>18</v>
      </c>
      <c r="K7" s="2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>
        <v>44181.0</v>
      </c>
      <c r="B8" s="13">
        <v>108.0</v>
      </c>
      <c r="C8" s="13">
        <v>910563.0</v>
      </c>
      <c r="D8" s="14"/>
      <c r="E8" s="14"/>
      <c r="F8" s="15">
        <v>910563.0</v>
      </c>
      <c r="G8" s="16">
        <v>108.0</v>
      </c>
      <c r="H8" s="17">
        <v>916813.0</v>
      </c>
      <c r="I8" s="23">
        <v>-6250.0</v>
      </c>
      <c r="J8" s="19" t="s">
        <v>12</v>
      </c>
      <c r="K8" s="40" t="s">
        <v>21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>
        <v>44182.0</v>
      </c>
      <c r="B9" s="13">
        <v>86.0</v>
      </c>
      <c r="C9" s="13">
        <v>700214.0</v>
      </c>
      <c r="D9" s="14"/>
      <c r="E9" s="14"/>
      <c r="F9" s="15">
        <v>700214.0</v>
      </c>
      <c r="G9" s="16">
        <v>86.0</v>
      </c>
      <c r="H9" s="17">
        <v>703014.0</v>
      </c>
      <c r="I9" s="23">
        <v>-2800.0</v>
      </c>
      <c r="J9" s="19" t="s">
        <v>12</v>
      </c>
      <c r="K9" s="40" t="s">
        <v>22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>
        <v>44183.0</v>
      </c>
      <c r="B10" s="13">
        <v>105.0</v>
      </c>
      <c r="C10" s="13">
        <v>966074.0</v>
      </c>
      <c r="D10" s="14"/>
      <c r="E10" s="14"/>
      <c r="F10" s="15">
        <v>966074.0</v>
      </c>
      <c r="G10" s="16">
        <v>105.0</v>
      </c>
      <c r="H10" s="17">
        <v>966074.0</v>
      </c>
      <c r="I10" s="18"/>
      <c r="J10" s="19" t="s">
        <v>15</v>
      </c>
      <c r="K10" s="2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>
        <v>44183.0</v>
      </c>
      <c r="B11" s="13">
        <v>94.0</v>
      </c>
      <c r="C11" s="13">
        <v>687843.0</v>
      </c>
      <c r="D11" s="14"/>
      <c r="E11" s="14"/>
      <c r="F11" s="15">
        <v>687843.0</v>
      </c>
      <c r="G11" s="16">
        <v>94.0</v>
      </c>
      <c r="H11" s="17">
        <v>688143.0</v>
      </c>
      <c r="I11" s="23">
        <v>-300.0</v>
      </c>
      <c r="J11" s="19" t="s">
        <v>12</v>
      </c>
      <c r="K11" s="40" t="s">
        <v>23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>
        <v>44185.0</v>
      </c>
      <c r="B12" s="13">
        <v>55.0</v>
      </c>
      <c r="C12" s="13">
        <v>456408.0</v>
      </c>
      <c r="D12" s="14"/>
      <c r="E12" s="14"/>
      <c r="F12" s="15">
        <v>456408.0</v>
      </c>
      <c r="G12" s="16">
        <v>55.0</v>
      </c>
      <c r="H12" s="17">
        <v>456408.0</v>
      </c>
      <c r="I12" s="23"/>
      <c r="J12" s="19" t="s">
        <v>12</v>
      </c>
      <c r="K12" s="2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>
        <v>44186.0</v>
      </c>
      <c r="B13" s="13">
        <v>103.0</v>
      </c>
      <c r="C13" s="13">
        <v>1424641.0</v>
      </c>
      <c r="D13" s="14"/>
      <c r="E13" s="14"/>
      <c r="F13" s="15">
        <v>1424641.0</v>
      </c>
      <c r="G13" s="16">
        <v>103.0</v>
      </c>
      <c r="H13" s="17">
        <v>1424641.0</v>
      </c>
      <c r="I13" s="23"/>
      <c r="J13" s="19" t="s">
        <v>12</v>
      </c>
      <c r="K13" s="2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>
        <v>44187.0</v>
      </c>
      <c r="B14" s="13">
        <v>113.0</v>
      </c>
      <c r="C14" s="13">
        <v>1035620.0</v>
      </c>
      <c r="D14" s="14"/>
      <c r="E14" s="14"/>
      <c r="F14" s="28">
        <v>1035620.0</v>
      </c>
      <c r="G14" s="16">
        <v>113.0</v>
      </c>
      <c r="H14" s="17">
        <v>1047320.0</v>
      </c>
      <c r="I14" s="23">
        <v>11700.0</v>
      </c>
      <c r="J14" s="19" t="s">
        <v>12</v>
      </c>
      <c r="K14" s="40" t="s">
        <v>24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"/>
      <c r="B15" s="14"/>
      <c r="C15" s="14"/>
      <c r="D15" s="14"/>
      <c r="E15" s="14"/>
      <c r="F15" s="31"/>
      <c r="G15" s="32"/>
      <c r="H15" s="33"/>
      <c r="I15" s="3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 t="s">
        <v>19</v>
      </c>
      <c r="B16" s="5"/>
      <c r="C16" s="5"/>
      <c r="D16" s="5"/>
      <c r="E16" s="6"/>
      <c r="F16" s="36">
        <f>SUM(F4:F14)</f>
        <v>11096573</v>
      </c>
      <c r="G16" s="25"/>
      <c r="H16" s="37">
        <f>SUM(H4:H14)</f>
        <v>11230396</v>
      </c>
      <c r="I16" s="38">
        <f>SUM(I4:I15)</f>
        <v>115123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3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3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3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3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3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3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3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3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3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3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3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3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3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3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3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3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3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3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3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3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3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3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3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3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3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3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3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3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3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3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3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3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3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3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39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3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3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3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39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3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39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3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39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3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39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39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39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39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39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39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39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39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39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39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39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39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39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39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39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39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3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3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3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3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3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3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3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3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3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3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39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3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3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3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3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39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39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3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3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39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39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3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3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3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39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3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39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39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3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3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3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39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39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39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3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39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39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39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39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39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3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39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39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3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39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39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39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39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39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3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39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3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39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39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39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39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39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39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3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3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3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39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39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39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39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39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3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39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39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3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39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3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3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39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39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39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39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39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39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39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3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3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3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39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39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3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3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3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3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3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3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3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3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3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39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3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39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39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3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39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3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3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3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3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39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3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3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3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3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3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3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3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3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3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3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39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3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39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3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39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39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3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3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3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3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39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3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3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3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3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3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3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3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3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3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3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3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3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3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3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3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3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3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3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3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3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3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3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3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3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3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3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3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3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3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3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39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3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3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3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3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3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3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3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3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3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3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3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3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3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3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3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3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3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3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3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3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3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3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3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3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3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3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3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3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3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3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3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3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3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3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3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3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3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3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3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3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3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3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3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3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3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3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3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3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3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3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3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3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3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3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3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3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3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3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3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3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3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3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3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3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3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3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3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3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3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3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3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3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3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39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3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3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3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39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39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39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39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39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39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39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39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39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39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39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39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39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39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39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39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39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39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39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39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39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39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39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39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39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39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39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39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39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3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39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3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39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39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39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39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39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39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39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39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39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39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39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39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39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39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39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39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39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39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39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39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39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39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39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39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39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39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39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39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39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39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39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39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39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39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39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39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39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39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39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39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39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39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39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39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39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39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39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39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39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39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39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39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39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39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39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39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3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39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39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39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39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39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39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39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39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39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39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39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39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39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39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39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39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39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39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39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39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39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39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39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39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39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39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39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39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39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39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39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39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39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39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39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39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39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39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39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39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39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39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39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39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39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39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39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39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39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39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39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39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39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39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39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39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39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39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39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39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39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39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39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39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39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39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39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39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39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39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39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39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39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39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39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39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39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39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39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39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39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39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39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39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39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39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39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39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39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39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39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39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39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39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39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39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39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39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39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39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39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39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39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39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39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39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39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39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39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39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39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39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39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39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39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39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39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39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39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39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39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39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39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39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39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39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39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39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39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39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39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39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39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39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39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39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39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39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39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39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39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39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39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39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39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39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39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39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39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39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39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39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39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39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39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39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39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39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39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39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39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39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39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39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39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39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39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39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39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39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39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39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39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39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39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39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39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39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39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39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39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39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39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39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39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39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39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39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39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39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39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39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39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39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39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39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39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39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39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39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39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39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39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39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39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39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39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39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39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39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39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39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39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39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39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39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39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39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39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39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39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39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39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39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39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39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39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39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39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39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39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39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39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39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39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39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39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39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39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39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39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39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39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39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39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39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39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39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39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39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39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39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39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39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39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39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39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39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39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39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39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39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39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39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39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39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39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39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39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39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39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39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39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39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39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39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39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39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39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39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39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39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39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39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39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39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39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39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39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39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39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39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39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39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39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39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39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39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39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39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39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39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39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39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39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39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39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39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39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39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39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39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39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39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39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39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39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39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39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39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39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39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39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39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39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39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39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39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39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39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39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39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39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39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39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39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39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39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39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39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39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39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39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39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39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39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39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39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39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39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39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39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39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39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39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39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39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39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39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39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39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39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39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39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39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39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39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39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39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39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39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39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39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39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39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39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39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39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39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39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39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39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39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39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39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39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39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39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39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39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39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39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39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39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39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39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39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39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39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39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39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39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39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39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39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39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39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39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39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39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39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39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39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39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39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39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39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39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39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39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39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39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39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39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39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39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39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39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39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39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39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39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39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39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39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39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39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39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39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39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39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39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39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39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39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39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39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39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39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39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39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39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39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39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39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39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39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39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39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39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39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39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39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39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39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39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39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39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39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39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39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39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39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39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39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39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39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39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39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39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39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39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39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39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39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39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39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39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39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39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39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39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39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39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39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39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39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39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39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39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39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39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39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39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39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39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39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39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39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39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39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39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39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39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39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39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39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39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39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39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39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39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39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39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39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39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39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39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39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39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39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39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39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39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39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39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39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39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39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39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39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39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39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39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39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39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39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39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39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39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39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39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39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39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39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39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39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39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39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39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39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39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39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39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39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39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39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39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39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39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39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39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39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39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39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39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39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39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39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39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39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39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39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39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39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39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39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39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39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39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39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39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39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39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39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39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39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39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39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39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39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39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6:E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10.88"/>
    <col customWidth="1" min="5" max="5" width="11.13"/>
    <col customWidth="1" min="6" max="6" width="15.75"/>
    <col customWidth="1" min="8" max="8" width="15.5"/>
    <col customWidth="1" min="11" max="11" width="87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3" t="s">
        <v>4</v>
      </c>
      <c r="J2" s="3" t="s">
        <v>5</v>
      </c>
      <c r="K2" s="3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10" t="s">
        <v>11</v>
      </c>
      <c r="G3" s="11" t="s">
        <v>7</v>
      </c>
      <c r="H3" s="11" t="s">
        <v>8</v>
      </c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>
        <v>44188.0</v>
      </c>
      <c r="B4" s="13">
        <v>91.0</v>
      </c>
      <c r="C4" s="13">
        <v>797897.0</v>
      </c>
      <c r="D4" s="14"/>
      <c r="E4" s="14"/>
      <c r="F4" s="15">
        <v>797897.0</v>
      </c>
      <c r="G4" s="16">
        <v>91.0</v>
      </c>
      <c r="H4" s="17">
        <v>797897.0</v>
      </c>
      <c r="I4" s="18"/>
      <c r="J4" s="19" t="s">
        <v>13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>
        <v>44189.0</v>
      </c>
      <c r="B5" s="13">
        <v>107.0</v>
      </c>
      <c r="C5" s="13">
        <v>839208.0</v>
      </c>
      <c r="D5" s="14"/>
      <c r="E5" s="14"/>
      <c r="F5" s="15">
        <v>839208.0</v>
      </c>
      <c r="G5" s="16">
        <v>107.0</v>
      </c>
      <c r="H5" s="17">
        <v>839208.0</v>
      </c>
      <c r="I5" s="23"/>
      <c r="J5" s="19" t="s">
        <v>12</v>
      </c>
      <c r="K5" s="40"/>
      <c r="L5" s="2"/>
      <c r="M5" s="2"/>
      <c r="N5" s="2"/>
      <c r="O5" s="2"/>
      <c r="P5" s="2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>
        <v>44190.0</v>
      </c>
      <c r="B6" s="13">
        <v>86.0</v>
      </c>
      <c r="C6" s="13">
        <v>743884.0</v>
      </c>
      <c r="D6" s="14"/>
      <c r="E6" s="14"/>
      <c r="F6" s="15">
        <v>743884.0</v>
      </c>
      <c r="G6" s="16">
        <v>86.0</v>
      </c>
      <c r="H6" s="17">
        <v>749834.0</v>
      </c>
      <c r="I6" s="23">
        <v>-5950.0</v>
      </c>
      <c r="J6" s="19" t="s">
        <v>12</v>
      </c>
      <c r="K6" s="40" t="s">
        <v>25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>
        <v>44191.0</v>
      </c>
      <c r="B7" s="13">
        <v>86.0</v>
      </c>
      <c r="C7" s="13">
        <v>769233.0</v>
      </c>
      <c r="D7" s="14"/>
      <c r="E7" s="14"/>
      <c r="F7" s="15">
        <f>SUM(C7)</f>
        <v>769233</v>
      </c>
      <c r="G7" s="16">
        <v>86.0</v>
      </c>
      <c r="H7" s="17">
        <v>769233.0</v>
      </c>
      <c r="I7" s="18"/>
      <c r="J7" s="19" t="s">
        <v>13</v>
      </c>
      <c r="K7" s="2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>
        <v>44192.0</v>
      </c>
      <c r="B8" s="13">
        <v>119.0</v>
      </c>
      <c r="C8" s="13">
        <v>953612.0</v>
      </c>
      <c r="D8" s="14"/>
      <c r="E8" s="14"/>
      <c r="F8" s="15">
        <v>953612.0</v>
      </c>
      <c r="G8" s="16">
        <v>119.0</v>
      </c>
      <c r="H8" s="17">
        <v>953632.0</v>
      </c>
      <c r="I8" s="23">
        <v>-20.0</v>
      </c>
      <c r="J8" s="19" t="s">
        <v>12</v>
      </c>
      <c r="K8" s="40" t="s">
        <v>26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>
        <v>44193.0</v>
      </c>
      <c r="B9" s="13">
        <v>127.0</v>
      </c>
      <c r="C9" s="13">
        <v>1486357.0</v>
      </c>
      <c r="D9" s="14"/>
      <c r="E9" s="14"/>
      <c r="F9" s="15">
        <v>1486357.0</v>
      </c>
      <c r="G9" s="16">
        <v>127.0</v>
      </c>
      <c r="H9" s="17">
        <v>1490357.0</v>
      </c>
      <c r="I9" s="23">
        <v>-4000.0</v>
      </c>
      <c r="J9" s="19" t="s">
        <v>12</v>
      </c>
      <c r="K9" s="40" t="s">
        <v>27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5.25" customHeight="1">
      <c r="A10" s="12">
        <v>44194.0</v>
      </c>
      <c r="B10" s="13">
        <v>134.0</v>
      </c>
      <c r="C10" s="13">
        <v>1478326.0</v>
      </c>
      <c r="D10" s="14"/>
      <c r="E10" s="14"/>
      <c r="F10" s="15">
        <v>1478326.0</v>
      </c>
      <c r="G10" s="16">
        <v>134.0</v>
      </c>
      <c r="H10" s="17">
        <v>1909926.0</v>
      </c>
      <c r="I10" s="23">
        <v>-431600.0</v>
      </c>
      <c r="J10" s="19" t="s">
        <v>12</v>
      </c>
      <c r="K10" s="40" t="s">
        <v>28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>
        <v>44195.0</v>
      </c>
      <c r="B11" s="13">
        <v>118.0</v>
      </c>
      <c r="C11" s="13">
        <v>1377177.0</v>
      </c>
      <c r="D11" s="14"/>
      <c r="E11" s="14"/>
      <c r="F11" s="15">
        <v>1377177.0</v>
      </c>
      <c r="G11" s="16">
        <v>118.0</v>
      </c>
      <c r="H11" s="17">
        <v>1377477.0</v>
      </c>
      <c r="I11" s="23">
        <v>-300.0</v>
      </c>
      <c r="J11" s="19" t="s">
        <v>12</v>
      </c>
      <c r="K11" s="40" t="s">
        <v>29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>
        <v>44196.0</v>
      </c>
      <c r="B12" s="13"/>
      <c r="C12" s="13"/>
      <c r="D12" s="14"/>
      <c r="E12" s="14"/>
      <c r="F12" s="15"/>
      <c r="G12" s="16"/>
      <c r="H12" s="17"/>
      <c r="I12" s="23"/>
      <c r="J12" s="19"/>
      <c r="K12" s="2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5" t="s">
        <v>19</v>
      </c>
      <c r="B13" s="5"/>
      <c r="C13" s="5"/>
      <c r="D13" s="5"/>
      <c r="E13" s="6"/>
      <c r="F13" s="36">
        <f>SUM(F4:F12)</f>
        <v>8445694</v>
      </c>
      <c r="G13" s="25"/>
      <c r="H13" s="37">
        <f t="shared" ref="H13:I13" si="1">SUM(H4:H12)</f>
        <v>8887564</v>
      </c>
      <c r="I13" s="38">
        <f t="shared" si="1"/>
        <v>-441870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3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3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3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3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3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3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3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3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3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3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3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3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3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3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3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3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3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3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3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3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3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3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3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3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3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3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3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3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3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3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3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3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3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3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3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3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3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39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3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3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3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39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3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39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3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39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3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39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39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39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39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39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39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39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39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39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39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39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39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39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39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39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39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3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3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3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3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3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3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3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3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3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3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39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3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3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3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3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39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39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3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3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39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39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3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3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3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39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3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39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39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3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3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3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39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39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39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3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39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39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39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39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39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3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39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39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3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39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39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39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39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39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3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39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3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39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39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39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39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39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39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3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3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3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39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39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39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39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39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3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39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39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3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39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3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3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39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39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39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39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39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39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39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3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3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3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39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39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3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3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3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3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3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3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3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3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3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39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3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39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39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3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39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3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3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3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3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39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3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3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3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3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3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3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3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3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3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3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39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3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39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3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39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39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3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3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3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3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39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3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3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3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3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3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3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3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3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3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3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3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3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3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3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3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3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3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3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3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3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3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3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3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3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3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3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3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3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3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3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39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3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3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3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3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3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3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3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3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3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3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3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3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3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3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3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3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3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3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3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3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3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3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3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3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3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3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3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3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3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3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3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3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3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3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3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3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3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3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3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3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3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3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3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3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3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3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3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3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3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3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3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3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3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3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3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3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3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3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3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3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3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3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3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3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3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3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3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3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3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3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3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3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3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39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3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3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3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39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39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39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39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39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39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39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39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39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39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39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39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39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39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39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39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39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39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39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39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39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39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39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39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39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39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39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39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39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3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39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3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39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39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39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39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39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39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39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39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39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39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39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39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39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39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39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39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39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39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39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39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39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39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39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39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39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39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39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39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39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39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39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39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39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39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39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39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39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39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39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39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39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39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39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39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39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39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39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39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39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39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39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39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39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39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39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39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3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39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39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39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39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39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39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39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39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39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39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39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39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39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39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39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39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39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39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39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39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39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39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39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39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39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39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39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39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39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39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39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39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39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39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39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39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39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39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39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39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39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39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39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39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39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39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39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39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39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39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39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39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39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39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39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39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39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39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39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39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39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39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39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39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39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39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39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39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39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39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39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39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39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39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39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39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39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39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39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39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39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39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39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39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39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39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39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39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39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39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39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39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39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39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39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39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39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39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39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39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39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39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39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39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39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39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39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39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39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39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39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39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39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39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39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39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39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39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39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39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39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39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39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39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39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39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39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39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39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39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39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39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39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39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39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39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39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39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39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39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39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39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39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39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39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39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39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39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39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39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39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39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39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39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39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39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39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39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39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39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39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39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39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39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39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39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39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39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39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39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39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39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39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39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39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39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39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39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39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39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39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39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39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39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39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39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39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39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39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39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39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39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39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39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39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39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39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39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39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39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39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39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39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39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39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39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39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39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39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39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39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39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39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39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39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39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39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39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39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39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39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39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39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39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39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39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39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39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39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39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39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39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39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39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39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39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39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39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39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39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39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39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39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39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39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39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39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39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39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39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39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39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39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39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39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39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39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39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39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39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39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39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39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39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39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39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39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39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39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39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39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39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39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39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39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39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39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39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39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39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39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39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39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39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39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39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39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39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39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39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39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39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39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39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39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39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39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39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39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39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39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39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39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39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39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39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39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39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39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39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39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39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39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39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39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39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39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39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39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39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39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39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39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39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39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39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39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39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39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39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39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39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39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39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39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39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39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39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39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39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39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39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39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39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39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39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39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39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39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39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39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39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39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39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39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39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39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39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39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39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39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39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39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39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39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39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39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39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39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39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39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39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39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39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39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39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39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39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39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39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39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39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39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39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39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39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39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39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39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39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39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39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39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39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39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39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39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39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39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39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39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39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39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39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39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39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39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39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39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39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39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39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39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39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39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39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39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39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39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39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39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39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39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39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39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39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39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39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39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39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39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39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39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39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39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39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39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39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39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39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39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39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39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39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39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39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39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39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39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39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39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39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39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39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39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39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39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39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39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39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39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39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39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39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39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39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39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39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39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39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39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39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39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39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39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39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39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39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39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39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39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39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39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39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39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39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39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39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39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39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39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39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39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39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39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39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39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39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39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39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39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39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39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39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39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39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39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39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39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39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39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39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39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39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39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39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39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39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39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39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39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39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39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39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39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39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39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39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39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39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39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39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39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39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39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39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39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39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39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39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39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39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39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39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39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39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39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39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39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39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39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39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39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39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39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39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39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39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39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39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39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39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39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39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39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39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39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39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39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39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39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39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39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39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39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39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39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39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39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39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39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39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39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39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39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39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39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39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39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39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39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39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39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39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39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39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39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39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39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3:E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
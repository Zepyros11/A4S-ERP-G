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9-6-68" sheetId="1" r:id="rId4"/>
    <sheet state="visible" name="2-6-68" sheetId="2" r:id="rId5"/>
    <sheet state="visible" name="3-6-68" sheetId="3" r:id="rId6"/>
    <sheet state="visible" name="4-7-68" sheetId="4" r:id="rId7"/>
    <sheet state="visible" name="5-7-68" sheetId="5" r:id="rId8"/>
    <sheet state="visible" name="6-7-68" sheetId="6" r:id="rId9"/>
    <sheet state="visible" name="7-7-68" sheetId="7" r:id="rId10"/>
    <sheet state="visible" name="8-7-68" sheetId="8" r:id="rId11"/>
    <sheet state="visible" name="9-7-68" sheetId="9" r:id="rId12"/>
    <sheet state="visible" name="10-7-68" sheetId="10" r:id="rId13"/>
    <sheet state="visible" name="11-7-68" sheetId="11" r:id="rId14"/>
    <sheet state="visible" name="12-7-68" sheetId="12" r:id="rId15"/>
    <sheet state="visible" name="13-7-68" sheetId="13" r:id="rId16"/>
    <sheet state="visible" name="14-7-68" sheetId="14" r:id="rId17"/>
    <sheet state="visible" name="15-7-68" sheetId="15" r:id="rId18"/>
    <sheet state="visible" name="16-7-68" sheetId="16" r:id="rId19"/>
    <sheet state="visible" name="17-7-68" sheetId="17" r:id="rId20"/>
    <sheet state="visible" name="18-7-68" sheetId="18" r:id="rId21"/>
    <sheet state="visible" name="19-7-68" sheetId="19" r:id="rId22"/>
    <sheet state="visible" name="20-7-68" sheetId="20" r:id="rId23"/>
    <sheet state="visible" name="21-7-68" sheetId="21" r:id="rId24"/>
    <sheet state="visible" name="22-7-68" sheetId="22" r:id="rId25"/>
    <sheet state="visible" name="23-7-68" sheetId="23" r:id="rId26"/>
    <sheet state="visible" name="24-7-68" sheetId="24" r:id="rId27"/>
    <sheet state="visible" name="25-7-68" sheetId="25" r:id="rId28"/>
    <sheet state="visible" name="26-7-68" sheetId="26" r:id="rId29"/>
    <sheet state="visible" name="27-7-68" sheetId="27" r:id="rId30"/>
    <sheet state="visible" name="29-7-68" sheetId="28" r:id="rId31"/>
    <sheet state="visible" name="30-7-68" sheetId="29" r:id="rId32"/>
    <sheet state="visible" name="31-7-68" sheetId="30" r:id="rId33"/>
  </sheets>
  <definedNames/>
  <calcPr/>
  <extLst>
    <ext uri="GoogleSheetsCustomDataVersion2">
      <go:sheetsCustomData xmlns:go="http://customooxmlschemas.google.com/" r:id="rId34" roundtripDataChecksum="hEx8dwdzv+9KjBGyM2sx6mMUuyPPcE57yVRt1ubs0Qs="/>
    </ext>
  </extLst>
</workbook>
</file>

<file path=xl/sharedStrings.xml><?xml version="1.0" encoding="utf-8"?>
<sst xmlns="http://schemas.openxmlformats.org/spreadsheetml/2006/main" count="1346" uniqueCount="414">
  <si>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30 มิถุนายน - 1กรกฎาคม 2568</t>
    </r>
  </si>
  <si>
    <t>ลำดับ</t>
  </si>
  <si>
    <t>วันที่ซื้อ</t>
  </si>
  <si>
    <t>เลขที่บิล</t>
  </si>
  <si>
    <t>รหัสผู้ซื้อ</t>
  </si>
  <si>
    <t xml:space="preserve">ชื่อผู้ซื้อ </t>
  </si>
  <si>
    <t>จำนวนเงิน</t>
  </si>
  <si>
    <t>สาขา</t>
  </si>
  <si>
    <t>เวลา</t>
  </si>
  <si>
    <t>หมายเหตุ</t>
  </si>
  <si>
    <t>QR</t>
  </si>
  <si>
    <t>payment</t>
  </si>
  <si>
    <t>e-wallet</t>
  </si>
  <si>
    <t>หักคอม</t>
  </si>
  <si>
    <t>arp (usd)</t>
  </si>
  <si>
    <t>1</t>
  </si>
  <si>
    <t>STHONLIN2506002455</t>
  </si>
  <si>
    <t>นาย ดำรงค์ ปฏิสังข์</t>
  </si>
  <si>
    <t>BKK01</t>
  </si>
  <si>
    <t>รับเอง BKK</t>
  </si>
  <si>
    <t>2</t>
  </si>
  <si>
    <t>STHONLIN2506002468</t>
  </si>
  <si>
    <t>นางสาว ลำใย  เจริญศิริ</t>
  </si>
  <si>
    <t>3</t>
  </si>
  <si>
    <t>STHONLIN2506002498</t>
  </si>
  <si>
    <t>บริษัท เค24 โกลบอล จำกัด (สำนักงานใหญ่)</t>
  </si>
  <si>
    <t>4</t>
  </si>
  <si>
    <t>STHONLIN2506002503</t>
  </si>
  <si>
    <t>บริษัท ดีเวย์ ริชคอร์ป จำกัด(สำนักงานใหญ่)</t>
  </si>
  <si>
    <t>5</t>
  </si>
  <si>
    <t>STHONLIN2506002505</t>
  </si>
  <si>
    <t>บริษัท เศรษฐกวี จำกัด ( สำนักงานใหญ่ )</t>
  </si>
  <si>
    <t>6</t>
  </si>
  <si>
    <t>STHONLIN2506002508</t>
  </si>
  <si>
    <t>นาย สมชาย โสภา</t>
  </si>
  <si>
    <t>7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</si>
  <si>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 กรกฎาคม 2568</t>
    </r>
  </si>
  <si>
    <t>STHONLIN2507000129</t>
  </si>
  <si>
    <t>บริษัท ต.ศรีโสภณ จำกัด (สำนักงานใหญ่)</t>
  </si>
  <si>
    <t>16.04 น.</t>
  </si>
  <si>
    <t>เรียกแกร็ป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</si>
  <si>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3 กรกฎาคม 2568</t>
    </r>
  </si>
  <si>
    <t>STHONLIN2507000153</t>
  </si>
  <si>
    <t>20.50น</t>
  </si>
  <si>
    <t>BKKรับเอง</t>
  </si>
  <si>
    <t>STHONLIN2507000172</t>
  </si>
  <si>
    <t>นาง ณัฐรดา นมพุก</t>
  </si>
  <si>
    <t>9.17น</t>
  </si>
  <si>
    <t>STHONLIN2507000173</t>
  </si>
  <si>
    <t>นางสาว พัชรมณฑ์ พรมทา</t>
  </si>
  <si>
    <t>11.48น</t>
  </si>
  <si>
    <t>BKKจัดส่ง</t>
  </si>
  <si>
    <t>STHONLIN2507000174</t>
  </si>
  <si>
    <t>นาย ปริญพัชร์ ศรีศุภณัฐธนากุล</t>
  </si>
  <si>
    <t>10.38น</t>
  </si>
  <si>
    <t>STHONLIN2507000184</t>
  </si>
  <si>
    <t>นาง อสมากร สุขาล</t>
  </si>
  <si>
    <t>15.24น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</si>
  <si>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4 กรกฎาคม 2568</t>
    </r>
  </si>
  <si>
    <t>STHONLIN2507000191</t>
  </si>
  <si>
    <t>BKK</t>
  </si>
  <si>
    <t>STHONLIN2507000209</t>
  </si>
  <si>
    <t>บริษัท ผักคะน้ากรอบ จำกัด(สำนักงานใหญ่)</t>
  </si>
  <si>
    <t>STHONLIN2507000334</t>
  </si>
  <si>
    <t>นาย สุวิทย์  รองชูเพ็ง</t>
  </si>
  <si>
    <t>รับเอง DP</t>
  </si>
  <si>
    <t>STHONLIN2507000335</t>
  </si>
  <si>
    <t>บัญชา สดสี</t>
  </si>
  <si>
    <t>STHONLIN2507000337</t>
  </si>
  <si>
    <t>STHONLIN2507000343</t>
  </si>
  <si>
    <t>นาย เขมทัต สุขเพ็ง</t>
  </si>
  <si>
    <t>STHONLIN2507000344</t>
  </si>
  <si>
    <t>8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</si>
  <si>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5 กรกฎาคม 2568</t>
    </r>
  </si>
  <si>
    <t>STHONLIN2507000435</t>
  </si>
  <si>
    <t>08.13 น.</t>
  </si>
  <si>
    <t>รับเองกทม.</t>
  </si>
  <si>
    <t>STHONLIN2507000438</t>
  </si>
  <si>
    <t>ห้างหุ้นส่วน โกรท โกลเบิล เน็ตเวิร์ก (สำนักงานใหญ่)</t>
  </si>
  <si>
    <t>NB</t>
  </si>
  <si>
    <t>14.52 น.</t>
  </si>
  <si>
    <t>ส่ง DP</t>
  </si>
  <si>
    <t>STHONLIN2507000439</t>
  </si>
  <si>
    <t>นางสาว ดารดี ญาณกวี</t>
  </si>
  <si>
    <t>11.50 น.</t>
  </si>
  <si>
    <t>รอมารับ</t>
  </si>
  <si>
    <t>STHONLIN2507000440</t>
  </si>
  <si>
    <t>นาง ภัคภร ทองประสม</t>
  </si>
  <si>
    <t>12.21น.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</si>
  <si>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6 กรกฎาคม 2568</t>
    </r>
  </si>
  <si>
    <t>STHONLIN2507000606</t>
  </si>
  <si>
    <t>บริษัท แก้วแกมทอง เทรดดิ้ง จำกัด (สำนักงานใหญ่)</t>
  </si>
  <si>
    <t>10.01 น.</t>
  </si>
  <si>
    <t>STHONLIN2507000615</t>
  </si>
  <si>
    <t>Mr. FREDERICK BALOKO</t>
  </si>
  <si>
    <t>14.01 น.</t>
  </si>
  <si>
    <t>STHONLIN2507000616</t>
  </si>
  <si>
    <t>นาง ปราณี คุุ้มตระกูล</t>
  </si>
  <si>
    <t>14.04 น.</t>
  </si>
  <si>
    <t>จัดส่ง 7/7/68</t>
  </si>
  <si>
    <t>STHONLIN2507000621</t>
  </si>
  <si>
    <t>นาย ธนบูลย์ แสงฐิตาพันธุ์</t>
  </si>
  <si>
    <t>15.58 น.</t>
  </si>
  <si>
    <t>STHONLIN2507000622</t>
  </si>
  <si>
    <t>นาง วรางค์ศิริ ภัทรเดชกวีทิพย์</t>
  </si>
  <si>
    <t>16.05 น.</t>
  </si>
  <si>
    <t>STHONLIN2507000619</t>
  </si>
  <si>
    <t>นาง วิชญ์ชยา ภูธนโรจน์สิริ</t>
  </si>
  <si>
    <t>15.42 น.</t>
  </si>
  <si>
    <t>STHONLIN2507000623</t>
  </si>
  <si>
    <t>16.47 น.</t>
  </si>
  <si>
    <t>STHONLIN2507000624</t>
  </si>
  <si>
    <t>16.48 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</si>
  <si>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7 กรกฎาคม 2568</t>
    </r>
  </si>
  <si>
    <t>STHONLIN2507000636</t>
  </si>
  <si>
    <t>STHONLIN2507000679</t>
  </si>
  <si>
    <t>รับเองDP</t>
  </si>
  <si>
    <t>STHONLIN2507000681</t>
  </si>
  <si>
    <t>นาง ยุพา ศรีสมทรัพย์</t>
  </si>
  <si>
    <t>STHONLIN2507000683</t>
  </si>
  <si>
    <t>นางสาว ธนพรรษ​ ยี่ภู</t>
  </si>
  <si>
    <t>12.10น</t>
  </si>
  <si>
    <t>จัดส่ง DP</t>
  </si>
  <si>
    <t xml:space="preserve">                                                                      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</si>
  <si>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8 กรกฎาคม 2568</t>
    </r>
  </si>
  <si>
    <t>STHONLIN2507000851</t>
  </si>
  <si>
    <t>บริษัท โคบาราเอฟโวลูชั่น (ประเทศไทย)จำกัด ( สำนักงานใหญ่ )</t>
  </si>
  <si>
    <t>07.26 น.</t>
  </si>
  <si>
    <t>STHONLIN2507000852</t>
  </si>
  <si>
    <t>นาง ทัศนา เลื่อมสำราญ</t>
  </si>
  <si>
    <t>09.59 น.</t>
  </si>
  <si>
    <t>จัดส่งกทม.</t>
  </si>
  <si>
    <t>STHONLIN2507000853</t>
  </si>
  <si>
    <t>นาย วิบูล วาจาสัจกุล</t>
  </si>
  <si>
    <t>10.28 น.</t>
  </si>
  <si>
    <t>STHONLIN2507000855</t>
  </si>
  <si>
    <t>นางสาว อรณิกร บุญเกษม</t>
  </si>
  <si>
    <t>11.21 น.</t>
  </si>
  <si>
    <t>STHONLIN2507000857</t>
  </si>
  <si>
    <t>11.26 น.</t>
  </si>
  <si>
    <t>STHONLIN2507000859</t>
  </si>
  <si>
    <t>12.53 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</si>
  <si>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9 กรกฎาคม 2568</t>
    </r>
  </si>
  <si>
    <t>STHONLIN2507000880</t>
  </si>
  <si>
    <t>รับเอง กทม.</t>
  </si>
  <si>
    <t>STHONLIN2507000985</t>
  </si>
  <si>
    <t xml:space="preserve"> รับเอง กทม.</t>
  </si>
  <si>
    <t>STHONLIN2507000987</t>
  </si>
  <si>
    <t xml:space="preserve"> รับเองDP.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</si>
  <si>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10 กรกฎาคม 2568</t>
    </r>
  </si>
  <si>
    <t>STHONLIN2507001107</t>
  </si>
  <si>
    <t>บริษัท  ต.ศรีโสภณ จำกัด (สำนักงานใหญ่)</t>
  </si>
  <si>
    <t>07.42น</t>
  </si>
  <si>
    <t>STHONLIN2507001108</t>
  </si>
  <si>
    <t>นางสาว ริญญ์รภัส ศรีศุภณัฐธนากุล</t>
  </si>
  <si>
    <t>11.43น</t>
  </si>
  <si>
    <t>จัดส่ง กทม.</t>
  </si>
  <si>
    <t>STHONLIN2507001109</t>
  </si>
  <si>
    <t>นาง ธานิยา สัจจะศิริ</t>
  </si>
  <si>
    <t>12.36น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</si>
  <si>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11 กรกฎาคม 2568</t>
    </r>
  </si>
  <si>
    <t>STHONLIN2507001151</t>
  </si>
  <si>
    <t>14.59น</t>
  </si>
  <si>
    <t>STHONLIN2507001267</t>
  </si>
  <si>
    <t>นาย ดิเรก  กรีฑา</t>
  </si>
  <si>
    <t>07.52น</t>
  </si>
  <si>
    <t>STHONLIN2507001269</t>
  </si>
  <si>
    <t xml:space="preserve"> 08.48น</t>
  </si>
  <si>
    <t>นำเข้า DP</t>
  </si>
  <si>
    <t>STHONLIN2507001270</t>
  </si>
  <si>
    <t xml:space="preserve"> 10.18น</t>
  </si>
  <si>
    <t>STHONLIN2507001271</t>
  </si>
  <si>
    <t xml:space="preserve"> 10.47น</t>
  </si>
  <si>
    <t>STHONLIN2507001283</t>
  </si>
  <si>
    <t xml:space="preserve"> 14.59น.</t>
  </si>
  <si>
    <t>STHONLIN2507001274</t>
  </si>
  <si>
    <t>นาง ทูนศรี บัวนุช</t>
  </si>
  <si>
    <t xml:space="preserve"> 11.22น</t>
  </si>
  <si>
    <t>STHONLIN2507001284</t>
  </si>
  <si>
    <t>นาย ธนกร อภัยพงศ์</t>
  </si>
  <si>
    <t xml:space="preserve"> 15.06น</t>
  </si>
  <si>
    <t xml:space="preserve"> 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</si>
  <si>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12 กรกฎาคม 2568</t>
    </r>
  </si>
  <si>
    <t xml:space="preserve">(ไม่มีบิลออนไลน์) 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</si>
  <si>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13 กรกฎาคม 2568</t>
    </r>
  </si>
  <si>
    <t>STHONLIN2507001583</t>
  </si>
  <si>
    <t>นาย เก่งภพ ศุภาภพปภาส</t>
  </si>
  <si>
    <t>09.39น</t>
  </si>
  <si>
    <t>STHONLIN2507001584</t>
  </si>
  <si>
    <t>นาย จักรพงศ์ สินธุรักษ์</t>
  </si>
  <si>
    <t>STHONLIN2507001587</t>
  </si>
  <si>
    <t>นางสาว มัลลิกา พลรัตน์</t>
  </si>
  <si>
    <t xml:space="preserve"> 16.33น</t>
  </si>
  <si>
    <t>STHONLIN2507001588</t>
  </si>
  <si>
    <t>นางสาว จิราภรณ์ เมฆพยนต์</t>
  </si>
  <si>
    <t xml:space="preserve"> 16.47น</t>
  </si>
  <si>
    <t>STHONLIN2507001586</t>
  </si>
  <si>
    <t>นาย สุรวัฒน์ ตั้งพงศ์ศิรประภา</t>
  </si>
  <si>
    <t xml:space="preserve"> 15.17น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</si>
  <si>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14 กรกฎาคม 2568</t>
    </r>
  </si>
  <si>
    <t>STHONLIN2507001630</t>
  </si>
  <si>
    <t>09.26น.</t>
  </si>
  <si>
    <t>มารับเอง</t>
  </si>
  <si>
    <t>STHONLIN2507001631</t>
  </si>
  <si>
    <t>11.47น.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</si>
  <si>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15 กรกฎาคม 2568</t>
    </r>
  </si>
  <si>
    <t>STHONLIN2507001646</t>
  </si>
  <si>
    <t>18.08น.</t>
  </si>
  <si>
    <t>STHONLIN2507001649</t>
  </si>
  <si>
    <t>นาย ทัดเทพ เทพสุทิน</t>
  </si>
  <si>
    <t>19.38น.</t>
  </si>
  <si>
    <t>STHONLIN2507001729</t>
  </si>
  <si>
    <t>10.26น.</t>
  </si>
  <si>
    <t>STHONLIN2507001730</t>
  </si>
  <si>
    <t>10.31น.</t>
  </si>
  <si>
    <t>STHONLIN2507001733</t>
  </si>
  <si>
    <t>นางสาว สุภาพร สรนิกร</t>
  </si>
  <si>
    <t>12.50น.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</si>
  <si>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16 กรกฎาคม 2568</t>
    </r>
  </si>
  <si>
    <t>STHONLIN2507001750</t>
  </si>
  <si>
    <t>16.39น.</t>
  </si>
  <si>
    <t>STHONLIN2507001849</t>
  </si>
  <si>
    <t>07.55น.</t>
  </si>
  <si>
    <t>STHONLIN2507001851</t>
  </si>
  <si>
    <t>08.06น.</t>
  </si>
  <si>
    <t>STHONLIN2507001853</t>
  </si>
  <si>
    <t>09.40น.</t>
  </si>
  <si>
    <t>เรียกแกร๊ป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</si>
  <si>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17 กรกฎาคม 2568</t>
    </r>
  </si>
  <si>
    <t>STHONLIN2507001926</t>
  </si>
  <si>
    <t>8.32น</t>
  </si>
  <si>
    <t>STHONLIN2507001933</t>
  </si>
  <si>
    <t>นางสาว พิมพ์ชญา  สุริยปรีชาพงษ์</t>
  </si>
  <si>
    <t>11.22o</t>
  </si>
  <si>
    <t>STHONLIN2507001935</t>
  </si>
  <si>
    <t>12.18น</t>
  </si>
  <si>
    <t>STHONLIN2507001936</t>
  </si>
  <si>
    <t>นาย สุวชัช  อมตวงษ์</t>
  </si>
  <si>
    <t>13.00น</t>
  </si>
  <si>
    <t>STHONLIN2507001949</t>
  </si>
  <si>
    <t>บริษัท หลานหยิน จำกัด ( สำนักงานใหญ่ )</t>
  </si>
  <si>
    <t>14.28น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</si>
  <si>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18 กรกฎาคม 2568</t>
    </r>
  </si>
  <si>
    <t>STHONLIN2507002117</t>
  </si>
  <si>
    <t>8.28น</t>
  </si>
  <si>
    <t>STHONLIN2507002143</t>
  </si>
  <si>
    <t>10.39น</t>
  </si>
  <si>
    <t>STHONLIN2507002146</t>
  </si>
  <si>
    <t>10.42น</t>
  </si>
  <si>
    <t>STHONLIN2507002183</t>
  </si>
  <si>
    <t>15.13น</t>
  </si>
  <si>
    <t>STHONLIN2507002184</t>
  </si>
  <si>
    <t>นาย ธนาศุภเดช ภุชพัชราธาดาณัช</t>
  </si>
  <si>
    <t>15.16น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</si>
  <si>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19 กรกฎาคม 2568</t>
    </r>
  </si>
  <si>
    <t xml:space="preserve">                                    ไม่มีบิลออนไลน์ฺ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</si>
  <si>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20 กรกฎาคม 2568</t>
    </r>
  </si>
  <si>
    <t>STHONLIN2507002560</t>
  </si>
  <si>
    <t>STHONLIN2507002576</t>
  </si>
  <si>
    <t>13.15น</t>
  </si>
  <si>
    <t>ส่งเข้า DP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</si>
  <si>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21 กรกฎาคม 2568</t>
    </r>
  </si>
  <si>
    <t>STHONLIN2507002670</t>
  </si>
  <si>
    <t>นาง เบญจา อุทัยรัศมี</t>
  </si>
  <si>
    <t>19.43น</t>
  </si>
  <si>
    <t>STHONLIN2507002671</t>
  </si>
  <si>
    <t>นาง เสาวรส นิโลตบล</t>
  </si>
  <si>
    <t>19.45น</t>
  </si>
  <si>
    <t>STHONLIN2507002708</t>
  </si>
  <si>
    <t>8.23น</t>
  </si>
  <si>
    <t>STHONLIN2507002709</t>
  </si>
  <si>
    <t>นาย ไชยพงศ์ รุ่งอำพินธ์</t>
  </si>
  <si>
    <t>10.20น</t>
  </si>
  <si>
    <t>STHONLIN2507002734</t>
  </si>
  <si>
    <t>นางสาว กาญจนา บุญเกษม</t>
  </si>
  <si>
    <t>13.17น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</si>
  <si>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22  กรกฎาคม 2568</t>
    </r>
  </si>
  <si>
    <t>STHONLIN2507002747</t>
  </si>
  <si>
    <t>Mr. Paul  Ikona Mekole</t>
  </si>
  <si>
    <t>16.36น</t>
  </si>
  <si>
    <t>STHONLIN2507002847</t>
  </si>
  <si>
    <t>นาย สมยศ อภิรัชนากุล</t>
  </si>
  <si>
    <t>12.20น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</si>
  <si>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23  กรกฎาคม 2568</t>
    </r>
  </si>
  <si>
    <t>STHONLIN2507003034</t>
  </si>
  <si>
    <t>โฮลด์</t>
  </si>
  <si>
    <t>8.43น</t>
  </si>
  <si>
    <t>STHONLIN2507003043</t>
  </si>
  <si>
    <t>นางสาว นงนุช กมลรัตนาชัย</t>
  </si>
  <si>
    <t>รักษาสิทธิ์ / เดือนนี้</t>
  </si>
  <si>
    <t>10.48น</t>
  </si>
  <si>
    <t>STHONLIN2507003045</t>
  </si>
  <si>
    <t>นาย วุฒิชัย แก้วคำ</t>
  </si>
  <si>
    <t>อัพเกรด</t>
  </si>
  <si>
    <t>11.45น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</si>
  <si>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24  กรกฎาคม 2568</t>
    </r>
  </si>
  <si>
    <t>STHONLIN2507003225</t>
  </si>
  <si>
    <t>13.18น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</si>
  <si>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25  กรกฎาคม 2568</t>
    </r>
  </si>
  <si>
    <t>STHONLIN2507003271</t>
  </si>
  <si>
    <t>19.02น.</t>
  </si>
  <si>
    <t>STHONLIN2507003284</t>
  </si>
  <si>
    <t>20.51น.</t>
  </si>
  <si>
    <t>STHONLIN2507003290</t>
  </si>
  <si>
    <t>21.16น.</t>
  </si>
  <si>
    <t>STHONLIN2507003295</t>
  </si>
  <si>
    <t>นาย จรุงศักดิ   เคณาภูมิ</t>
  </si>
  <si>
    <t>21.36น.</t>
  </si>
  <si>
    <t>STHONLIN2507003436</t>
  </si>
  <si>
    <t>นาย ณรงค์ชัย บุญจันทร์</t>
  </si>
  <si>
    <t>09.55น.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</si>
  <si>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26  กรกฎาคม 2568</t>
    </r>
  </si>
  <si>
    <t>STHONLIN2507003550</t>
  </si>
  <si>
    <t>STHONLIN2507003626</t>
  </si>
  <si>
    <t>5.37น</t>
  </si>
  <si>
    <t>STHONLIN2507003662</t>
  </si>
  <si>
    <t>นางสาว พรพิมล ลาภเกิด</t>
  </si>
  <si>
    <t>10.59น</t>
  </si>
  <si>
    <t>STHONLIN2507003679</t>
  </si>
  <si>
    <t>สนั่น ปริมาณ</t>
  </si>
  <si>
    <t>12.08น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</si>
  <si>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27  กรกฎาคม 2568</t>
    </r>
  </si>
  <si>
    <t>STHONLIN2507003717</t>
  </si>
  <si>
    <t>นาย ณฐพนธ์ ศรีศักดา</t>
  </si>
  <si>
    <t>19.39 น.</t>
  </si>
  <si>
    <t>STHONLIN2507003844</t>
  </si>
  <si>
    <t>06.58น</t>
  </si>
  <si>
    <t>STHONLIN2507003885</t>
  </si>
  <si>
    <t>10.34น</t>
  </si>
  <si>
    <t>STHONLIN2507003897</t>
  </si>
  <si>
    <t>นางสาว ภัสธารีย์ นาดี</t>
  </si>
  <si>
    <t>11.58น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</si>
  <si>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27-29  กรกฎาคม 2568</t>
    </r>
  </si>
  <si>
    <t>STHONLIN2507003936</t>
  </si>
  <si>
    <t>อรุณรุ่ง บุญบุษกร</t>
  </si>
  <si>
    <t>STHONLIN2507004003</t>
  </si>
  <si>
    <t>STHONLIN2507004062</t>
  </si>
  <si>
    <t>STHONLIN2507004070</t>
  </si>
  <si>
    <t>นางสาว กิ่งแก้ว บุญโยประการ</t>
  </si>
  <si>
    <t>STHONLIN2507004202</t>
  </si>
  <si>
    <t>STHONLIN2507004385</t>
  </si>
  <si>
    <t>STHONLIN2507004387</t>
  </si>
  <si>
    <t>STHONLIN2507004388</t>
  </si>
  <si>
    <t>9</t>
  </si>
  <si>
    <t>STHONLIN2507004393</t>
  </si>
  <si>
    <t>นาย วชิรธร ธวัชกฤตยา</t>
  </si>
  <si>
    <t>10</t>
  </si>
  <si>
    <t>STHONLIN2507004423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</si>
  <si>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30  กรกฎาคม 2568</t>
    </r>
  </si>
  <si>
    <t>STHONLIN2507004465</t>
  </si>
  <si>
    <t>20.29 น.</t>
  </si>
  <si>
    <t>STHONLIN2507004591</t>
  </si>
  <si>
    <t>นาย เศรษฐพร ระวังป่า</t>
  </si>
  <si>
    <t>08.18 น.</t>
  </si>
  <si>
    <t>STHONLIN2507004592</t>
  </si>
  <si>
    <t>08.32 น.</t>
  </si>
  <si>
    <t>STHONLIN2507004593</t>
  </si>
  <si>
    <t>09.39 น.</t>
  </si>
  <si>
    <t>STHONLIN2507004599</t>
  </si>
  <si>
    <t>บริษัท สวนสุข จำกัด(สำนักงานใหญ่)</t>
  </si>
  <si>
    <t>11.46 น.</t>
  </si>
  <si>
    <t>STHONLIN2507004622</t>
  </si>
  <si>
    <t>14.54 น.</t>
  </si>
  <si>
    <t>STHONLIN2507004623</t>
  </si>
  <si>
    <t>14.57 น.</t>
  </si>
  <si>
    <t>STHONLIN2507004624</t>
  </si>
  <si>
    <t>15.00 น.</t>
  </si>
  <si>
    <t>STHONLIN2507004628</t>
  </si>
  <si>
    <t>นางสาว รวีวรรณ จินต์สวัสดิ์</t>
  </si>
  <si>
    <t>15.30 น.</t>
  </si>
  <si>
    <t>จัดส่ง 31-7-68</t>
  </si>
  <si>
    <t>STHONLIN2507004636</t>
  </si>
  <si>
    <t>Mrs. Dr. JOAN GANA NGWALI ADE</t>
  </si>
  <si>
    <t>16.37 น.</t>
  </si>
  <si>
    <r>
      <rPr>
        <rFont val="Arial"/>
        <b/>
        <color theme="1"/>
        <sz val="36.0"/>
      </rPr>
      <t xml:space="preserve">              สรุปยอด </t>
    </r>
    <r>
      <rPr>
        <rFont val="Arial"/>
        <b/>
        <color rgb="FFFF0000"/>
        <sz val="36.0"/>
        <u/>
      </rPr>
      <t>บิลออนไลน์</t>
    </r>
    <r>
      <rPr>
        <rFont val="Arial"/>
        <b/>
        <color theme="1"/>
        <sz val="36.0"/>
      </rPr>
      <t xml:space="preserve">  จัดส่ง / นำเข้า DP</t>
    </r>
    <r>
      <rPr>
        <rFont val="Arial"/>
        <b/>
        <color rgb="FFFF0000"/>
        <sz val="36.0"/>
      </rPr>
      <t xml:space="preserve"> ดึงตั้งแต่  31  กรกฎาคม 2568</t>
    </r>
  </si>
  <si>
    <t>STHONLIN2507004649</t>
  </si>
  <si>
    <t>นาย สุรพล จันทรานุรักษ์</t>
  </si>
  <si>
    <t>20.04น</t>
  </si>
  <si>
    <t>STHONLIN2507004745</t>
  </si>
  <si>
    <t>7.45น</t>
  </si>
  <si>
    <t xml:space="preserve">รอมารับเอง </t>
  </si>
  <si>
    <t>STHONLIN2507004754</t>
  </si>
  <si>
    <t>8.15น</t>
  </si>
  <si>
    <t>STHONLIN2507004755</t>
  </si>
  <si>
    <t>8.16น</t>
  </si>
  <si>
    <t>STHONLIN2507004778</t>
  </si>
  <si>
    <t>9.57น</t>
  </si>
  <si>
    <t>STHONLIN2507004783</t>
  </si>
  <si>
    <t>STHONLIN2507004792</t>
  </si>
  <si>
    <t>10.56น</t>
  </si>
  <si>
    <t>STHONLIN2507004841</t>
  </si>
  <si>
    <t>13.53น</t>
  </si>
  <si>
    <t>STHONLIN2507004843</t>
  </si>
  <si>
    <t>13.54น</t>
  </si>
  <si>
    <t>STHONLIN2507004845</t>
  </si>
  <si>
    <t>Mr. SAMUEL DIKONGE NDOH</t>
  </si>
  <si>
    <t>13.56น</t>
  </si>
  <si>
    <t>11</t>
  </si>
  <si>
    <t>STHONLIN2507004850</t>
  </si>
  <si>
    <t>14.30น</t>
  </si>
  <si>
    <t>12</t>
  </si>
  <si>
    <t>STHONLIN2507004858</t>
  </si>
  <si>
    <t>นางสาว วนิดา สร้อยระยับ</t>
  </si>
  <si>
    <t>14.48น</t>
  </si>
  <si>
    <t>13</t>
  </si>
  <si>
    <t>STHONLIN2507004885</t>
  </si>
  <si>
    <t>16.26น</t>
  </si>
  <si>
    <t>14</t>
  </si>
  <si>
    <t>STHONLIN2507004890</t>
  </si>
  <si>
    <t>16.31น</t>
  </si>
  <si>
    <t>15</t>
  </si>
  <si>
    <t>STHONLIN2507004893</t>
  </si>
  <si>
    <t>นาย ศราวุธ ไขว่ญาติ</t>
  </si>
  <si>
    <t>16.59น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</si>
</sst>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46">
    <font>
      <sz val="11.0"/>
      <color theme="1"/>
      <name val="Aptos Narrow"/>
      <scheme val="minor"/>
    </font>
    <font>
      <b/>
      <sz val="36.0"/>
      <color theme="1"/>
      <name val="Aptos Narrow"/>
    </font>
    <font/>
    <font>
      <b/>
      <sz val="26.0"/>
      <color theme="1"/>
      <name val="Aptos Narrow"/>
    </font>
    <font>
      <b/>
      <sz val="19.0"/>
      <color theme="1"/>
      <name val="Arial"/>
    </font>
    <font>
      <b/>
      <sz val="29.0"/>
      <color rgb="FF000000"/>
      <name val="Angsana New"/>
    </font>
    <font>
      <b/>
      <sz val="18.0"/>
      <color theme="1"/>
      <name val="Arial"/>
    </font>
    <font>
      <b/>
      <sz val="25.0"/>
      <color theme="1"/>
      <name val="Arial"/>
    </font>
    <font>
      <b/>
      <sz val="25.0"/>
      <color theme="1"/>
      <name val="Aptos Narrow"/>
    </font>
    <font>
      <b/>
      <sz val="23.0"/>
      <color theme="1"/>
      <name val="Aptos Narrow"/>
    </font>
    <font>
      <b/>
      <sz val="26.0"/>
      <color rgb="FF000000"/>
      <name val="Arial"/>
    </font>
    <font>
      <b/>
      <sz val="29.0"/>
      <color rgb="FFFF0000"/>
      <name val="Arial"/>
    </font>
    <font>
      <b/>
      <sz val="22.0"/>
      <color rgb="FF000000"/>
      <name val="Arial"/>
    </font>
    <font>
      <sz val="29.0"/>
      <color theme="1"/>
      <name val="Aptos Narrow"/>
    </font>
    <font>
      <sz val="21.0"/>
      <color theme="1"/>
      <name val="Arial"/>
    </font>
    <font>
      <b/>
      <sz val="21.0"/>
      <color theme="1"/>
      <name val="Arial"/>
    </font>
    <font>
      <b/>
      <sz val="23.0"/>
      <color theme="1"/>
      <name val="Arial"/>
    </font>
    <font>
      <b/>
      <sz val="26.0"/>
      <color rgb="FF000000"/>
      <name val="Aptos Narrow"/>
    </font>
    <font>
      <sz val="28.0"/>
      <color theme="1"/>
      <name val="Angsana New"/>
    </font>
    <font>
      <b/>
      <sz val="44.0"/>
      <color rgb="FFFF0000"/>
      <name val="Angsana New"/>
    </font>
    <font>
      <b/>
      <sz val="36.0"/>
      <color rgb="FFFF0000"/>
      <name val="Angsana New"/>
    </font>
    <font>
      <b/>
      <sz val="28.0"/>
      <color rgb="FFFF0000"/>
      <name val="Angsana New"/>
    </font>
    <font>
      <sz val="20.0"/>
      <color theme="1"/>
      <name val="Times New Roman"/>
    </font>
    <font>
      <b/>
      <sz val="20.0"/>
      <color theme="1"/>
      <name val="Times New Roman"/>
    </font>
    <font>
      <b/>
      <sz val="20.0"/>
      <color theme="1"/>
      <name val="Arial"/>
    </font>
    <font>
      <b/>
      <sz val="20.0"/>
      <color theme="1"/>
      <name val="Aptos Narrow"/>
    </font>
    <font>
      <b/>
      <sz val="22.0"/>
      <color theme="1"/>
      <name val="Arial"/>
    </font>
    <font>
      <sz val="22.0"/>
      <color theme="1"/>
      <name val="Arial"/>
    </font>
    <font>
      <b/>
      <sz val="22.0"/>
      <color theme="1"/>
      <name val="Aptos Narrow"/>
    </font>
    <font>
      <sz val="20.0"/>
      <color theme="1"/>
      <name val="Arial"/>
    </font>
    <font>
      <color theme="1"/>
      <name val="Arial"/>
    </font>
    <font>
      <b/>
      <sz val="21.0"/>
      <color theme="1"/>
      <name val="Times New Roman"/>
    </font>
    <font>
      <b/>
      <sz val="24.0"/>
      <color theme="1"/>
      <name val="Arial"/>
    </font>
    <font>
      <sz val="24.0"/>
      <color theme="1"/>
      <name val="Arial"/>
    </font>
    <font>
      <b/>
      <sz val="24.0"/>
      <color theme="1"/>
      <name val="Aptos Narrow"/>
    </font>
    <font>
      <b/>
      <sz val="28.0"/>
      <color theme="1"/>
      <name val="Arial"/>
    </font>
    <font>
      <sz val="18.0"/>
      <color theme="1"/>
      <name val="Arial"/>
    </font>
    <font>
      <sz val="28.0"/>
      <color theme="1"/>
      <name val="Arial"/>
    </font>
    <font>
      <sz val="24.0"/>
      <color theme="1"/>
      <name val="Aptos Narrow"/>
    </font>
    <font>
      <sz val="26.0"/>
      <color rgb="FF000000"/>
      <name val="Arial"/>
    </font>
    <font>
      <sz val="29.0"/>
      <color rgb="FFFF0000"/>
      <name val="Arial"/>
    </font>
    <font>
      <sz val="20.0"/>
      <color theme="1"/>
      <name val="Aptos Narrow"/>
    </font>
    <font>
      <sz val="16.0"/>
      <color theme="1"/>
      <name val="Arial"/>
    </font>
    <font>
      <sz val="19.0"/>
      <color theme="1"/>
      <name val="Arial"/>
    </font>
    <font>
      <sz val="23.0"/>
      <color theme="1"/>
      <name val="Arial"/>
    </font>
    <font>
      <b/>
      <sz val="21.0"/>
      <color theme="1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3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/>
    </xf>
    <xf borderId="12" fillId="3" fontId="3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3" fillId="0" fontId="2" numFmtId="0" xfId="0" applyBorder="1" applyFont="1"/>
    <xf borderId="12" fillId="4" fontId="5" numFmtId="49" xfId="0" applyAlignment="1" applyBorder="1" applyFill="1" applyFont="1" applyNumberFormat="1">
      <alignment horizontal="center" shrinkToFit="0" vertical="center" wrapText="0"/>
    </xf>
    <xf borderId="12" fillId="4" fontId="6" numFmtId="164" xfId="0" applyAlignment="1" applyBorder="1" applyFont="1" applyNumberFormat="1">
      <alignment horizontal="center" readingOrder="0" vertical="bottom"/>
    </xf>
    <xf borderId="12" fillId="4" fontId="6" numFmtId="4" xfId="0" applyAlignment="1" applyBorder="1" applyFont="1" applyNumberFormat="1">
      <alignment readingOrder="0" vertical="bottom"/>
    </xf>
    <xf borderId="12" fillId="4" fontId="6" numFmtId="1" xfId="0" applyAlignment="1" applyBorder="1" applyFont="1" applyNumberFormat="1">
      <alignment horizontal="center" readingOrder="0" vertical="bottom"/>
    </xf>
    <xf borderId="13" fillId="4" fontId="6" numFmtId="0" xfId="0" applyAlignment="1" applyBorder="1" applyFont="1">
      <alignment readingOrder="0" vertical="bottom"/>
    </xf>
    <xf borderId="12" fillId="4" fontId="7" numFmtId="38" xfId="0" applyAlignment="1" applyBorder="1" applyFont="1" applyNumberFormat="1">
      <alignment horizontal="right" vertical="bottom"/>
    </xf>
    <xf borderId="12" fillId="4" fontId="6" numFmtId="38" xfId="0" applyAlignment="1" applyBorder="1" applyFont="1" applyNumberFormat="1">
      <alignment horizontal="right" readingOrder="0" vertical="bottom"/>
    </xf>
    <xf borderId="12" fillId="4" fontId="7" numFmtId="38" xfId="0" applyAlignment="1" applyBorder="1" applyFont="1" applyNumberFormat="1">
      <alignment vertical="bottom"/>
    </xf>
    <xf borderId="12" fillId="4" fontId="8" numFmtId="0" xfId="0" applyAlignment="1" applyBorder="1" applyFont="1">
      <alignment horizontal="center" shrinkToFit="0" vertical="center" wrapText="1"/>
    </xf>
    <xf borderId="12" fillId="4" fontId="9" numFmtId="3" xfId="0" applyAlignment="1" applyBorder="1" applyFont="1" applyNumberFormat="1">
      <alignment horizontal="center" shrinkToFit="0" vertical="center" wrapText="1"/>
    </xf>
    <xf borderId="10" fillId="4" fontId="10" numFmtId="0" xfId="0" applyAlignment="1" applyBorder="1" applyFont="1">
      <alignment horizontal="center" vertical="center"/>
    </xf>
    <xf borderId="12" fillId="4" fontId="11" numFmtId="0" xfId="0" applyAlignment="1" applyBorder="1" applyFont="1">
      <alignment horizontal="center" readingOrder="0" vertical="center"/>
    </xf>
    <xf borderId="10" fillId="4" fontId="12" numFmtId="0" xfId="0" applyAlignment="1" applyBorder="1" applyFont="1">
      <alignment horizontal="center" vertical="center"/>
    </xf>
    <xf borderId="0" fillId="0" fontId="13" numFmtId="0" xfId="0" applyFont="1"/>
    <xf borderId="13" fillId="4" fontId="6" numFmtId="164" xfId="0" applyAlignment="1" applyBorder="1" applyFont="1" applyNumberFormat="1">
      <alignment horizontal="center" readingOrder="0" vertical="bottom"/>
    </xf>
    <xf borderId="13" fillId="4" fontId="6" numFmtId="4" xfId="0" applyAlignment="1" applyBorder="1" applyFont="1" applyNumberFormat="1">
      <alignment readingOrder="0" vertical="bottom"/>
    </xf>
    <xf borderId="13" fillId="4" fontId="6" numFmtId="1" xfId="0" applyAlignment="1" applyBorder="1" applyFont="1" applyNumberFormat="1">
      <alignment horizontal="center" readingOrder="0" vertical="bottom"/>
    </xf>
    <xf borderId="13" fillId="4" fontId="7" numFmtId="38" xfId="0" applyAlignment="1" applyBorder="1" applyFont="1" applyNumberFormat="1">
      <alignment horizontal="right" vertical="bottom"/>
    </xf>
    <xf borderId="13" fillId="4" fontId="6" numFmtId="38" xfId="0" applyAlignment="1" applyBorder="1" applyFont="1" applyNumberFormat="1">
      <alignment horizontal="right" vertical="bottom"/>
    </xf>
    <xf borderId="13" fillId="4" fontId="7" numFmtId="38" xfId="0" applyAlignment="1" applyBorder="1" applyFont="1" applyNumberFormat="1">
      <alignment readingOrder="0" vertical="bottom"/>
    </xf>
    <xf borderId="14" fillId="4" fontId="9" numFmtId="3" xfId="0" applyAlignment="1" applyBorder="1" applyFont="1" applyNumberFormat="1">
      <alignment horizontal="center" shrinkToFit="0" vertical="center" wrapText="1"/>
    </xf>
    <xf borderId="10" fillId="4" fontId="11" numFmtId="0" xfId="0" applyAlignment="1" applyBorder="1" applyFont="1">
      <alignment horizontal="center" readingOrder="0" vertical="center"/>
    </xf>
    <xf borderId="12" fillId="5" fontId="5" numFmtId="49" xfId="0" applyAlignment="1" applyBorder="1" applyFill="1" applyFont="1" applyNumberFormat="1">
      <alignment horizontal="center" shrinkToFit="0" vertical="center" wrapText="0"/>
    </xf>
    <xf borderId="13" fillId="5" fontId="6" numFmtId="165" xfId="0" applyAlignment="1" applyBorder="1" applyFont="1" applyNumberFormat="1">
      <alignment horizontal="center" readingOrder="0" vertical="bottom"/>
    </xf>
    <xf borderId="13" fillId="5" fontId="6" numFmtId="4" xfId="0" applyAlignment="1" applyBorder="1" applyFont="1" applyNumberFormat="1">
      <alignment readingOrder="0" vertical="bottom"/>
    </xf>
    <xf borderId="13" fillId="5" fontId="6" numFmtId="1" xfId="0" applyAlignment="1" applyBorder="1" applyFont="1" applyNumberFormat="1">
      <alignment horizontal="center" readingOrder="0" vertical="bottom"/>
    </xf>
    <xf borderId="13" fillId="5" fontId="6" numFmtId="0" xfId="0" applyAlignment="1" applyBorder="1" applyFont="1">
      <alignment readingOrder="0" vertical="bottom"/>
    </xf>
    <xf borderId="13" fillId="5" fontId="14" numFmtId="38" xfId="0" applyAlignment="1" applyBorder="1" applyFont="1" applyNumberFormat="1">
      <alignment vertical="bottom"/>
    </xf>
    <xf borderId="13" fillId="5" fontId="15" numFmtId="38" xfId="0" applyAlignment="1" applyBorder="1" applyFont="1" applyNumberFormat="1">
      <alignment horizontal="right" readingOrder="0" vertical="bottom"/>
    </xf>
    <xf borderId="12" fillId="4" fontId="9" numFmtId="0" xfId="0" applyAlignment="1" applyBorder="1" applyFont="1">
      <alignment horizontal="center" shrinkToFit="0" vertical="center" wrapText="1"/>
    </xf>
    <xf borderId="14" fillId="4" fontId="16" numFmtId="3" xfId="0" applyAlignment="1" applyBorder="1" applyFont="1" applyNumberFormat="1">
      <alignment horizontal="center" shrinkToFit="0" vertical="center" wrapText="1"/>
    </xf>
    <xf borderId="12" fillId="5" fontId="14" numFmtId="38" xfId="0" applyAlignment="1" applyBorder="1" applyFont="1" applyNumberFormat="1">
      <alignment vertical="bottom"/>
    </xf>
    <xf borderId="12" fillId="5" fontId="14" numFmtId="38" xfId="0" applyAlignment="1" applyBorder="1" applyFont="1" applyNumberFormat="1">
      <alignment readingOrder="0" vertical="bottom"/>
    </xf>
    <xf borderId="12" fillId="5" fontId="15" numFmtId="38" xfId="0" applyAlignment="1" applyBorder="1" applyFont="1" applyNumberFormat="1">
      <alignment horizontal="right" vertical="bottom"/>
    </xf>
    <xf borderId="12" fillId="4" fontId="16" numFmtId="3" xfId="0" applyAlignment="1" applyBorder="1" applyFont="1" applyNumberFormat="1">
      <alignment horizontal="center" shrinkToFit="0" vertical="center" wrapText="1"/>
    </xf>
    <xf borderId="13" fillId="5" fontId="6" numFmtId="165" xfId="0" applyAlignment="1" applyBorder="1" applyFont="1" applyNumberFormat="1">
      <alignment horizontal="center" vertical="bottom"/>
    </xf>
    <xf borderId="13" fillId="5" fontId="6" numFmtId="4" xfId="0" applyAlignment="1" applyBorder="1" applyFont="1" applyNumberFormat="1">
      <alignment vertical="bottom"/>
    </xf>
    <xf borderId="13" fillId="5" fontId="6" numFmtId="1" xfId="0" applyAlignment="1" applyBorder="1" applyFont="1" applyNumberFormat="1">
      <alignment horizontal="center" vertical="bottom"/>
    </xf>
    <xf borderId="13" fillId="5" fontId="6" numFmtId="0" xfId="0" applyAlignment="1" applyBorder="1" applyFont="1">
      <alignment vertical="bottom"/>
    </xf>
    <xf borderId="12" fillId="4" fontId="17" numFmtId="0" xfId="0" applyAlignment="1" applyBorder="1" applyFont="1">
      <alignment horizontal="center" vertical="center"/>
    </xf>
    <xf borderId="12" fillId="4" fontId="11" numFmtId="0" xfId="0" applyAlignment="1" applyBorder="1" applyFont="1">
      <alignment horizontal="center" vertical="center"/>
    </xf>
    <xf borderId="1" fillId="6" fontId="18" numFmtId="0" xfId="0" applyAlignment="1" applyBorder="1" applyFill="1" applyFont="1">
      <alignment horizontal="center"/>
    </xf>
    <xf borderId="15" fillId="6" fontId="19" numFmtId="3" xfId="0" applyAlignment="1" applyBorder="1" applyFont="1" applyNumberFormat="1">
      <alignment horizontal="center"/>
    </xf>
    <xf borderId="12" fillId="6" fontId="20" numFmtId="3" xfId="0" applyAlignment="1" applyBorder="1" applyFont="1" applyNumberFormat="1">
      <alignment horizontal="center"/>
    </xf>
    <xf borderId="12" fillId="6" fontId="21" numFmtId="3" xfId="0" applyAlignment="1" applyBorder="1" applyFont="1" applyNumberFormat="1">
      <alignment horizontal="right"/>
    </xf>
    <xf borderId="1" fillId="7" fontId="19" numFmtId="3" xfId="0" applyAlignment="1" applyBorder="1" applyFill="1" applyFont="1" applyNumberFormat="1">
      <alignment horizontal="center" vertical="top"/>
    </xf>
    <xf borderId="12" fillId="0" fontId="22" numFmtId="165" xfId="0" applyAlignment="1" applyBorder="1" applyFont="1" applyNumberFormat="1">
      <alignment horizontal="right" vertical="bottom"/>
    </xf>
    <xf borderId="12" fillId="0" fontId="22" numFmtId="4" xfId="0" applyAlignment="1" applyBorder="1" applyFont="1" applyNumberFormat="1">
      <alignment vertical="bottom"/>
    </xf>
    <xf borderId="12" fillId="0" fontId="22" numFmtId="1" xfId="0" applyAlignment="1" applyBorder="1" applyFont="1" applyNumberFormat="1">
      <alignment horizontal="right" vertical="bottom"/>
    </xf>
    <xf borderId="12" fillId="0" fontId="22" numFmtId="0" xfId="0" applyAlignment="1" applyBorder="1" applyFont="1">
      <alignment vertical="bottom"/>
    </xf>
    <xf borderId="10" fillId="4" fontId="12" numFmtId="0" xfId="0" applyAlignment="1" applyBorder="1" applyFont="1">
      <alignment horizontal="center" readingOrder="0" vertical="center"/>
    </xf>
    <xf borderId="12" fillId="8" fontId="22" numFmtId="165" xfId="0" applyAlignment="1" applyBorder="1" applyFill="1" applyFont="1" applyNumberFormat="1">
      <alignment horizontal="right" readingOrder="0" vertical="bottom"/>
    </xf>
    <xf borderId="12" fillId="8" fontId="22" numFmtId="4" xfId="0" applyAlignment="1" applyBorder="1" applyFont="1" applyNumberFormat="1">
      <alignment readingOrder="0" vertical="bottom"/>
    </xf>
    <xf borderId="12" fillId="8" fontId="22" numFmtId="1" xfId="0" applyAlignment="1" applyBorder="1" applyFont="1" applyNumberFormat="1">
      <alignment horizontal="right" readingOrder="0" vertical="bottom"/>
    </xf>
    <xf borderId="12" fillId="8" fontId="22" numFmtId="0" xfId="0" applyAlignment="1" applyBorder="1" applyFont="1">
      <alignment readingOrder="0" vertical="bottom"/>
    </xf>
    <xf borderId="12" fillId="8" fontId="7" numFmtId="38" xfId="0" applyAlignment="1" applyBorder="1" applyFont="1" applyNumberFormat="1">
      <alignment horizontal="right" vertical="bottom"/>
    </xf>
    <xf borderId="12" fillId="8" fontId="6" numFmtId="38" xfId="0" applyAlignment="1" applyBorder="1" applyFont="1" applyNumberFormat="1">
      <alignment horizontal="right" readingOrder="0" vertical="bottom"/>
    </xf>
    <xf borderId="12" fillId="8" fontId="7" numFmtId="38" xfId="0" applyAlignment="1" applyBorder="1" applyFont="1" applyNumberFormat="1">
      <alignment vertical="bottom"/>
    </xf>
    <xf borderId="12" fillId="8" fontId="8" numFmtId="0" xfId="0" applyAlignment="1" applyBorder="1" applyFont="1">
      <alignment horizontal="center" shrinkToFit="0" vertical="center" wrapText="1"/>
    </xf>
    <xf borderId="12" fillId="8" fontId="9" numFmtId="3" xfId="0" applyAlignment="1" applyBorder="1" applyFont="1" applyNumberFormat="1">
      <alignment horizontal="center" shrinkToFit="0" vertical="center" wrapText="1"/>
    </xf>
    <xf borderId="10" fillId="8" fontId="10" numFmtId="0" xfId="0" applyAlignment="1" applyBorder="1" applyFont="1">
      <alignment horizontal="center" vertical="center"/>
    </xf>
    <xf borderId="12" fillId="8" fontId="11" numFmtId="0" xfId="0" applyAlignment="1" applyBorder="1" applyFont="1">
      <alignment horizontal="center" readingOrder="0" vertical="center"/>
    </xf>
    <xf borderId="10" fillId="4" fontId="10" numFmtId="0" xfId="0" applyAlignment="1" applyBorder="1" applyFont="1">
      <alignment horizontal="center" readingOrder="0" vertical="center"/>
    </xf>
    <xf borderId="12" fillId="4" fontId="5" numFmtId="49" xfId="0" applyAlignment="1" applyBorder="1" applyFont="1" applyNumberFormat="1">
      <alignment horizontal="center" readingOrder="0" shrinkToFit="0" vertical="center" wrapText="0"/>
    </xf>
    <xf borderId="12" fillId="4" fontId="16" numFmtId="3" xfId="0" applyAlignment="1" applyBorder="1" applyFont="1" applyNumberFormat="1">
      <alignment horizontal="center" readingOrder="0" shrinkToFit="0" vertical="center" wrapText="1"/>
    </xf>
    <xf borderId="10" fillId="5" fontId="10" numFmtId="0" xfId="0" applyAlignment="1" applyBorder="1" applyFont="1">
      <alignment horizontal="center" vertical="center"/>
    </xf>
    <xf borderId="12" fillId="4" fontId="7" numFmtId="38" xfId="0" applyAlignment="1" applyBorder="1" applyFont="1" applyNumberFormat="1">
      <alignment horizontal="right" readingOrder="0" vertical="bottom"/>
    </xf>
    <xf borderId="12" fillId="5" fontId="5" numFmtId="49" xfId="0" applyAlignment="1" applyBorder="1" applyFont="1" applyNumberFormat="1">
      <alignment horizontal="center" readingOrder="0" shrinkToFit="0" vertical="center" wrapText="0"/>
    </xf>
    <xf borderId="12" fillId="5" fontId="15" numFmtId="38" xfId="0" applyAlignment="1" applyBorder="1" applyFont="1" applyNumberFormat="1">
      <alignment readingOrder="0" vertical="bottom"/>
    </xf>
    <xf borderId="12" fillId="5" fontId="23" numFmtId="165" xfId="0" applyAlignment="1" applyBorder="1" applyFont="1" applyNumberFormat="1">
      <alignment horizontal="right" readingOrder="0" vertical="bottom"/>
    </xf>
    <xf borderId="12" fillId="5" fontId="23" numFmtId="4" xfId="0" applyAlignment="1" applyBorder="1" applyFont="1" applyNumberFormat="1">
      <alignment readingOrder="0" vertical="bottom"/>
    </xf>
    <xf borderId="12" fillId="5" fontId="23" numFmtId="1" xfId="0" applyAlignment="1" applyBorder="1" applyFont="1" applyNumberFormat="1">
      <alignment horizontal="right" readingOrder="0" vertical="bottom"/>
    </xf>
    <xf borderId="12" fillId="5" fontId="23" numFmtId="0" xfId="0" applyAlignment="1" applyBorder="1" applyFont="1">
      <alignment readingOrder="0" vertical="bottom"/>
    </xf>
    <xf borderId="12" fillId="5" fontId="7" numFmtId="38" xfId="0" applyAlignment="1" applyBorder="1" applyFont="1" applyNumberFormat="1">
      <alignment horizontal="right" readingOrder="0" vertical="bottom"/>
    </xf>
    <xf borderId="12" fillId="5" fontId="6" numFmtId="38" xfId="0" applyAlignment="1" applyBorder="1" applyFont="1" applyNumberFormat="1">
      <alignment horizontal="right" readingOrder="0" vertical="bottom"/>
    </xf>
    <xf borderId="12" fillId="5" fontId="7" numFmtId="38" xfId="0" applyAlignment="1" applyBorder="1" applyFont="1" applyNumberFormat="1">
      <alignment vertical="bottom"/>
    </xf>
    <xf borderId="12" fillId="5" fontId="8" numFmtId="0" xfId="0" applyAlignment="1" applyBorder="1" applyFont="1">
      <alignment horizontal="center" shrinkToFit="0" vertical="center" wrapText="1"/>
    </xf>
    <xf borderId="12" fillId="5" fontId="9" numFmtId="3" xfId="0" applyAlignment="1" applyBorder="1" applyFont="1" applyNumberFormat="1">
      <alignment horizontal="center" shrinkToFit="0" vertical="center" wrapText="1"/>
    </xf>
    <xf borderId="10" fillId="5" fontId="10" numFmtId="0" xfId="0" applyAlignment="1" applyBorder="1" applyFont="1">
      <alignment horizontal="center" readingOrder="0" vertical="center"/>
    </xf>
    <xf borderId="12" fillId="5" fontId="11" numFmtId="0" xfId="0" applyAlignment="1" applyBorder="1" applyFont="1">
      <alignment horizontal="center" readingOrder="0" vertical="center"/>
    </xf>
    <xf borderId="12" fillId="5" fontId="23" numFmtId="1" xfId="0" applyAlignment="1" applyBorder="1" applyFont="1" applyNumberFormat="1">
      <alignment horizontal="center" readingOrder="0" vertical="bottom"/>
    </xf>
    <xf borderId="12" fillId="5" fontId="24" numFmtId="38" xfId="0" applyAlignment="1" applyBorder="1" applyFont="1" applyNumberFormat="1">
      <alignment horizontal="right" readingOrder="0" vertical="bottom"/>
    </xf>
    <xf borderId="12" fillId="5" fontId="24" numFmtId="38" xfId="0" applyAlignment="1" applyBorder="1" applyFont="1" applyNumberFormat="1">
      <alignment vertical="bottom"/>
    </xf>
    <xf borderId="12" fillId="5" fontId="25" numFmtId="0" xfId="0" applyAlignment="1" applyBorder="1" applyFont="1">
      <alignment horizontal="center" shrinkToFit="0" vertical="center" wrapText="1"/>
    </xf>
    <xf borderId="12" fillId="5" fontId="25" numFmtId="3" xfId="0" applyAlignment="1" applyBorder="1" applyFont="1" applyNumberFormat="1">
      <alignment horizontal="center" shrinkToFit="0" vertical="center" wrapText="1"/>
    </xf>
    <xf borderId="12" fillId="4" fontId="24" numFmtId="38" xfId="0" applyAlignment="1" applyBorder="1" applyFont="1" applyNumberFormat="1">
      <alignment horizontal="right" readingOrder="0" vertical="bottom"/>
    </xf>
    <xf borderId="12" fillId="4" fontId="24" numFmtId="38" xfId="0" applyAlignment="1" applyBorder="1" applyFont="1" applyNumberFormat="1">
      <alignment vertical="bottom"/>
    </xf>
    <xf borderId="12" fillId="4" fontId="25" numFmtId="0" xfId="0" applyAlignment="1" applyBorder="1" applyFont="1">
      <alignment horizontal="center" shrinkToFit="0" vertical="center" wrapText="1"/>
    </xf>
    <xf borderId="12" fillId="4" fontId="24" numFmtId="3" xfId="0" applyAlignment="1" applyBorder="1" applyFont="1" applyNumberFormat="1">
      <alignment horizontal="center" readingOrder="0" shrinkToFit="0" vertical="center" wrapText="1"/>
    </xf>
    <xf borderId="12" fillId="4" fontId="24" numFmtId="38" xfId="0" applyAlignment="1" applyBorder="1" applyFont="1" applyNumberFormat="1">
      <alignment readingOrder="0" vertical="bottom"/>
    </xf>
    <xf borderId="12" fillId="0" fontId="23" numFmtId="165" xfId="0" applyAlignment="1" applyBorder="1" applyFont="1" applyNumberFormat="1">
      <alignment horizontal="right" vertical="bottom"/>
    </xf>
    <xf borderId="12" fillId="0" fontId="23" numFmtId="4" xfId="0" applyAlignment="1" applyBorder="1" applyFont="1" applyNumberFormat="1">
      <alignment vertical="bottom"/>
    </xf>
    <xf borderId="12" fillId="0" fontId="23" numFmtId="1" xfId="0" applyAlignment="1" applyBorder="1" applyFont="1" applyNumberFormat="1">
      <alignment horizontal="right" vertical="bottom"/>
    </xf>
    <xf borderId="12" fillId="0" fontId="23" numFmtId="0" xfId="0" applyAlignment="1" applyBorder="1" applyFont="1">
      <alignment vertical="bottom"/>
    </xf>
    <xf borderId="12" fillId="5" fontId="26" numFmtId="38" xfId="0" applyAlignment="1" applyBorder="1" applyFont="1" applyNumberFormat="1">
      <alignment horizontal="right" readingOrder="0" vertical="bottom"/>
    </xf>
    <xf borderId="13" fillId="5" fontId="27" numFmtId="38" xfId="0" applyAlignment="1" applyBorder="1" applyFont="1" applyNumberFormat="1">
      <alignment vertical="bottom"/>
    </xf>
    <xf borderId="12" fillId="5" fontId="28" numFmtId="0" xfId="0" applyAlignment="1" applyBorder="1" applyFont="1">
      <alignment horizontal="center" shrinkToFit="0" vertical="center" wrapText="1"/>
    </xf>
    <xf borderId="12" fillId="5" fontId="28" numFmtId="3" xfId="0" applyAlignment="1" applyBorder="1" applyFont="1" applyNumberFormat="1">
      <alignment horizontal="center" shrinkToFit="0" vertical="center" wrapText="1"/>
    </xf>
    <xf borderId="12" fillId="4" fontId="26" numFmtId="38" xfId="0" applyAlignment="1" applyBorder="1" applyFont="1" applyNumberFormat="1">
      <alignment horizontal="right" readingOrder="0" vertical="bottom"/>
    </xf>
    <xf borderId="13" fillId="5" fontId="26" numFmtId="38" xfId="0" applyAlignment="1" applyBorder="1" applyFont="1" applyNumberFormat="1">
      <alignment horizontal="right" vertical="bottom"/>
    </xf>
    <xf borderId="12" fillId="4" fontId="28" numFmtId="0" xfId="0" applyAlignment="1" applyBorder="1" applyFont="1">
      <alignment horizontal="center" shrinkToFit="0" vertical="center" wrapText="1"/>
    </xf>
    <xf borderId="12" fillId="4" fontId="26" numFmtId="3" xfId="0" applyAlignment="1" applyBorder="1" applyFont="1" applyNumberFormat="1">
      <alignment horizontal="center" readingOrder="0" shrinkToFit="0" vertical="center" wrapText="1"/>
    </xf>
    <xf borderId="13" fillId="5" fontId="6" numFmtId="0" xfId="0" applyAlignment="1" applyBorder="1" applyFont="1">
      <alignment vertical="bottom"/>
    </xf>
    <xf borderId="12" fillId="4" fontId="26" numFmtId="38" xfId="0" applyAlignment="1" applyBorder="1" applyFont="1" applyNumberFormat="1">
      <alignment readingOrder="0" vertical="bottom"/>
    </xf>
    <xf borderId="13" fillId="5" fontId="7" numFmtId="38" xfId="0" applyAlignment="1" applyBorder="1" applyFont="1" applyNumberFormat="1">
      <alignment horizontal="right" vertical="bottom"/>
    </xf>
    <xf borderId="12" fillId="8" fontId="23" numFmtId="165" xfId="0" applyAlignment="1" applyBorder="1" applyFont="1" applyNumberFormat="1">
      <alignment horizontal="right" readingOrder="0" vertical="bottom"/>
    </xf>
    <xf borderId="12" fillId="8" fontId="23" numFmtId="4" xfId="0" applyAlignment="1" applyBorder="1" applyFont="1" applyNumberFormat="1">
      <alignment readingOrder="0" vertical="bottom"/>
    </xf>
    <xf borderId="12" fillId="8" fontId="23" numFmtId="1" xfId="0" applyAlignment="1" applyBorder="1" applyFont="1" applyNumberFormat="1">
      <alignment horizontal="right" readingOrder="0" vertical="bottom"/>
    </xf>
    <xf borderId="12" fillId="8" fontId="23" numFmtId="0" xfId="0" applyAlignment="1" applyBorder="1" applyFont="1">
      <alignment readingOrder="0" vertical="bottom"/>
    </xf>
    <xf borderId="12" fillId="8" fontId="7" numFmtId="38" xfId="0" applyAlignment="1" applyBorder="1" applyFont="1" applyNumberFormat="1">
      <alignment horizontal="right" readingOrder="0" vertical="bottom"/>
    </xf>
    <xf borderId="12" fillId="8" fontId="26" numFmtId="38" xfId="0" applyAlignment="1" applyBorder="1" applyFont="1" applyNumberFormat="1">
      <alignment horizontal="right" readingOrder="0" vertical="bottom"/>
    </xf>
    <xf borderId="13" fillId="8" fontId="27" numFmtId="38" xfId="0" applyAlignment="1" applyBorder="1" applyFont="1" applyNumberFormat="1">
      <alignment vertical="bottom"/>
    </xf>
    <xf borderId="12" fillId="8" fontId="28" numFmtId="0" xfId="0" applyAlignment="1" applyBorder="1" applyFont="1">
      <alignment horizontal="center" shrinkToFit="0" vertical="center" wrapText="1"/>
    </xf>
    <xf borderId="12" fillId="8" fontId="28" numFmtId="3" xfId="0" applyAlignment="1" applyBorder="1" applyFont="1" applyNumberFormat="1">
      <alignment horizontal="center" shrinkToFit="0" vertical="center" wrapText="1"/>
    </xf>
    <xf borderId="10" fillId="8" fontId="10" numFmtId="0" xfId="0" applyAlignment="1" applyBorder="1" applyFont="1">
      <alignment horizontal="center" readingOrder="0" vertical="center"/>
    </xf>
    <xf borderId="12" fillId="0" fontId="23" numFmtId="165" xfId="0" applyAlignment="1" applyBorder="1" applyFont="1" applyNumberFormat="1">
      <alignment horizontal="right" readingOrder="0" vertical="bottom"/>
    </xf>
    <xf borderId="12" fillId="0" fontId="23" numFmtId="4" xfId="0" applyAlignment="1" applyBorder="1" applyFont="1" applyNumberFormat="1">
      <alignment readingOrder="0" vertical="bottom"/>
    </xf>
    <xf borderId="12" fillId="0" fontId="23" numFmtId="1" xfId="0" applyAlignment="1" applyBorder="1" applyFont="1" applyNumberFormat="1">
      <alignment horizontal="right" readingOrder="0" vertical="bottom"/>
    </xf>
    <xf borderId="12" fillId="0" fontId="23" numFmtId="0" xfId="0" applyAlignment="1" applyBorder="1" applyFont="1">
      <alignment readingOrder="0" vertical="bottom"/>
    </xf>
    <xf borderId="13" fillId="5" fontId="26" numFmtId="38" xfId="0" applyAlignment="1" applyBorder="1" applyFont="1" applyNumberFormat="1">
      <alignment readingOrder="0" vertical="bottom"/>
    </xf>
    <xf borderId="13" fillId="5" fontId="6" numFmtId="164" xfId="0" applyAlignment="1" applyBorder="1" applyFont="1" applyNumberFormat="1">
      <alignment horizontal="center" vertical="bottom"/>
    </xf>
    <xf borderId="13" fillId="5" fontId="6" numFmtId="1" xfId="0" applyAlignment="1" applyBorder="1" applyFont="1" applyNumberFormat="1">
      <alignment horizontal="center" vertical="center"/>
    </xf>
    <xf borderId="13" fillId="5" fontId="6" numFmtId="0" xfId="0" applyAlignment="1" applyBorder="1" applyFont="1">
      <alignment vertical="center"/>
    </xf>
    <xf borderId="13" fillId="5" fontId="29" numFmtId="38" xfId="0" applyAlignment="1" applyBorder="1" applyFont="1" applyNumberFormat="1">
      <alignment vertical="center"/>
    </xf>
    <xf borderId="13" fillId="5" fontId="24" numFmtId="38" xfId="0" applyAlignment="1" applyBorder="1" applyFont="1" applyNumberFormat="1">
      <alignment horizontal="right" vertical="center"/>
    </xf>
    <xf borderId="13" fillId="5" fontId="30" numFmtId="38" xfId="0" applyAlignment="1" applyBorder="1" applyFont="1" applyNumberFormat="1">
      <alignment vertical="center"/>
    </xf>
    <xf borderId="12" fillId="4" fontId="28" numFmtId="3" xfId="0" applyAlignment="1" applyBorder="1" applyFont="1" applyNumberFormat="1">
      <alignment horizontal="center" shrinkToFit="0" vertical="center" wrapText="1"/>
    </xf>
    <xf borderId="12" fillId="0" fontId="31" numFmtId="165" xfId="0" applyAlignment="1" applyBorder="1" applyFont="1" applyNumberFormat="1">
      <alignment horizontal="center" vertical="bottom"/>
    </xf>
    <xf borderId="12" fillId="0" fontId="31" numFmtId="4" xfId="0" applyAlignment="1" applyBorder="1" applyFont="1" applyNumberFormat="1">
      <alignment vertical="bottom"/>
    </xf>
    <xf borderId="12" fillId="0" fontId="31" numFmtId="1" xfId="0" applyAlignment="1" applyBorder="1" applyFont="1" applyNumberFormat="1">
      <alignment horizontal="center" vertical="center"/>
    </xf>
    <xf borderId="12" fillId="0" fontId="31" numFmtId="0" xfId="0" applyAlignment="1" applyBorder="1" applyFont="1">
      <alignment vertical="center"/>
    </xf>
    <xf borderId="13" fillId="5" fontId="6" numFmtId="38" xfId="0" applyAlignment="1" applyBorder="1" applyFont="1" applyNumberFormat="1">
      <alignment horizontal="right" vertical="center"/>
    </xf>
    <xf borderId="12" fillId="0" fontId="23" numFmtId="165" xfId="0" applyAlignment="1" applyBorder="1" applyFont="1" applyNumberFormat="1">
      <alignment horizontal="center" vertical="bottom"/>
    </xf>
    <xf borderId="12" fillId="0" fontId="23" numFmtId="1" xfId="0" applyAlignment="1" applyBorder="1" applyFont="1" applyNumberFormat="1">
      <alignment horizontal="center" vertical="center"/>
    </xf>
    <xf borderId="12" fillId="0" fontId="23" numFmtId="0" xfId="0" applyAlignment="1" applyBorder="1" applyFont="1">
      <alignment vertical="center"/>
    </xf>
    <xf borderId="13" fillId="5" fontId="30" numFmtId="38" xfId="0" applyAlignment="1" applyBorder="1" applyFont="1" applyNumberFormat="1">
      <alignment vertical="bottom"/>
    </xf>
    <xf borderId="13" fillId="5" fontId="6" numFmtId="164" xfId="0" applyAlignment="1" applyBorder="1" applyFont="1" applyNumberFormat="1">
      <alignment horizontal="center" readingOrder="0" vertical="bottom"/>
    </xf>
    <xf borderId="13" fillId="5" fontId="6" numFmtId="1" xfId="0" applyAlignment="1" applyBorder="1" applyFont="1" applyNumberFormat="1">
      <alignment horizontal="center" readingOrder="0" vertical="center"/>
    </xf>
    <xf borderId="13" fillId="5" fontId="6" numFmtId="0" xfId="0" applyAlignment="1" applyBorder="1" applyFont="1">
      <alignment readingOrder="0" vertical="center"/>
    </xf>
    <xf borderId="13" fillId="5" fontId="24" numFmtId="38" xfId="0" applyAlignment="1" applyBorder="1" applyFont="1" applyNumberFormat="1">
      <alignment horizontal="right" readingOrder="0" vertical="center"/>
    </xf>
    <xf borderId="13" fillId="5" fontId="29" numFmtId="38" xfId="0" applyAlignment="1" applyBorder="1" applyFont="1" applyNumberFormat="1">
      <alignment readingOrder="0" vertical="center"/>
    </xf>
    <xf borderId="12" fillId="0" fontId="31" numFmtId="165" xfId="0" applyAlignment="1" applyBorder="1" applyFont="1" applyNumberFormat="1">
      <alignment horizontal="center" readingOrder="0" vertical="bottom"/>
    </xf>
    <xf borderId="12" fillId="0" fontId="31" numFmtId="4" xfId="0" applyAlignment="1" applyBorder="1" applyFont="1" applyNumberFormat="1">
      <alignment readingOrder="0" vertical="bottom"/>
    </xf>
    <xf borderId="12" fillId="0" fontId="31" numFmtId="1" xfId="0" applyAlignment="1" applyBorder="1" applyFont="1" applyNumberFormat="1">
      <alignment horizontal="center" readingOrder="0" vertical="center"/>
    </xf>
    <xf borderId="12" fillId="0" fontId="31" numFmtId="0" xfId="0" applyAlignment="1" applyBorder="1" applyFont="1">
      <alignment readingOrder="0" vertical="center"/>
    </xf>
    <xf borderId="13" fillId="9" fontId="6" numFmtId="164" xfId="0" applyAlignment="1" applyBorder="1" applyFill="1" applyFont="1" applyNumberFormat="1">
      <alignment horizontal="center" readingOrder="0" vertical="center"/>
    </xf>
    <xf borderId="13" fillId="9" fontId="6" numFmtId="4" xfId="0" applyAlignment="1" applyBorder="1" applyFont="1" applyNumberFormat="1">
      <alignment horizontal="center" readingOrder="0" vertical="center"/>
    </xf>
    <xf borderId="13" fillId="9" fontId="6" numFmtId="1" xfId="0" applyAlignment="1" applyBorder="1" applyFont="1" applyNumberFormat="1">
      <alignment horizontal="center" readingOrder="0" vertical="center"/>
    </xf>
    <xf borderId="13" fillId="9" fontId="6" numFmtId="0" xfId="0" applyAlignment="1" applyBorder="1" applyFont="1">
      <alignment readingOrder="0" vertical="center"/>
    </xf>
    <xf borderId="13" fillId="9" fontId="29" numFmtId="38" xfId="0" applyAlignment="1" applyBorder="1" applyFont="1" applyNumberFormat="1">
      <alignment vertical="center"/>
    </xf>
    <xf borderId="13" fillId="9" fontId="32" numFmtId="38" xfId="0" applyAlignment="1" applyBorder="1" applyFont="1" applyNumberFormat="1">
      <alignment horizontal="right" readingOrder="0" vertical="center"/>
    </xf>
    <xf borderId="13" fillId="9" fontId="33" numFmtId="38" xfId="0" applyAlignment="1" applyBorder="1" applyFont="1" applyNumberFormat="1">
      <alignment vertical="center"/>
    </xf>
    <xf borderId="12" fillId="9" fontId="34" numFmtId="0" xfId="0" applyAlignment="1" applyBorder="1" applyFont="1">
      <alignment horizontal="center" shrinkToFit="0" vertical="center" wrapText="1"/>
    </xf>
    <xf borderId="12" fillId="9" fontId="34" numFmtId="3" xfId="0" applyAlignment="1" applyBorder="1" applyFont="1" applyNumberFormat="1">
      <alignment horizontal="center" shrinkToFit="0" vertical="center" wrapText="1"/>
    </xf>
    <xf borderId="10" fillId="9" fontId="10" numFmtId="0" xfId="0" applyAlignment="1" applyBorder="1" applyFont="1">
      <alignment horizontal="center" readingOrder="0" vertical="center"/>
    </xf>
    <xf borderId="12" fillId="9" fontId="11" numFmtId="0" xfId="0" applyAlignment="1" applyBorder="1" applyFont="1">
      <alignment horizontal="center" readingOrder="0" vertical="center"/>
    </xf>
    <xf borderId="13" fillId="5" fontId="6" numFmtId="165" xfId="0" applyAlignment="1" applyBorder="1" applyFont="1" applyNumberFormat="1">
      <alignment horizontal="center" readingOrder="0" vertical="center"/>
    </xf>
    <xf borderId="13" fillId="5" fontId="6" numFmtId="4" xfId="0" applyAlignment="1" applyBorder="1" applyFont="1" applyNumberFormat="1">
      <alignment horizontal="center" readingOrder="0" vertical="center"/>
    </xf>
    <xf borderId="13" fillId="5" fontId="32" numFmtId="38" xfId="0" applyAlignment="1" applyBorder="1" applyFont="1" applyNumberFormat="1">
      <alignment horizontal="right" readingOrder="0" vertical="center"/>
    </xf>
    <xf borderId="13" fillId="5" fontId="33" numFmtId="38" xfId="0" applyAlignment="1" applyBorder="1" applyFont="1" applyNumberFormat="1">
      <alignment vertical="center"/>
    </xf>
    <xf borderId="12" fillId="4" fontId="34" numFmtId="0" xfId="0" applyAlignment="1" applyBorder="1" applyFont="1">
      <alignment horizontal="center" shrinkToFit="0" vertical="center" wrapText="1"/>
    </xf>
    <xf borderId="12" fillId="4" fontId="32" numFmtId="3" xfId="0" applyAlignment="1" applyBorder="1" applyFont="1" applyNumberFormat="1">
      <alignment horizontal="center" readingOrder="0" shrinkToFit="0" vertical="center" wrapText="1"/>
    </xf>
    <xf borderId="13" fillId="0" fontId="31" numFmtId="165" xfId="0" applyAlignment="1" applyBorder="1" applyFont="1" applyNumberFormat="1">
      <alignment horizontal="center" readingOrder="0" vertical="center"/>
    </xf>
    <xf borderId="13" fillId="0" fontId="31" numFmtId="4" xfId="0" applyAlignment="1" applyBorder="1" applyFont="1" applyNumberFormat="1">
      <alignment horizontal="center" readingOrder="0" vertical="center"/>
    </xf>
    <xf borderId="13" fillId="0" fontId="31" numFmtId="1" xfId="0" applyAlignment="1" applyBorder="1" applyFont="1" applyNumberFormat="1">
      <alignment horizontal="center" readingOrder="0" vertical="center"/>
    </xf>
    <xf borderId="13" fillId="0" fontId="31" numFmtId="0" xfId="0" applyAlignment="1" applyBorder="1" applyFont="1">
      <alignment readingOrder="0" vertical="center"/>
    </xf>
    <xf borderId="13" fillId="5" fontId="33" numFmtId="38" xfId="0" applyAlignment="1" applyBorder="1" applyFont="1" applyNumberFormat="1">
      <alignment readingOrder="0" vertical="center"/>
    </xf>
    <xf borderId="13" fillId="5" fontId="32" numFmtId="38" xfId="0" applyAlignment="1" applyBorder="1" applyFont="1" applyNumberFormat="1">
      <alignment horizontal="right" vertical="center"/>
    </xf>
    <xf borderId="13" fillId="0" fontId="31" numFmtId="165" xfId="0" applyAlignment="1" applyBorder="1" applyFont="1" applyNumberFormat="1">
      <alignment horizontal="center" readingOrder="0" vertical="bottom"/>
    </xf>
    <xf borderId="13" fillId="0" fontId="31" numFmtId="4" xfId="0" applyAlignment="1" applyBorder="1" applyFont="1" applyNumberFormat="1">
      <alignment readingOrder="0" vertical="bottom"/>
    </xf>
    <xf borderId="0" fillId="0" fontId="30" numFmtId="0" xfId="0" applyAlignment="1" applyFont="1">
      <alignment readingOrder="0"/>
    </xf>
    <xf borderId="13" fillId="5" fontId="6" numFmtId="164" xfId="0" applyAlignment="1" applyBorder="1" applyFont="1" applyNumberFormat="1">
      <alignment horizontal="center" readingOrder="0" vertical="center"/>
    </xf>
    <xf borderId="13" fillId="10" fontId="6" numFmtId="0" xfId="0" applyAlignment="1" applyBorder="1" applyFill="1" applyFont="1">
      <alignment horizontal="center" readingOrder="0" vertical="center"/>
    </xf>
    <xf borderId="12" fillId="4" fontId="34" numFmtId="3" xfId="0" applyAlignment="1" applyBorder="1" applyFont="1" applyNumberFormat="1">
      <alignment horizontal="center" shrinkToFit="0" vertical="center" wrapText="1"/>
    </xf>
    <xf borderId="13" fillId="5" fontId="6" numFmtId="164" xfId="0" applyAlignment="1" applyBorder="1" applyFont="1" applyNumberFormat="1">
      <alignment horizontal="center" vertical="center"/>
    </xf>
    <xf borderId="13" fillId="5" fontId="6" numFmtId="4" xfId="0" applyAlignment="1" applyBorder="1" applyFont="1" applyNumberFormat="1">
      <alignment horizontal="center" vertical="center"/>
    </xf>
    <xf borderId="13" fillId="5" fontId="6" numFmtId="0" xfId="0" applyAlignment="1" applyBorder="1" applyFont="1">
      <alignment horizontal="center" vertical="center"/>
    </xf>
    <xf borderId="13" fillId="5" fontId="29" numFmtId="38" xfId="0" applyAlignment="1" applyBorder="1" applyFont="1" applyNumberFormat="1">
      <alignment horizontal="center" vertical="center"/>
    </xf>
    <xf borderId="13" fillId="5" fontId="27" numFmtId="38" xfId="0" applyAlignment="1" applyBorder="1" applyFont="1" applyNumberFormat="1">
      <alignment horizontal="center" vertical="center"/>
    </xf>
    <xf borderId="13" fillId="5" fontId="26" numFmtId="38" xfId="0" applyAlignment="1" applyBorder="1" applyFont="1" applyNumberFormat="1">
      <alignment horizontal="center" vertical="center"/>
    </xf>
    <xf borderId="13" fillId="5" fontId="29" numFmtId="38" xfId="0" applyAlignment="1" applyBorder="1" applyFont="1" applyNumberFormat="1">
      <alignment horizontal="center" readingOrder="0" vertical="center"/>
    </xf>
    <xf borderId="12" fillId="9" fontId="5" numFmtId="49" xfId="0" applyAlignment="1" applyBorder="1" applyFont="1" applyNumberFormat="1">
      <alignment horizontal="center" shrinkToFit="0" vertical="center" wrapText="0"/>
    </xf>
    <xf borderId="13" fillId="9" fontId="6" numFmtId="164" xfId="0" applyAlignment="1" applyBorder="1" applyFont="1" applyNumberFormat="1">
      <alignment horizontal="center" vertical="bottom"/>
    </xf>
    <xf borderId="13" fillId="9" fontId="6" numFmtId="4" xfId="0" applyAlignment="1" applyBorder="1" applyFont="1" applyNumberFormat="1">
      <alignment vertical="bottom"/>
    </xf>
    <xf borderId="13" fillId="9" fontId="6" numFmtId="1" xfId="0" applyAlignment="1" applyBorder="1" applyFont="1" applyNumberFormat="1">
      <alignment horizontal="center" vertical="bottom"/>
    </xf>
    <xf borderId="13" fillId="9" fontId="6" numFmtId="0" xfId="0" applyAlignment="1" applyBorder="1" applyFont="1">
      <alignment vertical="bottom"/>
    </xf>
    <xf borderId="13" fillId="9" fontId="29" numFmtId="38" xfId="0" applyAlignment="1" applyBorder="1" applyFont="1" applyNumberFormat="1">
      <alignment horizontal="center" vertical="center"/>
    </xf>
    <xf borderId="13" fillId="9" fontId="27" numFmtId="38" xfId="0" applyAlignment="1" applyBorder="1" applyFont="1" applyNumberFormat="1">
      <alignment horizontal="center" readingOrder="0" vertical="center"/>
    </xf>
    <xf borderId="13" fillId="9" fontId="26" numFmtId="38" xfId="0" applyAlignment="1" applyBorder="1" applyFont="1" applyNumberFormat="1">
      <alignment horizontal="center" vertical="center"/>
    </xf>
    <xf borderId="12" fillId="9" fontId="5" numFmtId="49" xfId="0" applyAlignment="1" applyBorder="1" applyFont="1" applyNumberFormat="1">
      <alignment horizontal="center" readingOrder="0" shrinkToFit="0" vertical="center" wrapText="0"/>
    </xf>
    <xf borderId="13" fillId="9" fontId="29" numFmtId="38" xfId="0" applyAlignment="1" applyBorder="1" applyFont="1" applyNumberFormat="1">
      <alignment horizontal="center" readingOrder="0" vertical="center"/>
    </xf>
    <xf borderId="12" fillId="9" fontId="32" numFmtId="3" xfId="0" applyAlignment="1" applyBorder="1" applyFont="1" applyNumberFormat="1">
      <alignment horizontal="center" readingOrder="0" shrinkToFit="0" vertical="center" wrapText="1"/>
    </xf>
    <xf borderId="13" fillId="9" fontId="6" numFmtId="164" xfId="0" applyAlignment="1" applyBorder="1" applyFont="1" applyNumberFormat="1">
      <alignment horizontal="center" readingOrder="0" vertical="bottom"/>
    </xf>
    <xf borderId="13" fillId="9" fontId="6" numFmtId="4" xfId="0" applyAlignment="1" applyBorder="1" applyFont="1" applyNumberFormat="1">
      <alignment readingOrder="0" vertical="bottom"/>
    </xf>
    <xf borderId="13" fillId="9" fontId="6" numFmtId="1" xfId="0" applyAlignment="1" applyBorder="1" applyFont="1" applyNumberFormat="1">
      <alignment horizontal="center" readingOrder="0" vertical="bottom"/>
    </xf>
    <xf borderId="13" fillId="9" fontId="6" numFmtId="0" xfId="0" applyAlignment="1" applyBorder="1" applyFont="1">
      <alignment readingOrder="0" vertical="bottom"/>
    </xf>
    <xf borderId="13" fillId="4" fontId="29" numFmtId="38" xfId="0" applyAlignment="1" applyBorder="1" applyFont="1" applyNumberFormat="1">
      <alignment horizontal="center" readingOrder="0" vertical="center"/>
    </xf>
    <xf borderId="13" fillId="4" fontId="27" numFmtId="38" xfId="0" applyAlignment="1" applyBorder="1" applyFont="1" applyNumberFormat="1">
      <alignment horizontal="center" readingOrder="0" vertical="center"/>
    </xf>
    <xf borderId="12" fillId="5" fontId="14" numFmtId="38" xfId="0" applyAlignment="1" applyBorder="1" applyFont="1" applyNumberFormat="1">
      <alignment horizontal="center" vertical="bottom"/>
    </xf>
    <xf borderId="13" fillId="5" fontId="27" numFmtId="38" xfId="0" applyAlignment="1" applyBorder="1" applyFont="1" applyNumberFormat="1">
      <alignment horizontal="center" readingOrder="0" vertical="center"/>
    </xf>
    <xf borderId="12" fillId="5" fontId="34" numFmtId="0" xfId="0" applyAlignment="1" applyBorder="1" applyFont="1">
      <alignment horizontal="center" shrinkToFit="0" vertical="center" wrapText="1"/>
    </xf>
    <xf borderId="12" fillId="5" fontId="34" numFmtId="3" xfId="0" applyAlignment="1" applyBorder="1" applyFont="1" applyNumberFormat="1">
      <alignment horizontal="center" shrinkToFit="0" vertical="center" wrapText="1"/>
    </xf>
    <xf borderId="13" fillId="7" fontId="6" numFmtId="0" xfId="0" applyAlignment="1" applyBorder="1" applyFont="1">
      <alignment readingOrder="0" vertical="center"/>
    </xf>
    <xf borderId="13" fillId="5" fontId="35" numFmtId="38" xfId="0" applyAlignment="1" applyBorder="1" applyFont="1" applyNumberFormat="1">
      <alignment horizontal="center" readingOrder="0" vertical="center"/>
    </xf>
    <xf borderId="13" fillId="5" fontId="6" numFmtId="38" xfId="0" applyAlignment="1" applyBorder="1" applyFont="1" applyNumberFormat="1">
      <alignment horizontal="left" readingOrder="0" vertical="bottom"/>
    </xf>
    <xf borderId="13" fillId="4" fontId="35" numFmtId="38" xfId="0" applyAlignment="1" applyBorder="1" applyFont="1" applyNumberFormat="1">
      <alignment horizontal="center" readingOrder="0" vertical="center"/>
    </xf>
    <xf borderId="13" fillId="11" fontId="36" numFmtId="164" xfId="0" applyAlignment="1" applyBorder="1" applyFill="1" applyFont="1" applyNumberFormat="1">
      <alignment horizontal="center" readingOrder="0" vertical="bottom"/>
    </xf>
    <xf borderId="13" fillId="11" fontId="36" numFmtId="4" xfId="0" applyAlignment="1" applyBorder="1" applyFont="1" applyNumberFormat="1">
      <alignment readingOrder="0" vertical="bottom"/>
    </xf>
    <xf borderId="13" fillId="11" fontId="36" numFmtId="1" xfId="0" applyAlignment="1" applyBorder="1" applyFont="1" applyNumberFormat="1">
      <alignment horizontal="center" readingOrder="0" vertical="bottom"/>
    </xf>
    <xf borderId="13" fillId="11" fontId="36" numFmtId="0" xfId="0" applyAlignment="1" applyBorder="1" applyFont="1">
      <alignment readingOrder="0" vertical="bottom"/>
    </xf>
    <xf borderId="13" fillId="11" fontId="29" numFmtId="38" xfId="0" applyAlignment="1" applyBorder="1" applyFont="1" applyNumberFormat="1">
      <alignment horizontal="center" vertical="center"/>
    </xf>
    <xf borderId="13" fillId="11" fontId="37" numFmtId="38" xfId="0" applyAlignment="1" applyBorder="1" applyFont="1" applyNumberFormat="1">
      <alignment horizontal="center" readingOrder="0" vertical="center"/>
    </xf>
    <xf borderId="12" fillId="11" fontId="38" numFmtId="0" xfId="0" applyAlignment="1" applyBorder="1" applyFont="1">
      <alignment horizontal="center" shrinkToFit="0" vertical="center" wrapText="1"/>
    </xf>
    <xf borderId="12" fillId="11" fontId="38" numFmtId="3" xfId="0" applyAlignment="1" applyBorder="1" applyFont="1" applyNumberFormat="1">
      <alignment horizontal="center" shrinkToFit="0" vertical="center" wrapText="1"/>
    </xf>
    <xf borderId="10" fillId="11" fontId="39" numFmtId="0" xfId="0" applyAlignment="1" applyBorder="1" applyFont="1">
      <alignment horizontal="center" readingOrder="0" vertical="center"/>
    </xf>
    <xf borderId="12" fillId="11" fontId="40" numFmtId="0" xfId="0" applyAlignment="1" applyBorder="1" applyFont="1">
      <alignment horizontal="center" readingOrder="0" vertical="center"/>
    </xf>
    <xf borderId="13" fillId="11" fontId="36" numFmtId="38" xfId="0" applyAlignment="1" applyBorder="1" applyFont="1" applyNumberFormat="1">
      <alignment horizontal="left" readingOrder="0" vertical="bottom"/>
    </xf>
    <xf borderId="13" fillId="11" fontId="29" numFmtId="38" xfId="0" applyAlignment="1" applyBorder="1" applyFont="1" applyNumberFormat="1">
      <alignment horizontal="center" readingOrder="0" vertical="center"/>
    </xf>
    <xf borderId="12" fillId="11" fontId="33" numFmtId="3" xfId="0" applyAlignment="1" applyBorder="1" applyFont="1" applyNumberFormat="1">
      <alignment horizontal="center" readingOrder="0" shrinkToFit="0" vertical="center" wrapText="1"/>
    </xf>
    <xf borderId="13" fillId="9" fontId="6" numFmtId="38" xfId="0" applyAlignment="1" applyBorder="1" applyFont="1" applyNumberFormat="1">
      <alignment horizontal="right" vertical="bottom"/>
    </xf>
    <xf borderId="13" fillId="9" fontId="30" numFmtId="38" xfId="0" applyAlignment="1" applyBorder="1" applyFont="1" applyNumberFormat="1">
      <alignment vertical="bottom"/>
    </xf>
    <xf borderId="13" fillId="9" fontId="37" numFmtId="38" xfId="0" applyAlignment="1" applyBorder="1" applyFont="1" applyNumberFormat="1">
      <alignment horizontal="center" readingOrder="0" vertical="center"/>
    </xf>
    <xf borderId="12" fillId="9" fontId="38" numFmtId="0" xfId="0" applyAlignment="1" applyBorder="1" applyFont="1">
      <alignment horizontal="center" shrinkToFit="0" vertical="center" wrapText="1"/>
    </xf>
    <xf borderId="12" fillId="9" fontId="38" numFmtId="3" xfId="0" applyAlignment="1" applyBorder="1" applyFont="1" applyNumberFormat="1">
      <alignment horizontal="center" shrinkToFit="0" vertical="center" wrapText="1"/>
    </xf>
    <xf borderId="10" fillId="9" fontId="39" numFmtId="0" xfId="0" applyAlignment="1" applyBorder="1" applyFont="1">
      <alignment horizontal="center" readingOrder="0" vertical="center"/>
    </xf>
    <xf borderId="12" fillId="9" fontId="40" numFmtId="0" xfId="0" applyAlignment="1" applyBorder="1" applyFont="1">
      <alignment horizontal="center" readingOrder="0" vertical="center"/>
    </xf>
    <xf borderId="13" fillId="5" fontId="6" numFmtId="38" xfId="0" applyAlignment="1" applyBorder="1" applyFont="1" applyNumberFormat="1">
      <alignment vertical="bottom"/>
    </xf>
    <xf borderId="13" fillId="5" fontId="6" numFmtId="38" xfId="0" applyAlignment="1" applyBorder="1" applyFont="1" applyNumberFormat="1">
      <alignment horizontal="right" vertical="bottom"/>
    </xf>
    <xf borderId="13" fillId="4" fontId="37" numFmtId="38" xfId="0" applyAlignment="1" applyBorder="1" applyFont="1" applyNumberFormat="1">
      <alignment horizontal="center" readingOrder="0" vertical="center"/>
    </xf>
    <xf borderId="12" fillId="4" fontId="38" numFmtId="0" xfId="0" applyAlignment="1" applyBorder="1" applyFont="1">
      <alignment horizontal="center" shrinkToFit="0" vertical="center" wrapText="1"/>
    </xf>
    <xf borderId="12" fillId="4" fontId="33" numFmtId="3" xfId="0" applyAlignment="1" applyBorder="1" applyFont="1" applyNumberFormat="1">
      <alignment horizontal="center" readingOrder="0" shrinkToFit="0" vertical="center" wrapText="1"/>
    </xf>
    <xf borderId="12" fillId="4" fontId="40" numFmtId="0" xfId="0" applyAlignment="1" applyBorder="1" applyFont="1">
      <alignment horizontal="center" readingOrder="0" vertical="center"/>
    </xf>
    <xf borderId="10" fillId="4" fontId="39" numFmtId="0" xfId="0" applyAlignment="1" applyBorder="1" applyFont="1">
      <alignment horizontal="center" readingOrder="0" vertical="center"/>
    </xf>
    <xf borderId="13" fillId="4" fontId="6" numFmtId="38" xfId="0" applyAlignment="1" applyBorder="1" applyFont="1" applyNumberFormat="1">
      <alignment horizontal="left" readingOrder="0" vertical="bottom"/>
    </xf>
    <xf borderId="13" fillId="5" fontId="6" numFmtId="38" xfId="0" applyAlignment="1" applyBorder="1" applyFont="1" applyNumberFormat="1">
      <alignment horizontal="right" readingOrder="0" vertical="bottom"/>
    </xf>
    <xf borderId="13" fillId="5" fontId="29" numFmtId="38" xfId="0" applyAlignment="1" applyBorder="1" applyFont="1" applyNumberFormat="1">
      <alignment readingOrder="0" vertical="bottom"/>
    </xf>
    <xf borderId="12" fillId="5" fontId="41" numFmtId="0" xfId="0" applyAlignment="1" applyBorder="1" applyFont="1">
      <alignment horizontal="center" shrinkToFit="0" vertical="center" wrapText="1"/>
    </xf>
    <xf borderId="12" fillId="5" fontId="41" numFmtId="3" xfId="0" applyAlignment="1" applyBorder="1" applyFont="1" applyNumberFormat="1">
      <alignment horizontal="center" shrinkToFit="0" vertical="center" wrapText="1"/>
    </xf>
    <xf borderId="10" fillId="5" fontId="39" numFmtId="0" xfId="0" applyAlignment="1" applyBorder="1" applyFont="1">
      <alignment horizontal="center" readingOrder="0" vertical="center"/>
    </xf>
    <xf borderId="12" fillId="5" fontId="40" numFmtId="0" xfId="0" applyAlignment="1" applyBorder="1" applyFont="1">
      <alignment horizontal="center" readingOrder="0" vertical="center"/>
    </xf>
    <xf borderId="13" fillId="5" fontId="6" numFmtId="38" xfId="0" applyAlignment="1" applyBorder="1" applyFont="1" applyNumberFormat="1">
      <alignment readingOrder="0" vertical="bottom"/>
    </xf>
    <xf borderId="13" fillId="5" fontId="42" numFmtId="38" xfId="0" applyAlignment="1" applyBorder="1" applyFont="1" applyNumberFormat="1">
      <alignment readingOrder="0" vertical="bottom"/>
    </xf>
    <xf borderId="13" fillId="5" fontId="24" numFmtId="38" xfId="0" applyAlignment="1" applyBorder="1" applyFont="1" applyNumberFormat="1">
      <alignment horizontal="right" readingOrder="0" vertical="bottom"/>
    </xf>
    <xf borderId="12" fillId="4" fontId="41" numFmtId="0" xfId="0" applyAlignment="1" applyBorder="1" applyFont="1">
      <alignment horizontal="center" shrinkToFit="0" vertical="center" wrapText="1"/>
    </xf>
    <xf borderId="12" fillId="4" fontId="29" numFmtId="3" xfId="0" applyAlignment="1" applyBorder="1" applyFont="1" applyNumberFormat="1">
      <alignment horizontal="center" readingOrder="0" shrinkToFit="0" vertical="center" wrapText="1"/>
    </xf>
    <xf borderId="13" fillId="4" fontId="24" numFmtId="38" xfId="0" applyAlignment="1" applyBorder="1" applyFont="1" applyNumberFormat="1">
      <alignment horizontal="center" readingOrder="0" vertical="center"/>
    </xf>
    <xf borderId="12" fillId="5" fontId="29" numFmtId="38" xfId="0" applyAlignment="1" applyBorder="1" applyFont="1" applyNumberFormat="1">
      <alignment horizontal="center" vertical="bottom"/>
    </xf>
    <xf borderId="12" fillId="5" fontId="24" numFmtId="38" xfId="0" applyAlignment="1" applyBorder="1" applyFont="1" applyNumberFormat="1">
      <alignment horizontal="right" vertical="bottom"/>
    </xf>
    <xf borderId="12" fillId="11" fontId="5" numFmtId="49" xfId="0" applyAlignment="1" applyBorder="1" applyFont="1" applyNumberFormat="1">
      <alignment horizontal="center" shrinkToFit="0" vertical="center" wrapText="0"/>
    </xf>
    <xf borderId="13" fillId="11" fontId="6" numFmtId="164" xfId="0" applyAlignment="1" applyBorder="1" applyFont="1" applyNumberFormat="1">
      <alignment horizontal="center" readingOrder="0" vertical="bottom"/>
    </xf>
    <xf borderId="13" fillId="11" fontId="6" numFmtId="4" xfId="0" applyAlignment="1" applyBorder="1" applyFont="1" applyNumberFormat="1">
      <alignment readingOrder="0" vertical="bottom"/>
    </xf>
    <xf borderId="13" fillId="11" fontId="6" numFmtId="1" xfId="0" applyAlignment="1" applyBorder="1" applyFont="1" applyNumberFormat="1">
      <alignment horizontal="center" readingOrder="0" vertical="bottom"/>
    </xf>
    <xf borderId="13" fillId="11" fontId="6" numFmtId="0" xfId="0" applyAlignment="1" applyBorder="1" applyFont="1">
      <alignment readingOrder="0" vertical="bottom"/>
    </xf>
    <xf borderId="13" fillId="11" fontId="6" numFmtId="38" xfId="0" applyAlignment="1" applyBorder="1" applyFont="1" applyNumberFormat="1">
      <alignment horizontal="right" readingOrder="0" vertical="bottom"/>
    </xf>
    <xf borderId="13" fillId="11" fontId="6" numFmtId="38" xfId="0" applyAlignment="1" applyBorder="1" applyFont="1" applyNumberFormat="1">
      <alignment horizontal="right" vertical="bottom"/>
    </xf>
    <xf borderId="12" fillId="11" fontId="41" numFmtId="0" xfId="0" applyAlignment="1" applyBorder="1" applyFont="1">
      <alignment horizontal="center" shrinkToFit="0" vertical="center" wrapText="1"/>
    </xf>
    <xf borderId="12" fillId="11" fontId="41" numFmtId="3" xfId="0" applyAlignment="1" applyBorder="1" applyFont="1" applyNumberFormat="1">
      <alignment horizontal="center" shrinkToFit="0" vertical="center" wrapText="1"/>
    </xf>
    <xf borderId="12" fillId="11" fontId="5" numFmtId="49" xfId="0" applyAlignment="1" applyBorder="1" applyFont="1" applyNumberFormat="1">
      <alignment horizontal="center" readingOrder="0" shrinkToFit="0" vertical="center" wrapText="0"/>
    </xf>
    <xf borderId="13" fillId="11" fontId="6" numFmtId="38" xfId="0" applyAlignment="1" applyBorder="1" applyFont="1" applyNumberFormat="1">
      <alignment readingOrder="0" vertical="bottom"/>
    </xf>
    <xf borderId="13" fillId="11" fontId="42" numFmtId="38" xfId="0" applyAlignment="1" applyBorder="1" applyFont="1" applyNumberFormat="1">
      <alignment readingOrder="0" vertical="bottom"/>
    </xf>
    <xf borderId="13" fillId="11" fontId="30" numFmtId="38" xfId="0" applyAlignment="1" applyBorder="1" applyFont="1" applyNumberFormat="1">
      <alignment vertical="bottom"/>
    </xf>
    <xf borderId="12" fillId="11" fontId="29" numFmtId="3" xfId="0" applyAlignment="1" applyBorder="1" applyFont="1" applyNumberFormat="1">
      <alignment horizontal="center" readingOrder="0" shrinkToFit="0" vertical="center" wrapText="1"/>
    </xf>
    <xf borderId="13" fillId="11" fontId="6" numFmtId="38" xfId="0" applyAlignment="1" applyBorder="1" applyFont="1" applyNumberFormat="1">
      <alignment horizontal="left" readingOrder="0" vertical="bottom"/>
    </xf>
    <xf borderId="13" fillId="11" fontId="24" numFmtId="38" xfId="0" applyAlignment="1" applyBorder="1" applyFont="1" applyNumberFormat="1">
      <alignment horizontal="center" readingOrder="0" vertical="center"/>
    </xf>
    <xf borderId="12" fillId="11" fontId="25" numFmtId="0" xfId="0" applyAlignment="1" applyBorder="1" applyFont="1">
      <alignment horizontal="center" shrinkToFit="0" vertical="center" wrapText="1"/>
    </xf>
    <xf borderId="12" fillId="11" fontId="24" numFmtId="3" xfId="0" applyAlignment="1" applyBorder="1" applyFont="1" applyNumberFormat="1">
      <alignment horizontal="center" readingOrder="0" shrinkToFit="0" vertical="center" wrapText="1"/>
    </xf>
    <xf borderId="13" fillId="9" fontId="6" numFmtId="38" xfId="0" applyAlignment="1" applyBorder="1" applyFont="1" applyNumberFormat="1">
      <alignment horizontal="right" readingOrder="0" vertical="bottom"/>
    </xf>
    <xf borderId="12" fillId="9" fontId="41" numFmtId="0" xfId="0" applyAlignment="1" applyBorder="1" applyFont="1">
      <alignment horizontal="center" shrinkToFit="0" vertical="center" wrapText="1"/>
    </xf>
    <xf borderId="12" fillId="9" fontId="41" numFmtId="3" xfId="0" applyAlignment="1" applyBorder="1" applyFont="1" applyNumberFormat="1">
      <alignment horizontal="center" shrinkToFit="0" vertical="center" wrapText="1"/>
    </xf>
    <xf borderId="12" fillId="5" fontId="29" numFmtId="3" xfId="0" applyAlignment="1" applyBorder="1" applyFont="1" applyNumberFormat="1">
      <alignment horizontal="center" readingOrder="0" shrinkToFit="0" vertical="center" wrapText="1"/>
    </xf>
    <xf borderId="13" fillId="5" fontId="24" numFmtId="38" xfId="0" applyAlignment="1" applyBorder="1" applyFont="1" applyNumberFormat="1">
      <alignment horizontal="center" readingOrder="0" vertical="center"/>
    </xf>
    <xf borderId="12" fillId="5" fontId="24" numFmtId="3" xfId="0" applyAlignment="1" applyBorder="1" applyFont="1" applyNumberFormat="1">
      <alignment horizontal="center" readingOrder="0" shrinkToFit="0" vertical="center" wrapText="1"/>
    </xf>
    <xf borderId="13" fillId="12" fontId="6" numFmtId="164" xfId="0" applyAlignment="1" applyBorder="1" applyFill="1" applyFont="1" applyNumberFormat="1">
      <alignment horizontal="center" vertical="bottom"/>
    </xf>
    <xf borderId="13" fillId="12" fontId="6" numFmtId="4" xfId="0" applyAlignment="1" applyBorder="1" applyFont="1" applyNumberFormat="1">
      <alignment vertical="bottom"/>
    </xf>
    <xf borderId="13" fillId="12" fontId="6" numFmtId="1" xfId="0" applyAlignment="1" applyBorder="1" applyFont="1" applyNumberFormat="1">
      <alignment horizontal="center" vertical="bottom"/>
    </xf>
    <xf borderId="13" fillId="12" fontId="6" numFmtId="0" xfId="0" applyAlignment="1" applyBorder="1" applyFont="1">
      <alignment vertical="bottom"/>
    </xf>
    <xf borderId="13" fillId="12" fontId="30" numFmtId="38" xfId="0" applyAlignment="1" applyBorder="1" applyFont="1" applyNumberFormat="1">
      <alignment vertical="bottom"/>
    </xf>
    <xf borderId="13" fillId="12" fontId="6" numFmtId="38" xfId="0" applyAlignment="1" applyBorder="1" applyFont="1" applyNumberFormat="1">
      <alignment horizontal="right" vertical="bottom"/>
    </xf>
    <xf borderId="12" fillId="12" fontId="41" numFmtId="0" xfId="0" applyAlignment="1" applyBorder="1" applyFont="1">
      <alignment horizontal="center" shrinkToFit="0" vertical="center" wrapText="1"/>
    </xf>
    <xf borderId="12" fillId="12" fontId="41" numFmtId="3" xfId="0" applyAlignment="1" applyBorder="1" applyFont="1" applyNumberFormat="1">
      <alignment horizontal="center" shrinkToFit="0" vertical="center" wrapText="1"/>
    </xf>
    <xf borderId="10" fillId="12" fontId="39" numFmtId="0" xfId="0" applyAlignment="1" applyBorder="1" applyFont="1">
      <alignment horizontal="center" readingOrder="0" vertical="center"/>
    </xf>
    <xf borderId="12" fillId="12" fontId="40" numFmtId="0" xfId="0" applyAlignment="1" applyBorder="1" applyFont="1">
      <alignment horizontal="center" readingOrder="0" vertical="center"/>
    </xf>
    <xf borderId="13" fillId="5" fontId="14" numFmtId="38" xfId="0" applyAlignment="1" applyBorder="1" applyFont="1" applyNumberFormat="1">
      <alignment readingOrder="0" vertical="bottom"/>
    </xf>
    <xf borderId="13" fillId="9" fontId="6" numFmtId="38" xfId="0" applyAlignment="1" applyBorder="1" applyFont="1" applyNumberFormat="1">
      <alignment vertical="bottom"/>
    </xf>
    <xf borderId="12" fillId="9" fontId="29" numFmtId="3" xfId="0" applyAlignment="1" applyBorder="1" applyFont="1" applyNumberFormat="1">
      <alignment horizontal="center" readingOrder="0" shrinkToFit="0" vertical="center" wrapText="1"/>
    </xf>
    <xf borderId="12" fillId="9" fontId="25" numFmtId="0" xfId="0" applyAlignment="1" applyBorder="1" applyFont="1">
      <alignment horizontal="center" shrinkToFit="0" vertical="center" wrapText="1"/>
    </xf>
    <xf borderId="12" fillId="9" fontId="24" numFmtId="3" xfId="0" applyAlignment="1" applyBorder="1" applyFont="1" applyNumberFormat="1">
      <alignment horizontal="center" readingOrder="0" shrinkToFit="0" vertical="center" wrapText="1"/>
    </xf>
    <xf borderId="13" fillId="9" fontId="16" numFmtId="38" xfId="0" applyAlignment="1" applyBorder="1" applyFont="1" applyNumberFormat="1">
      <alignment horizontal="right" vertical="bottom"/>
    </xf>
    <xf borderId="13" fillId="9" fontId="43" numFmtId="38" xfId="0" applyAlignment="1" applyBorder="1" applyFont="1" applyNumberFormat="1">
      <alignment readingOrder="0" vertical="bottom"/>
    </xf>
    <xf borderId="13" fillId="4" fontId="6" numFmtId="38" xfId="0" applyAlignment="1" applyBorder="1" applyFont="1" applyNumberFormat="1">
      <alignment readingOrder="0" vertical="bottom"/>
    </xf>
    <xf borderId="13" fillId="4" fontId="44" numFmtId="38" xfId="0" applyAlignment="1" applyBorder="1" applyFont="1" applyNumberFormat="1">
      <alignment vertical="bottom"/>
    </xf>
    <xf borderId="13" fillId="4" fontId="43" numFmtId="38" xfId="0" applyAlignment="1" applyBorder="1" applyFont="1" applyNumberFormat="1">
      <alignment readingOrder="0" vertical="bottom"/>
    </xf>
    <xf borderId="13" fillId="4" fontId="6" numFmtId="38" xfId="0" applyAlignment="1" applyBorder="1" applyFont="1" applyNumberFormat="1">
      <alignment horizontal="right" readingOrder="0" vertical="bottom"/>
    </xf>
    <xf borderId="13" fillId="4" fontId="30" numFmtId="38" xfId="0" applyAlignment="1" applyBorder="1" applyFont="1" applyNumberFormat="1">
      <alignment vertical="bottom"/>
    </xf>
    <xf borderId="13" fillId="5" fontId="44" numFmtId="38" xfId="0" applyAlignment="1" applyBorder="1" applyFont="1" applyNumberFormat="1">
      <alignment readingOrder="0" vertical="bottom"/>
    </xf>
    <xf borderId="13" fillId="5" fontId="44" numFmtId="38" xfId="0" applyAlignment="1" applyBorder="1" applyFont="1" applyNumberFormat="1">
      <alignment vertical="bottom"/>
    </xf>
    <xf borderId="13" fillId="5" fontId="43" numFmtId="38" xfId="0" applyAlignment="1" applyBorder="1" applyFont="1" applyNumberFormat="1">
      <alignment readingOrder="0" vertical="bottom"/>
    </xf>
    <xf borderId="13" fillId="5" fontId="16" numFmtId="38" xfId="0" applyAlignment="1" applyBorder="1" applyFont="1" applyNumberFormat="1">
      <alignment horizontal="right" vertical="bottom"/>
    </xf>
    <xf borderId="13" fillId="5" fontId="27" numFmtId="38" xfId="0" applyAlignment="1" applyBorder="1" applyFont="1" applyNumberFormat="1">
      <alignment readingOrder="0" vertical="bottom"/>
    </xf>
    <xf borderId="13" fillId="4" fontId="44" numFmtId="38" xfId="0" applyAlignment="1" applyBorder="1" applyFont="1" applyNumberFormat="1">
      <alignment readingOrder="0" vertical="bottom"/>
    </xf>
    <xf borderId="12" fillId="4" fontId="45" numFmtId="0" xfId="0" applyAlignment="1" applyBorder="1" applyFont="1">
      <alignment horizontal="center" shrinkToFit="0" vertical="center" wrapText="1"/>
    </xf>
    <xf borderId="12" fillId="5" fontId="29" numFmtId="38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514350</xdr:colOff>
      <xdr:row>0</xdr:row>
      <xdr:rowOff>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285750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45838.0</v>
      </c>
      <c r="C4" s="18" t="s">
        <v>16</v>
      </c>
      <c r="D4" s="19">
        <v>10357.0</v>
      </c>
      <c r="E4" s="20" t="s">
        <v>17</v>
      </c>
      <c r="F4" s="21"/>
      <c r="G4" s="22">
        <v>3980.0</v>
      </c>
      <c r="H4" s="23"/>
      <c r="I4" s="24"/>
      <c r="J4" s="25"/>
      <c r="K4" s="26" t="s">
        <v>18</v>
      </c>
      <c r="L4" s="27">
        <v>18.1</v>
      </c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6" t="s">
        <v>20</v>
      </c>
      <c r="B5" s="17">
        <v>45838.0</v>
      </c>
      <c r="C5" s="18" t="s">
        <v>21</v>
      </c>
      <c r="D5" s="19">
        <v>10271.0</v>
      </c>
      <c r="E5" s="20" t="s">
        <v>22</v>
      </c>
      <c r="F5" s="21"/>
      <c r="G5" s="22">
        <v>2400.0</v>
      </c>
      <c r="H5" s="23"/>
      <c r="I5" s="24"/>
      <c r="J5" s="25"/>
      <c r="K5" s="26" t="s">
        <v>18</v>
      </c>
      <c r="L5" s="27">
        <v>18.56</v>
      </c>
      <c r="M5" s="2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30">
        <v>45838.0</v>
      </c>
      <c r="C6" s="31" t="s">
        <v>24</v>
      </c>
      <c r="D6" s="32">
        <v>10008.0</v>
      </c>
      <c r="E6" s="20" t="s">
        <v>25</v>
      </c>
      <c r="F6" s="33"/>
      <c r="G6" s="34"/>
      <c r="H6" s="35">
        <v>2400.0</v>
      </c>
      <c r="I6" s="24"/>
      <c r="J6" s="36"/>
      <c r="K6" s="26" t="s">
        <v>18</v>
      </c>
      <c r="L6" s="37">
        <v>20.49</v>
      </c>
      <c r="M6" s="2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8" t="s">
        <v>26</v>
      </c>
      <c r="B7" s="39">
        <v>45838.0</v>
      </c>
      <c r="C7" s="40" t="s">
        <v>27</v>
      </c>
      <c r="D7" s="41">
        <v>10006.0</v>
      </c>
      <c r="E7" s="42" t="s">
        <v>28</v>
      </c>
      <c r="F7" s="43"/>
      <c r="G7" s="43"/>
      <c r="H7" s="44">
        <v>3600.0</v>
      </c>
      <c r="I7" s="45"/>
      <c r="J7" s="46"/>
      <c r="K7" s="26" t="s">
        <v>18</v>
      </c>
      <c r="L7" s="37">
        <v>21.04</v>
      </c>
      <c r="M7" s="28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29</v>
      </c>
      <c r="B8" s="39">
        <v>45838.0</v>
      </c>
      <c r="C8" s="40" t="s">
        <v>30</v>
      </c>
      <c r="D8" s="41">
        <v>35245.0</v>
      </c>
      <c r="E8" s="42" t="s">
        <v>31</v>
      </c>
      <c r="F8" s="47"/>
      <c r="G8" s="48">
        <v>1200.0</v>
      </c>
      <c r="H8" s="49"/>
      <c r="I8" s="45"/>
      <c r="J8" s="50"/>
      <c r="K8" s="26" t="s">
        <v>18</v>
      </c>
      <c r="L8" s="27">
        <v>21.12</v>
      </c>
      <c r="M8" s="28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 t="s">
        <v>32</v>
      </c>
      <c r="B9" s="39">
        <v>45838.0</v>
      </c>
      <c r="C9" s="40" t="s">
        <v>33</v>
      </c>
      <c r="D9" s="41">
        <v>58257.0</v>
      </c>
      <c r="E9" s="42" t="s">
        <v>34</v>
      </c>
      <c r="F9" s="47"/>
      <c r="G9" s="48">
        <v>6000.0</v>
      </c>
      <c r="H9" s="49"/>
      <c r="I9" s="45"/>
      <c r="J9" s="50"/>
      <c r="K9" s="26" t="s">
        <v>18</v>
      </c>
      <c r="L9" s="27">
        <v>21.23</v>
      </c>
      <c r="M9" s="28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8" t="s">
        <v>35</v>
      </c>
      <c r="B10" s="51"/>
      <c r="C10" s="52"/>
      <c r="D10" s="53"/>
      <c r="E10" s="54"/>
      <c r="F10" s="47"/>
      <c r="G10" s="47"/>
      <c r="H10" s="49"/>
      <c r="I10" s="45"/>
      <c r="J10" s="50"/>
      <c r="K10" s="55"/>
      <c r="L10" s="56"/>
      <c r="M10" s="56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7"/>
      <c r="B11" s="2"/>
      <c r="C11" s="2"/>
      <c r="D11" s="2"/>
      <c r="E11" s="3"/>
      <c r="F11" s="58">
        <f t="shared" ref="F11:J11" si="1">SUM(F4:F7)</f>
        <v>0</v>
      </c>
      <c r="G11" s="58">
        <f t="shared" si="1"/>
        <v>6380</v>
      </c>
      <c r="H11" s="58">
        <f t="shared" si="1"/>
        <v>6000</v>
      </c>
      <c r="I11" s="58">
        <f t="shared" si="1"/>
        <v>0</v>
      </c>
      <c r="J11" s="58">
        <f t="shared" si="1"/>
        <v>0</v>
      </c>
      <c r="K11" s="59"/>
      <c r="L11" s="59"/>
      <c r="M11" s="60"/>
    </row>
    <row r="12" ht="48.0" customHeight="1">
      <c r="F12" s="61">
        <f>F11+G11+H11+I11+J11</f>
        <v>12380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62">
        <v>45840.0</v>
      </c>
      <c r="C4" s="63" t="s">
        <v>37</v>
      </c>
      <c r="D4" s="64">
        <v>51017.0</v>
      </c>
      <c r="E4" s="65" t="s">
        <v>38</v>
      </c>
      <c r="F4" s="21"/>
      <c r="G4" s="22">
        <v>35450.0</v>
      </c>
      <c r="H4" s="23"/>
      <c r="I4" s="24"/>
      <c r="J4" s="25"/>
      <c r="K4" s="26" t="s">
        <v>18</v>
      </c>
      <c r="L4" s="27" t="s">
        <v>39</v>
      </c>
      <c r="M4" s="66" t="s">
        <v>40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6"/>
      <c r="B5" s="17"/>
      <c r="C5" s="18"/>
      <c r="D5" s="19"/>
      <c r="E5" s="20"/>
      <c r="F5" s="21"/>
      <c r="G5" s="22"/>
      <c r="H5" s="23"/>
      <c r="I5" s="24"/>
      <c r="J5" s="25"/>
      <c r="K5" s="26"/>
      <c r="L5" s="27"/>
      <c r="M5" s="2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8"/>
      <c r="B6" s="51"/>
      <c r="C6" s="52"/>
      <c r="D6" s="53"/>
      <c r="E6" s="54"/>
      <c r="F6" s="47"/>
      <c r="G6" s="47"/>
      <c r="H6" s="49"/>
      <c r="I6" s="45"/>
      <c r="J6" s="50"/>
      <c r="K6" s="55"/>
      <c r="L6" s="56"/>
      <c r="M6" s="56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7"/>
      <c r="B7" s="2"/>
      <c r="C7" s="2"/>
      <c r="D7" s="2"/>
      <c r="E7" s="3"/>
      <c r="F7" s="58">
        <f t="shared" ref="F7:J7" si="1">SUM(F4:F5)</f>
        <v>0</v>
      </c>
      <c r="G7" s="58">
        <f t="shared" si="1"/>
        <v>35450</v>
      </c>
      <c r="H7" s="58">
        <f t="shared" si="1"/>
        <v>0</v>
      </c>
      <c r="I7" s="58">
        <f t="shared" si="1"/>
        <v>0</v>
      </c>
      <c r="J7" s="58">
        <f t="shared" si="1"/>
        <v>0</v>
      </c>
      <c r="K7" s="59"/>
      <c r="L7" s="59"/>
      <c r="M7" s="60"/>
    </row>
    <row r="8" ht="48.0" customHeight="1">
      <c r="F8" s="61">
        <f>F7+G7+H7+I7+J7</f>
        <v>35450</v>
      </c>
      <c r="G8" s="2"/>
      <c r="H8" s="2"/>
      <c r="I8" s="2"/>
      <c r="J8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K2:K3"/>
    <mergeCell ref="L2:L3"/>
    <mergeCell ref="E2:E3"/>
    <mergeCell ref="A7:E7"/>
    <mergeCell ref="F8:J8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67">
        <v>45840.0</v>
      </c>
      <c r="C4" s="68" t="s">
        <v>42</v>
      </c>
      <c r="D4" s="69">
        <v>35245.0</v>
      </c>
      <c r="E4" s="70" t="s">
        <v>31</v>
      </c>
      <c r="F4" s="71"/>
      <c r="G4" s="72">
        <v>300.0</v>
      </c>
      <c r="H4" s="73"/>
      <c r="I4" s="74"/>
      <c r="J4" s="75"/>
      <c r="K4" s="76" t="s">
        <v>18</v>
      </c>
      <c r="L4" s="77" t="s">
        <v>43</v>
      </c>
      <c r="M4" s="7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17">
        <v>45841.0</v>
      </c>
      <c r="C5" s="18" t="s">
        <v>45</v>
      </c>
      <c r="D5" s="19">
        <v>49270.0</v>
      </c>
      <c r="E5" s="20" t="s">
        <v>46</v>
      </c>
      <c r="F5" s="21"/>
      <c r="G5" s="22"/>
      <c r="H5" s="23"/>
      <c r="I5" s="24"/>
      <c r="J5" s="80">
        <v>37.0</v>
      </c>
      <c r="K5" s="81" t="s">
        <v>18</v>
      </c>
      <c r="L5" s="27" t="s">
        <v>47</v>
      </c>
      <c r="M5" s="78" t="s">
        <v>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23</v>
      </c>
      <c r="B6" s="17">
        <v>45841.0</v>
      </c>
      <c r="C6" s="18" t="s">
        <v>48</v>
      </c>
      <c r="D6" s="19">
        <v>43380.0</v>
      </c>
      <c r="E6" s="20" t="s">
        <v>49</v>
      </c>
      <c r="F6" s="82">
        <v>32500.0</v>
      </c>
      <c r="G6" s="22"/>
      <c r="H6" s="23"/>
      <c r="I6" s="24"/>
      <c r="J6" s="25"/>
      <c r="K6" s="81" t="s">
        <v>18</v>
      </c>
      <c r="L6" s="27" t="s">
        <v>50</v>
      </c>
      <c r="M6" s="78" t="s">
        <v>51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3" t="s">
        <v>26</v>
      </c>
      <c r="B7" s="39">
        <v>45841.0</v>
      </c>
      <c r="C7" s="40" t="s">
        <v>52</v>
      </c>
      <c r="D7" s="41">
        <v>10249.0</v>
      </c>
      <c r="E7" s="42" t="s">
        <v>53</v>
      </c>
      <c r="F7" s="84">
        <v>2500.0</v>
      </c>
      <c r="G7" s="47"/>
      <c r="H7" s="49"/>
      <c r="I7" s="45"/>
      <c r="J7" s="50"/>
      <c r="K7" s="81" t="s">
        <v>18</v>
      </c>
      <c r="L7" s="27" t="s">
        <v>54</v>
      </c>
      <c r="M7" s="78" t="s">
        <v>51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29</v>
      </c>
      <c r="B8" s="39">
        <v>45841.0</v>
      </c>
      <c r="C8" s="40" t="s">
        <v>55</v>
      </c>
      <c r="D8" s="41">
        <v>54764.0</v>
      </c>
      <c r="E8" s="42" t="s">
        <v>56</v>
      </c>
      <c r="F8" s="47"/>
      <c r="G8" s="47"/>
      <c r="H8" s="49"/>
      <c r="I8" s="45"/>
      <c r="J8" s="80">
        <v>70.0</v>
      </c>
      <c r="K8" s="81" t="s">
        <v>18</v>
      </c>
      <c r="L8" s="27" t="s">
        <v>57</v>
      </c>
      <c r="M8" s="78" t="s">
        <v>44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7"/>
      <c r="B9" s="2"/>
      <c r="C9" s="2"/>
      <c r="D9" s="2"/>
      <c r="E9" s="3"/>
      <c r="F9" s="58">
        <f t="shared" ref="F9:J9" si="1">SUM(F4:F6)</f>
        <v>32500</v>
      </c>
      <c r="G9" s="58">
        <f t="shared" si="1"/>
        <v>300</v>
      </c>
      <c r="H9" s="58">
        <f t="shared" si="1"/>
        <v>0</v>
      </c>
      <c r="I9" s="58">
        <f t="shared" si="1"/>
        <v>0</v>
      </c>
      <c r="J9" s="58">
        <f t="shared" si="1"/>
        <v>37</v>
      </c>
      <c r="K9" s="59"/>
      <c r="L9" s="59"/>
      <c r="M9" s="60"/>
    </row>
    <row r="10" ht="48.0" customHeight="1">
      <c r="F10" s="61">
        <f>F9+G9+H9+I9+J9</f>
        <v>32837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85">
        <v>45841.0</v>
      </c>
      <c r="C4" s="86" t="s">
        <v>59</v>
      </c>
      <c r="D4" s="87">
        <v>10249.0</v>
      </c>
      <c r="E4" s="88" t="s">
        <v>53</v>
      </c>
      <c r="F4" s="89">
        <v>300.0</v>
      </c>
      <c r="G4" s="90"/>
      <c r="H4" s="91"/>
      <c r="I4" s="92"/>
      <c r="J4" s="93"/>
      <c r="K4" s="94" t="s">
        <v>60</v>
      </c>
      <c r="L4" s="95">
        <v>17.07</v>
      </c>
      <c r="M4" s="78" t="s">
        <v>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17">
        <v>45841.0</v>
      </c>
      <c r="C5" s="18" t="s">
        <v>61</v>
      </c>
      <c r="D5" s="19">
        <v>81108.0</v>
      </c>
      <c r="E5" s="20" t="s">
        <v>62</v>
      </c>
      <c r="F5" s="21"/>
      <c r="G5" s="22"/>
      <c r="H5" s="23"/>
      <c r="I5" s="24"/>
      <c r="J5" s="80">
        <v>105.0</v>
      </c>
      <c r="K5" s="94" t="s">
        <v>60</v>
      </c>
      <c r="L5" s="27">
        <v>19.25</v>
      </c>
      <c r="M5" s="78" t="s">
        <v>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23</v>
      </c>
      <c r="B6" s="17">
        <v>45842.0</v>
      </c>
      <c r="C6" s="18" t="s">
        <v>63</v>
      </c>
      <c r="D6" s="19">
        <v>51782.0</v>
      </c>
      <c r="E6" s="20" t="s">
        <v>64</v>
      </c>
      <c r="F6" s="21"/>
      <c r="G6" s="22">
        <v>2500.0</v>
      </c>
      <c r="H6" s="23"/>
      <c r="I6" s="24"/>
      <c r="J6" s="80"/>
      <c r="K6" s="94" t="s">
        <v>60</v>
      </c>
      <c r="L6" s="27">
        <v>10.19</v>
      </c>
      <c r="M6" s="78" t="s">
        <v>65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/>
      <c r="B7" s="17">
        <v>45842.0</v>
      </c>
      <c r="C7" s="18" t="s">
        <v>66</v>
      </c>
      <c r="D7" s="19">
        <v>57026.0</v>
      </c>
      <c r="E7" s="20" t="s">
        <v>67</v>
      </c>
      <c r="F7" s="21"/>
      <c r="G7" s="22"/>
      <c r="H7" s="23"/>
      <c r="I7" s="24"/>
      <c r="J7" s="80">
        <v>23.0</v>
      </c>
      <c r="K7" s="94" t="s">
        <v>60</v>
      </c>
      <c r="L7" s="27">
        <v>12.14</v>
      </c>
      <c r="M7" s="78" t="s">
        <v>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26</v>
      </c>
      <c r="B8" s="17">
        <v>45842.0</v>
      </c>
      <c r="C8" s="18" t="s">
        <v>68</v>
      </c>
      <c r="D8" s="19">
        <v>10008.0</v>
      </c>
      <c r="E8" s="20" t="s">
        <v>25</v>
      </c>
      <c r="F8" s="82">
        <v>1500.0</v>
      </c>
      <c r="G8" s="22"/>
      <c r="H8" s="23"/>
      <c r="I8" s="24"/>
      <c r="J8" s="80"/>
      <c r="K8" s="94" t="s">
        <v>60</v>
      </c>
      <c r="L8" s="27">
        <v>12.4</v>
      </c>
      <c r="M8" s="78" t="s">
        <v>44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29</v>
      </c>
      <c r="B9" s="17">
        <v>45842.0</v>
      </c>
      <c r="C9" s="18" t="s">
        <v>69</v>
      </c>
      <c r="D9" s="19">
        <v>90172.0</v>
      </c>
      <c r="E9" s="20" t="s">
        <v>70</v>
      </c>
      <c r="F9" s="82">
        <v>300.0</v>
      </c>
      <c r="G9" s="22"/>
      <c r="H9" s="23"/>
      <c r="I9" s="24"/>
      <c r="J9" s="80"/>
      <c r="K9" s="94" t="s">
        <v>60</v>
      </c>
      <c r="L9" s="27">
        <v>13.4</v>
      </c>
      <c r="M9" s="78" t="s">
        <v>44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32</v>
      </c>
      <c r="B10" s="17">
        <v>45842.0</v>
      </c>
      <c r="C10" s="18" t="s">
        <v>71</v>
      </c>
      <c r="D10" s="19">
        <v>90172.0</v>
      </c>
      <c r="E10" s="20" t="s">
        <v>70</v>
      </c>
      <c r="F10" s="82">
        <v>8050.0</v>
      </c>
      <c r="G10" s="22"/>
      <c r="H10" s="23"/>
      <c r="I10" s="24"/>
      <c r="J10" s="25"/>
      <c r="K10" s="94" t="s">
        <v>60</v>
      </c>
      <c r="L10" s="27">
        <v>13.43</v>
      </c>
      <c r="M10" s="78" t="s">
        <v>51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 t="s">
        <v>35</v>
      </c>
      <c r="B11" s="39"/>
      <c r="C11" s="40"/>
      <c r="D11" s="41"/>
      <c r="E11" s="42"/>
      <c r="F11" s="84"/>
      <c r="G11" s="47"/>
      <c r="H11" s="49"/>
      <c r="I11" s="45"/>
      <c r="J11" s="50"/>
      <c r="K11" s="81"/>
      <c r="L11" s="27"/>
      <c r="M11" s="7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79" t="s">
        <v>72</v>
      </c>
      <c r="B12" s="39"/>
      <c r="C12" s="40"/>
      <c r="D12" s="41"/>
      <c r="E12" s="42"/>
      <c r="F12" s="47"/>
      <c r="G12" s="47"/>
      <c r="H12" s="49"/>
      <c r="I12" s="45"/>
      <c r="J12" s="80"/>
      <c r="K12" s="81"/>
      <c r="L12" s="27"/>
      <c r="M12" s="7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57"/>
      <c r="B13" s="2"/>
      <c r="C13" s="2"/>
      <c r="D13" s="2"/>
      <c r="E13" s="3"/>
      <c r="F13" s="58">
        <f t="shared" ref="F13:J13" si="1">SUM(F4:F10)</f>
        <v>10150</v>
      </c>
      <c r="G13" s="58">
        <f t="shared" si="1"/>
        <v>2500</v>
      </c>
      <c r="H13" s="58">
        <f t="shared" si="1"/>
        <v>0</v>
      </c>
      <c r="I13" s="58">
        <f t="shared" si="1"/>
        <v>0</v>
      </c>
      <c r="J13" s="58">
        <f t="shared" si="1"/>
        <v>128</v>
      </c>
      <c r="K13" s="59"/>
      <c r="L13" s="59"/>
      <c r="M13" s="60"/>
    </row>
    <row r="14" ht="48.0" customHeight="1">
      <c r="F14" s="61">
        <f>F13+G13+H13+I13+J13</f>
        <v>12778</v>
      </c>
      <c r="G14" s="2"/>
      <c r="H14" s="2"/>
      <c r="I14" s="2"/>
      <c r="J1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45784.0</v>
      </c>
      <c r="C4" s="86" t="s">
        <v>74</v>
      </c>
      <c r="D4" s="96">
        <v>10006.0</v>
      </c>
      <c r="E4" s="88" t="s">
        <v>28</v>
      </c>
      <c r="F4" s="89"/>
      <c r="G4" s="97">
        <v>5800.0</v>
      </c>
      <c r="H4" s="98"/>
      <c r="I4" s="99"/>
      <c r="J4" s="100"/>
      <c r="K4" s="94" t="s">
        <v>60</v>
      </c>
      <c r="L4" s="27" t="s">
        <v>75</v>
      </c>
      <c r="M4" s="78" t="s">
        <v>76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17">
        <v>45784.0</v>
      </c>
      <c r="C5" s="18" t="s">
        <v>77</v>
      </c>
      <c r="D5" s="19">
        <v>47787.0</v>
      </c>
      <c r="E5" s="20" t="s">
        <v>78</v>
      </c>
      <c r="F5" s="21"/>
      <c r="G5" s="101">
        <v>5000.0</v>
      </c>
      <c r="H5" s="102"/>
      <c r="I5" s="103"/>
      <c r="J5" s="104"/>
      <c r="K5" s="94" t="s">
        <v>79</v>
      </c>
      <c r="L5" s="27" t="s">
        <v>80</v>
      </c>
      <c r="M5" s="78" t="s">
        <v>81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7">
        <v>45784.0</v>
      </c>
      <c r="C6" s="18" t="s">
        <v>82</v>
      </c>
      <c r="D6" s="19">
        <v>42095.0</v>
      </c>
      <c r="E6" s="20" t="s">
        <v>83</v>
      </c>
      <c r="F6" s="21"/>
      <c r="G6" s="101"/>
      <c r="H6" s="105">
        <v>320.0</v>
      </c>
      <c r="I6" s="103"/>
      <c r="J6" s="104"/>
      <c r="K6" s="94" t="s">
        <v>60</v>
      </c>
      <c r="L6" s="27" t="s">
        <v>84</v>
      </c>
      <c r="M6" s="78" t="s">
        <v>85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17">
        <v>45784.0</v>
      </c>
      <c r="C7" s="18" t="s">
        <v>86</v>
      </c>
      <c r="D7" s="19">
        <v>25376.0</v>
      </c>
      <c r="E7" s="20" t="s">
        <v>87</v>
      </c>
      <c r="F7" s="21"/>
      <c r="G7" s="101"/>
      <c r="H7" s="102"/>
      <c r="I7" s="103"/>
      <c r="J7" s="104">
        <v>70.0</v>
      </c>
      <c r="K7" s="94" t="s">
        <v>60</v>
      </c>
      <c r="L7" s="27" t="s">
        <v>88</v>
      </c>
      <c r="M7" s="78" t="s">
        <v>76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/>
      <c r="B8" s="39"/>
      <c r="C8" s="40"/>
      <c r="D8" s="41"/>
      <c r="E8" s="42"/>
      <c r="F8" s="47"/>
      <c r="G8" s="47"/>
      <c r="H8" s="49"/>
      <c r="I8" s="45"/>
      <c r="J8" s="80"/>
      <c r="K8" s="81"/>
      <c r="L8" s="27"/>
      <c r="M8" s="7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57"/>
      <c r="B9" s="2"/>
      <c r="C9" s="2"/>
      <c r="D9" s="2"/>
      <c r="E9" s="3"/>
      <c r="F9" s="58">
        <f t="shared" ref="F9:J9" si="1">SUM(F4:F7)</f>
        <v>0</v>
      </c>
      <c r="G9" s="58">
        <f t="shared" si="1"/>
        <v>10800</v>
      </c>
      <c r="H9" s="58">
        <f t="shared" si="1"/>
        <v>320</v>
      </c>
      <c r="I9" s="58">
        <f t="shared" si="1"/>
        <v>0</v>
      </c>
      <c r="J9" s="58">
        <f t="shared" si="1"/>
        <v>70</v>
      </c>
      <c r="K9" s="59"/>
      <c r="L9" s="59"/>
      <c r="M9" s="60"/>
    </row>
    <row r="10" ht="48.0" customHeight="1">
      <c r="F10" s="61">
        <f>F9+G9+H9+I9+J9</f>
        <v>11190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06">
        <v>45844.0</v>
      </c>
      <c r="C4" s="107" t="s">
        <v>90</v>
      </c>
      <c r="D4" s="108">
        <v>50595.0</v>
      </c>
      <c r="E4" s="109" t="s">
        <v>91</v>
      </c>
      <c r="F4" s="89"/>
      <c r="G4" s="110">
        <v>15000.0</v>
      </c>
      <c r="H4" s="111"/>
      <c r="I4" s="112"/>
      <c r="J4" s="113"/>
      <c r="K4" s="94" t="s">
        <v>60</v>
      </c>
      <c r="L4" s="27" t="s">
        <v>92</v>
      </c>
      <c r="M4" s="78" t="s">
        <v>40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106">
        <v>45844.0</v>
      </c>
      <c r="C5" s="107" t="s">
        <v>93</v>
      </c>
      <c r="D5" s="108">
        <v>87820.0</v>
      </c>
      <c r="E5" s="109" t="s">
        <v>94</v>
      </c>
      <c r="F5" s="21"/>
      <c r="G5" s="114"/>
      <c r="H5" s="115">
        <v>6740.0</v>
      </c>
      <c r="I5" s="116"/>
      <c r="J5" s="117"/>
      <c r="K5" s="94" t="s">
        <v>60</v>
      </c>
      <c r="L5" s="27" t="s">
        <v>95</v>
      </c>
      <c r="M5" s="78" t="s">
        <v>76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06">
        <v>45844.0</v>
      </c>
      <c r="C6" s="107" t="s">
        <v>96</v>
      </c>
      <c r="D6" s="108">
        <v>90289.0</v>
      </c>
      <c r="E6" s="109" t="s">
        <v>97</v>
      </c>
      <c r="F6" s="21"/>
      <c r="G6" s="114">
        <v>7000.0</v>
      </c>
      <c r="H6" s="111"/>
      <c r="I6" s="116"/>
      <c r="J6" s="117"/>
      <c r="K6" s="94" t="s">
        <v>60</v>
      </c>
      <c r="L6" s="27" t="s">
        <v>98</v>
      </c>
      <c r="M6" s="78" t="s">
        <v>99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106">
        <v>45844.0</v>
      </c>
      <c r="C7" s="107" t="s">
        <v>100</v>
      </c>
      <c r="D7" s="108">
        <v>21828.0</v>
      </c>
      <c r="E7" s="109" t="s">
        <v>101</v>
      </c>
      <c r="F7" s="21"/>
      <c r="G7" s="114"/>
      <c r="H7" s="115">
        <v>5000.0</v>
      </c>
      <c r="I7" s="116"/>
      <c r="J7" s="117"/>
      <c r="K7" s="94" t="s">
        <v>60</v>
      </c>
      <c r="L7" s="27" t="s">
        <v>102</v>
      </c>
      <c r="M7" s="78" t="s">
        <v>85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29</v>
      </c>
      <c r="B8" s="106">
        <v>45844.0</v>
      </c>
      <c r="C8" s="107" t="s">
        <v>103</v>
      </c>
      <c r="D8" s="108">
        <v>34941.0</v>
      </c>
      <c r="E8" s="109" t="s">
        <v>104</v>
      </c>
      <c r="F8" s="21"/>
      <c r="G8" s="114"/>
      <c r="H8" s="115">
        <v>100.0</v>
      </c>
      <c r="I8" s="116"/>
      <c r="J8" s="117"/>
      <c r="K8" s="94" t="s">
        <v>60</v>
      </c>
      <c r="L8" s="27" t="s">
        <v>105</v>
      </c>
      <c r="M8" s="78" t="s">
        <v>76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32</v>
      </c>
      <c r="B9" s="51">
        <v>45844.0</v>
      </c>
      <c r="C9" s="52" t="s">
        <v>106</v>
      </c>
      <c r="D9" s="53">
        <v>52685.0</v>
      </c>
      <c r="E9" s="118" t="s">
        <v>107</v>
      </c>
      <c r="F9" s="21"/>
      <c r="G9" s="114"/>
      <c r="H9" s="119"/>
      <c r="I9" s="116"/>
      <c r="J9" s="120">
        <v>35.0</v>
      </c>
      <c r="K9" s="94" t="s">
        <v>60</v>
      </c>
      <c r="L9" s="27" t="s">
        <v>108</v>
      </c>
      <c r="M9" s="78" t="s">
        <v>76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35</v>
      </c>
      <c r="B10" s="51">
        <v>45844.0</v>
      </c>
      <c r="C10" s="52" t="s">
        <v>109</v>
      </c>
      <c r="D10" s="53">
        <v>35245.0</v>
      </c>
      <c r="E10" s="118" t="s">
        <v>31</v>
      </c>
      <c r="F10" s="21"/>
      <c r="G10" s="114"/>
      <c r="H10" s="119"/>
      <c r="I10" s="116"/>
      <c r="J10" s="120">
        <v>23.0</v>
      </c>
      <c r="K10" s="94" t="s">
        <v>60</v>
      </c>
      <c r="L10" s="27" t="s">
        <v>110</v>
      </c>
      <c r="M10" s="78" t="s">
        <v>76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 t="s">
        <v>72</v>
      </c>
      <c r="B11" s="51">
        <v>45844.0</v>
      </c>
      <c r="C11" s="52" t="s">
        <v>111</v>
      </c>
      <c r="D11" s="53">
        <v>35245.0</v>
      </c>
      <c r="E11" s="118" t="s">
        <v>31</v>
      </c>
      <c r="F11" s="21"/>
      <c r="G11" s="114"/>
      <c r="H11" s="119"/>
      <c r="I11" s="116"/>
      <c r="J11" s="120">
        <v>23.0</v>
      </c>
      <c r="K11" s="94" t="s">
        <v>60</v>
      </c>
      <c r="L11" s="27" t="s">
        <v>112</v>
      </c>
      <c r="M11" s="78" t="s">
        <v>76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79"/>
      <c r="B12" s="17"/>
      <c r="C12" s="18"/>
      <c r="D12" s="19"/>
      <c r="E12" s="20"/>
      <c r="F12" s="21"/>
      <c r="G12" s="101"/>
      <c r="H12" s="102"/>
      <c r="I12" s="103"/>
      <c r="J12" s="104"/>
      <c r="K12" s="94"/>
      <c r="L12" s="27"/>
      <c r="M12" s="7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79"/>
      <c r="B13" s="39"/>
      <c r="C13" s="40"/>
      <c r="D13" s="41"/>
      <c r="E13" s="42"/>
      <c r="F13" s="47"/>
      <c r="G13" s="47"/>
      <c r="H13" s="49"/>
      <c r="I13" s="45"/>
      <c r="J13" s="80"/>
      <c r="K13" s="81"/>
      <c r="L13" s="27"/>
      <c r="M13" s="78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57"/>
      <c r="B14" s="2"/>
      <c r="C14" s="2"/>
      <c r="D14" s="2"/>
      <c r="E14" s="3"/>
      <c r="F14" s="58">
        <f t="shared" ref="F14:J14" si="1">SUM(F4:F12)</f>
        <v>0</v>
      </c>
      <c r="G14" s="58">
        <f t="shared" si="1"/>
        <v>22000</v>
      </c>
      <c r="H14" s="58">
        <f t="shared" si="1"/>
        <v>11840</v>
      </c>
      <c r="I14" s="58">
        <f t="shared" si="1"/>
        <v>0</v>
      </c>
      <c r="J14" s="58">
        <f t="shared" si="1"/>
        <v>81</v>
      </c>
      <c r="K14" s="59"/>
      <c r="L14" s="59"/>
      <c r="M14" s="60"/>
    </row>
    <row r="15" ht="48.0" customHeight="1">
      <c r="F15" s="61">
        <f>F14+G14+H14+I14+J14</f>
        <v>33921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21">
        <v>45844.0</v>
      </c>
      <c r="C4" s="122" t="s">
        <v>114</v>
      </c>
      <c r="D4" s="123">
        <v>10006.0</v>
      </c>
      <c r="E4" s="124" t="s">
        <v>28</v>
      </c>
      <c r="F4" s="125"/>
      <c r="G4" s="126">
        <v>3600.0</v>
      </c>
      <c r="H4" s="127"/>
      <c r="I4" s="128"/>
      <c r="J4" s="129"/>
      <c r="K4" s="130" t="s">
        <v>60</v>
      </c>
      <c r="L4" s="77">
        <v>21.53</v>
      </c>
      <c r="M4" s="130" t="s">
        <v>76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131">
        <v>45845.0</v>
      </c>
      <c r="C5" s="132" t="s">
        <v>115</v>
      </c>
      <c r="D5" s="133">
        <v>47787.0</v>
      </c>
      <c r="E5" s="134" t="s">
        <v>78</v>
      </c>
      <c r="F5" s="21"/>
      <c r="G5" s="114">
        <v>5000.0</v>
      </c>
      <c r="H5" s="115"/>
      <c r="I5" s="116"/>
      <c r="J5" s="117"/>
      <c r="K5" s="94" t="s">
        <v>60</v>
      </c>
      <c r="L5" s="27">
        <v>10.38</v>
      </c>
      <c r="M5" s="78" t="s">
        <v>116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31">
        <v>45845.0</v>
      </c>
      <c r="C6" s="132" t="s">
        <v>117</v>
      </c>
      <c r="D6" s="133">
        <v>61668.0</v>
      </c>
      <c r="E6" s="134" t="s">
        <v>118</v>
      </c>
      <c r="F6" s="21"/>
      <c r="G6" s="114"/>
      <c r="H6" s="135">
        <v>5000.0</v>
      </c>
      <c r="I6" s="116"/>
      <c r="J6" s="117"/>
      <c r="K6" s="94" t="s">
        <v>60</v>
      </c>
      <c r="L6" s="27">
        <v>11.58</v>
      </c>
      <c r="M6" s="78" t="s">
        <v>116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131">
        <v>45845.0</v>
      </c>
      <c r="C7" s="132" t="s">
        <v>119</v>
      </c>
      <c r="D7" s="133">
        <v>68284.0</v>
      </c>
      <c r="E7" s="134" t="s">
        <v>120</v>
      </c>
      <c r="F7" s="21"/>
      <c r="G7" s="114">
        <v>10250.0</v>
      </c>
      <c r="H7" s="115"/>
      <c r="I7" s="116"/>
      <c r="J7" s="117"/>
      <c r="K7" s="94" t="s">
        <v>60</v>
      </c>
      <c r="L7" s="27" t="s">
        <v>121</v>
      </c>
      <c r="M7" s="78" t="s">
        <v>122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29</v>
      </c>
      <c r="B8" s="131"/>
      <c r="C8" s="132"/>
      <c r="D8" s="133"/>
      <c r="E8" s="134"/>
      <c r="F8" s="21"/>
      <c r="G8" s="114"/>
      <c r="H8" s="115"/>
      <c r="I8" s="116"/>
      <c r="J8" s="117"/>
      <c r="K8" s="94"/>
      <c r="L8" s="27"/>
      <c r="M8" s="7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32</v>
      </c>
      <c r="B9" s="39"/>
      <c r="C9" s="40"/>
      <c r="D9" s="41"/>
      <c r="E9" s="42"/>
      <c r="F9" s="21"/>
      <c r="G9" s="114"/>
      <c r="H9" s="119"/>
      <c r="I9" s="116"/>
      <c r="J9" s="120"/>
      <c r="K9" s="94"/>
      <c r="L9" s="27"/>
      <c r="M9" s="7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35</v>
      </c>
      <c r="B10" s="51"/>
      <c r="C10" s="52"/>
      <c r="D10" s="53"/>
      <c r="E10" s="118"/>
      <c r="F10" s="21"/>
      <c r="G10" s="114"/>
      <c r="H10" s="119"/>
      <c r="I10" s="116"/>
      <c r="J10" s="120"/>
      <c r="K10" s="94"/>
      <c r="L10" s="27"/>
      <c r="M10" s="7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 t="s">
        <v>72</v>
      </c>
      <c r="B11" s="51"/>
      <c r="C11" s="52"/>
      <c r="D11" s="53"/>
      <c r="E11" s="118"/>
      <c r="F11" s="21"/>
      <c r="G11" s="114"/>
      <c r="H11" s="119"/>
      <c r="I11" s="116"/>
      <c r="J11" s="120"/>
      <c r="K11" s="94"/>
      <c r="L11" s="27"/>
      <c r="M11" s="7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79"/>
      <c r="B12" s="17"/>
      <c r="C12" s="18"/>
      <c r="D12" s="19"/>
      <c r="E12" s="20" t="s">
        <v>123</v>
      </c>
      <c r="F12" s="21"/>
      <c r="G12" s="101"/>
      <c r="H12" s="102"/>
      <c r="I12" s="103"/>
      <c r="J12" s="104"/>
      <c r="K12" s="94"/>
      <c r="L12" s="27"/>
      <c r="M12" s="7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79"/>
      <c r="B13" s="39"/>
      <c r="C13" s="40"/>
      <c r="D13" s="41"/>
      <c r="E13" s="42"/>
      <c r="F13" s="47"/>
      <c r="G13" s="47"/>
      <c r="H13" s="49"/>
      <c r="I13" s="45"/>
      <c r="J13" s="80"/>
      <c r="K13" s="81"/>
      <c r="L13" s="27"/>
      <c r="M13" s="78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57"/>
      <c r="B14" s="2"/>
      <c r="C14" s="2"/>
      <c r="D14" s="2"/>
      <c r="E14" s="3"/>
      <c r="F14" s="58">
        <f t="shared" ref="F14:J14" si="1">SUM(F4:F12)</f>
        <v>0</v>
      </c>
      <c r="G14" s="58">
        <f t="shared" si="1"/>
        <v>18850</v>
      </c>
      <c r="H14" s="58">
        <f t="shared" si="1"/>
        <v>5000</v>
      </c>
      <c r="I14" s="58">
        <f t="shared" si="1"/>
        <v>0</v>
      </c>
      <c r="J14" s="58">
        <f t="shared" si="1"/>
        <v>0</v>
      </c>
      <c r="K14" s="59"/>
      <c r="L14" s="59"/>
      <c r="M14" s="60"/>
    </row>
    <row r="15" ht="48.0" customHeight="1">
      <c r="F15" s="61">
        <f>F14+G14+H14+I14+J14</f>
        <v>23850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6">
        <v>45846.0</v>
      </c>
      <c r="C4" s="52" t="s">
        <v>125</v>
      </c>
      <c r="D4" s="137">
        <v>52669.0</v>
      </c>
      <c r="E4" s="138" t="s">
        <v>126</v>
      </c>
      <c r="F4" s="139"/>
      <c r="G4" s="140">
        <v>34750.0</v>
      </c>
      <c r="H4" s="141"/>
      <c r="I4" s="116"/>
      <c r="J4" s="142"/>
      <c r="K4" s="78" t="s">
        <v>18</v>
      </c>
      <c r="L4" s="27" t="s">
        <v>127</v>
      </c>
      <c r="M4" s="78" t="s">
        <v>40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51">
        <v>45846.0</v>
      </c>
      <c r="C5" s="52" t="s">
        <v>128</v>
      </c>
      <c r="D5" s="137">
        <v>72839.0</v>
      </c>
      <c r="E5" s="138" t="s">
        <v>129</v>
      </c>
      <c r="F5" s="139"/>
      <c r="G5" s="140">
        <v>25000.0</v>
      </c>
      <c r="H5" s="141"/>
      <c r="I5" s="116"/>
      <c r="J5" s="117"/>
      <c r="K5" s="94" t="s">
        <v>18</v>
      </c>
      <c r="L5" s="27" t="s">
        <v>130</v>
      </c>
      <c r="M5" s="78" t="s">
        <v>131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43">
        <v>45846.0</v>
      </c>
      <c r="C6" s="144" t="s">
        <v>132</v>
      </c>
      <c r="D6" s="145">
        <v>83227.0</v>
      </c>
      <c r="E6" s="146" t="s">
        <v>133</v>
      </c>
      <c r="F6" s="140">
        <v>17000.0</v>
      </c>
      <c r="G6" s="139"/>
      <c r="H6" s="147"/>
      <c r="I6" s="116"/>
      <c r="J6" s="117"/>
      <c r="K6" s="94" t="s">
        <v>18</v>
      </c>
      <c r="L6" s="27" t="s">
        <v>134</v>
      </c>
      <c r="M6" s="78" t="s">
        <v>131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148">
        <v>45846.0</v>
      </c>
      <c r="C7" s="107" t="s">
        <v>135</v>
      </c>
      <c r="D7" s="149">
        <v>27880.0</v>
      </c>
      <c r="E7" s="150" t="s">
        <v>136</v>
      </c>
      <c r="F7" s="139"/>
      <c r="G7" s="140">
        <v>4500.0</v>
      </c>
      <c r="H7" s="141"/>
      <c r="I7" s="116"/>
      <c r="J7" s="117"/>
      <c r="K7" s="94" t="s">
        <v>18</v>
      </c>
      <c r="L7" s="27" t="s">
        <v>137</v>
      </c>
      <c r="M7" s="78" t="s">
        <v>131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29</v>
      </c>
      <c r="B8" s="148">
        <v>45846.0</v>
      </c>
      <c r="C8" s="107" t="s">
        <v>138</v>
      </c>
      <c r="D8" s="149">
        <v>27880.0</v>
      </c>
      <c r="E8" s="150" t="s">
        <v>136</v>
      </c>
      <c r="F8" s="139"/>
      <c r="G8" s="140">
        <v>4500.0</v>
      </c>
      <c r="H8" s="141"/>
      <c r="I8" s="116"/>
      <c r="J8" s="117"/>
      <c r="K8" s="94" t="s">
        <v>18</v>
      </c>
      <c r="L8" s="27" t="s">
        <v>139</v>
      </c>
      <c r="M8" s="78" t="s">
        <v>131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32</v>
      </c>
      <c r="B9" s="148">
        <v>45846.0</v>
      </c>
      <c r="C9" s="107" t="s">
        <v>140</v>
      </c>
      <c r="D9" s="149">
        <v>47787.0</v>
      </c>
      <c r="E9" s="150" t="s">
        <v>78</v>
      </c>
      <c r="F9" s="139"/>
      <c r="G9" s="140">
        <v>11450.0</v>
      </c>
      <c r="H9" s="141"/>
      <c r="I9" s="116"/>
      <c r="J9" s="120"/>
      <c r="K9" s="94" t="s">
        <v>79</v>
      </c>
      <c r="L9" s="27" t="s">
        <v>141</v>
      </c>
      <c r="M9" s="78" t="s">
        <v>81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/>
      <c r="B10" s="51"/>
      <c r="C10" s="52"/>
      <c r="D10" s="53"/>
      <c r="E10" s="118"/>
      <c r="F10" s="151"/>
      <c r="G10" s="114"/>
      <c r="H10" s="151"/>
      <c r="I10" s="116"/>
      <c r="J10" s="120"/>
      <c r="K10" s="94"/>
      <c r="L10" s="27"/>
      <c r="M10" s="7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/>
      <c r="B11" s="39"/>
      <c r="C11" s="40"/>
      <c r="D11" s="41"/>
      <c r="E11" s="42"/>
      <c r="F11" s="47"/>
      <c r="G11" s="47"/>
      <c r="H11" s="49"/>
      <c r="I11" s="45"/>
      <c r="J11" s="80"/>
      <c r="K11" s="81"/>
      <c r="L11" s="27"/>
      <c r="M11" s="7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57"/>
      <c r="B12" s="2"/>
      <c r="C12" s="2"/>
      <c r="D12" s="2"/>
      <c r="E12" s="3"/>
      <c r="F12" s="58">
        <f t="shared" ref="F12:J12" si="1">SUM(F4:F10)</f>
        <v>17000</v>
      </c>
      <c r="G12" s="58">
        <f t="shared" si="1"/>
        <v>80200</v>
      </c>
      <c r="H12" s="58">
        <f t="shared" si="1"/>
        <v>0</v>
      </c>
      <c r="I12" s="58">
        <f t="shared" si="1"/>
        <v>0</v>
      </c>
      <c r="J12" s="58">
        <f t="shared" si="1"/>
        <v>0</v>
      </c>
      <c r="K12" s="59"/>
      <c r="L12" s="59"/>
      <c r="M12" s="60"/>
    </row>
    <row r="13" ht="48.0" customHeight="1">
      <c r="F13" s="61">
        <f>F12+G12+H12+I12+J12</f>
        <v>97200</v>
      </c>
      <c r="G13" s="2"/>
      <c r="H13" s="2"/>
      <c r="I13" s="2"/>
      <c r="J1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K2:K3"/>
    <mergeCell ref="L2:L3"/>
    <mergeCell ref="E2:E3"/>
    <mergeCell ref="A12:E12"/>
    <mergeCell ref="F13:J13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52">
        <v>45846.0</v>
      </c>
      <c r="C4" s="40" t="s">
        <v>143</v>
      </c>
      <c r="D4" s="153">
        <v>10008.0</v>
      </c>
      <c r="E4" s="154" t="s">
        <v>25</v>
      </c>
      <c r="F4" s="139"/>
      <c r="G4" s="155">
        <v>1500.0</v>
      </c>
      <c r="H4" s="141"/>
      <c r="I4" s="116"/>
      <c r="J4" s="142"/>
      <c r="K4" s="78" t="s">
        <v>18</v>
      </c>
      <c r="L4" s="27">
        <v>17.05</v>
      </c>
      <c r="M4" s="78" t="s">
        <v>144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39">
        <v>45847.0</v>
      </c>
      <c r="C5" s="40" t="s">
        <v>145</v>
      </c>
      <c r="D5" s="153">
        <v>21828.0</v>
      </c>
      <c r="E5" s="154" t="s">
        <v>101</v>
      </c>
      <c r="F5" s="156">
        <v>5000.0</v>
      </c>
      <c r="G5" s="140"/>
      <c r="H5" s="141"/>
      <c r="I5" s="116"/>
      <c r="J5" s="117"/>
      <c r="K5" s="94" t="s">
        <v>18</v>
      </c>
      <c r="L5" s="27">
        <v>10.49</v>
      </c>
      <c r="M5" s="78" t="s">
        <v>146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57">
        <v>45847.0</v>
      </c>
      <c r="C6" s="158" t="s">
        <v>147</v>
      </c>
      <c r="D6" s="159">
        <v>47787.0</v>
      </c>
      <c r="E6" s="160" t="s">
        <v>78</v>
      </c>
      <c r="F6" s="140"/>
      <c r="G6" s="156">
        <v>5000.0</v>
      </c>
      <c r="H6" s="147"/>
      <c r="I6" s="116"/>
      <c r="J6" s="117"/>
      <c r="K6" s="94" t="s">
        <v>18</v>
      </c>
      <c r="L6" s="27">
        <v>13.09</v>
      </c>
      <c r="M6" s="78" t="s">
        <v>148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148"/>
      <c r="C7" s="107"/>
      <c r="D7" s="149"/>
      <c r="E7" s="150"/>
      <c r="F7" s="139"/>
      <c r="G7" s="140"/>
      <c r="H7" s="141"/>
      <c r="I7" s="116"/>
      <c r="J7" s="117"/>
      <c r="K7" s="94"/>
      <c r="L7" s="27"/>
      <c r="M7" s="78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29</v>
      </c>
      <c r="B8" s="148"/>
      <c r="C8" s="107"/>
      <c r="D8" s="149"/>
      <c r="E8" s="150"/>
      <c r="F8" s="139"/>
      <c r="G8" s="140"/>
      <c r="H8" s="141"/>
      <c r="I8" s="116"/>
      <c r="J8" s="117"/>
      <c r="K8" s="94"/>
      <c r="L8" s="27"/>
      <c r="M8" s="7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32</v>
      </c>
      <c r="B9" s="148"/>
      <c r="C9" s="107"/>
      <c r="D9" s="149"/>
      <c r="E9" s="150"/>
      <c r="F9" s="139"/>
      <c r="G9" s="140"/>
      <c r="H9" s="141"/>
      <c r="I9" s="116"/>
      <c r="J9" s="120"/>
      <c r="K9" s="94"/>
      <c r="L9" s="27"/>
      <c r="M9" s="7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/>
      <c r="B10" s="51"/>
      <c r="C10" s="52"/>
      <c r="D10" s="53"/>
      <c r="E10" s="118"/>
      <c r="F10" s="151"/>
      <c r="G10" s="114"/>
      <c r="H10" s="151"/>
      <c r="I10" s="116"/>
      <c r="J10" s="120"/>
      <c r="K10" s="94"/>
      <c r="L10" s="27"/>
      <c r="M10" s="7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/>
      <c r="B11" s="39"/>
      <c r="C11" s="40"/>
      <c r="D11" s="41"/>
      <c r="E11" s="42"/>
      <c r="F11" s="47"/>
      <c r="G11" s="47"/>
      <c r="H11" s="49"/>
      <c r="I11" s="45"/>
      <c r="J11" s="80"/>
      <c r="K11" s="81"/>
      <c r="L11" s="27"/>
      <c r="M11" s="7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57"/>
      <c r="B12" s="2"/>
      <c r="C12" s="2"/>
      <c r="D12" s="2"/>
      <c r="E12" s="3"/>
      <c r="F12" s="58">
        <f t="shared" ref="F12:J12" si="1">SUM(F4:F10)</f>
        <v>5000</v>
      </c>
      <c r="G12" s="58">
        <f t="shared" si="1"/>
        <v>6500</v>
      </c>
      <c r="H12" s="58">
        <f t="shared" si="1"/>
        <v>0</v>
      </c>
      <c r="I12" s="58">
        <f t="shared" si="1"/>
        <v>0</v>
      </c>
      <c r="J12" s="58">
        <f t="shared" si="1"/>
        <v>0</v>
      </c>
      <c r="K12" s="59"/>
      <c r="L12" s="59"/>
      <c r="M12" s="60"/>
    </row>
    <row r="13" ht="48.0" customHeight="1">
      <c r="F13" s="61">
        <f>F12+G12+H12+I12+J12</f>
        <v>11500</v>
      </c>
      <c r="G13" s="2"/>
      <c r="H13" s="2"/>
      <c r="I13" s="2"/>
      <c r="J1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K2:K3"/>
    <mergeCell ref="L2:L3"/>
    <mergeCell ref="E2:E3"/>
    <mergeCell ref="A12:E12"/>
    <mergeCell ref="F13:J13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52">
        <v>45848.0</v>
      </c>
      <c r="C4" s="40" t="s">
        <v>150</v>
      </c>
      <c r="D4" s="153">
        <v>51017.0</v>
      </c>
      <c r="E4" s="154" t="s">
        <v>151</v>
      </c>
      <c r="F4" s="139"/>
      <c r="G4" s="155">
        <v>13850.0</v>
      </c>
      <c r="H4" s="141"/>
      <c r="I4" s="116"/>
      <c r="J4" s="142"/>
      <c r="K4" s="78" t="s">
        <v>18</v>
      </c>
      <c r="L4" s="27" t="s">
        <v>152</v>
      </c>
      <c r="M4" s="78" t="s">
        <v>146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39">
        <v>45848.0</v>
      </c>
      <c r="C5" s="40" t="s">
        <v>153</v>
      </c>
      <c r="D5" s="153">
        <v>10281.0</v>
      </c>
      <c r="E5" s="154" t="s">
        <v>154</v>
      </c>
      <c r="F5" s="156"/>
      <c r="G5" s="155">
        <v>7600.0</v>
      </c>
      <c r="H5" s="141"/>
      <c r="I5" s="116"/>
      <c r="J5" s="117"/>
      <c r="K5" s="94" t="s">
        <v>18</v>
      </c>
      <c r="L5" s="27" t="s">
        <v>155</v>
      </c>
      <c r="M5" s="78" t="s">
        <v>156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57">
        <v>45848.0</v>
      </c>
      <c r="C6" s="158" t="s">
        <v>157</v>
      </c>
      <c r="D6" s="159">
        <v>90169.0</v>
      </c>
      <c r="E6" s="160" t="s">
        <v>158</v>
      </c>
      <c r="F6" s="140"/>
      <c r="G6" s="156">
        <v>7040.0</v>
      </c>
      <c r="H6" s="147"/>
      <c r="I6" s="116"/>
      <c r="J6" s="117"/>
      <c r="K6" s="94" t="s">
        <v>18</v>
      </c>
      <c r="L6" s="27" t="s">
        <v>159</v>
      </c>
      <c r="M6" s="78" t="s">
        <v>146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148"/>
      <c r="C7" s="107"/>
      <c r="D7" s="149"/>
      <c r="E7" s="150"/>
      <c r="F7" s="139"/>
      <c r="G7" s="140"/>
      <c r="H7" s="141"/>
      <c r="I7" s="116"/>
      <c r="J7" s="117"/>
      <c r="K7" s="94"/>
      <c r="L7" s="27"/>
      <c r="M7" s="78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29</v>
      </c>
      <c r="B8" s="148"/>
      <c r="C8" s="107"/>
      <c r="D8" s="149"/>
      <c r="E8" s="150"/>
      <c r="F8" s="139"/>
      <c r="G8" s="140"/>
      <c r="H8" s="141"/>
      <c r="I8" s="116"/>
      <c r="J8" s="117"/>
      <c r="K8" s="94"/>
      <c r="L8" s="27"/>
      <c r="M8" s="7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32</v>
      </c>
      <c r="B9" s="148"/>
      <c r="C9" s="107"/>
      <c r="D9" s="149"/>
      <c r="E9" s="150"/>
      <c r="F9" s="139"/>
      <c r="G9" s="140"/>
      <c r="H9" s="141"/>
      <c r="I9" s="116"/>
      <c r="J9" s="120"/>
      <c r="K9" s="94"/>
      <c r="L9" s="27"/>
      <c r="M9" s="7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/>
      <c r="B10" s="51"/>
      <c r="C10" s="52"/>
      <c r="D10" s="53"/>
      <c r="E10" s="118"/>
      <c r="F10" s="151"/>
      <c r="G10" s="114"/>
      <c r="H10" s="151"/>
      <c r="I10" s="116"/>
      <c r="J10" s="120"/>
      <c r="K10" s="94"/>
      <c r="L10" s="27"/>
      <c r="M10" s="7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/>
      <c r="B11" s="39"/>
      <c r="C11" s="40"/>
      <c r="D11" s="41"/>
      <c r="E11" s="42"/>
      <c r="F11" s="47"/>
      <c r="G11" s="47"/>
      <c r="H11" s="49"/>
      <c r="I11" s="45"/>
      <c r="J11" s="80"/>
      <c r="K11" s="81"/>
      <c r="L11" s="27"/>
      <c r="M11" s="7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57"/>
      <c r="B12" s="2"/>
      <c r="C12" s="2"/>
      <c r="D12" s="2"/>
      <c r="E12" s="3"/>
      <c r="F12" s="58">
        <f t="shared" ref="F12:J12" si="1">SUM(F4:F10)</f>
        <v>0</v>
      </c>
      <c r="G12" s="58">
        <f t="shared" si="1"/>
        <v>28490</v>
      </c>
      <c r="H12" s="58">
        <f t="shared" si="1"/>
        <v>0</v>
      </c>
      <c r="I12" s="58">
        <f t="shared" si="1"/>
        <v>0</v>
      </c>
      <c r="J12" s="58">
        <f t="shared" si="1"/>
        <v>0</v>
      </c>
      <c r="K12" s="59"/>
      <c r="L12" s="59"/>
      <c r="M12" s="60"/>
    </row>
    <row r="13" ht="48.0" customHeight="1">
      <c r="F13" s="61">
        <f>F12+G12+H12+I12+J12</f>
        <v>28490</v>
      </c>
      <c r="G13" s="2"/>
      <c r="H13" s="2"/>
      <c r="I13" s="2"/>
      <c r="J1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K2:K3"/>
    <mergeCell ref="L2:L3"/>
    <mergeCell ref="E2:E3"/>
    <mergeCell ref="A12:E12"/>
    <mergeCell ref="F13:J13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61">
        <v>45848.0</v>
      </c>
      <c r="C4" s="162" t="s">
        <v>161</v>
      </c>
      <c r="D4" s="163">
        <v>51017.0</v>
      </c>
      <c r="E4" s="164" t="s">
        <v>151</v>
      </c>
      <c r="F4" s="165"/>
      <c r="G4" s="166">
        <v>5000.0</v>
      </c>
      <c r="H4" s="167"/>
      <c r="I4" s="168"/>
      <c r="J4" s="169"/>
      <c r="K4" s="170" t="s">
        <v>18</v>
      </c>
      <c r="L4" s="171" t="s">
        <v>162</v>
      </c>
      <c r="M4" s="78" t="s">
        <v>146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172">
        <v>45849.0</v>
      </c>
      <c r="C5" s="173" t="s">
        <v>163</v>
      </c>
      <c r="D5" s="153">
        <v>51166.0</v>
      </c>
      <c r="E5" s="154" t="s">
        <v>164</v>
      </c>
      <c r="F5" s="156"/>
      <c r="G5" s="174">
        <v>2600.0</v>
      </c>
      <c r="H5" s="175"/>
      <c r="I5" s="176"/>
      <c r="J5" s="177"/>
      <c r="K5" s="94" t="s">
        <v>18</v>
      </c>
      <c r="L5" s="27" t="s">
        <v>165</v>
      </c>
      <c r="M5" s="78" t="s">
        <v>156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78">
        <v>45849.0</v>
      </c>
      <c r="C6" s="179" t="s">
        <v>166</v>
      </c>
      <c r="D6" s="180">
        <v>51782.0</v>
      </c>
      <c r="E6" s="181" t="s">
        <v>64</v>
      </c>
      <c r="F6" s="140"/>
      <c r="G6" s="182">
        <v>2500.0</v>
      </c>
      <c r="H6" s="183"/>
      <c r="I6" s="176"/>
      <c r="J6" s="177"/>
      <c r="K6" s="94" t="s">
        <v>79</v>
      </c>
      <c r="L6" s="27" t="s">
        <v>167</v>
      </c>
      <c r="M6" s="78" t="s">
        <v>168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178">
        <v>45849.0</v>
      </c>
      <c r="C7" s="179" t="s">
        <v>169</v>
      </c>
      <c r="D7" s="180">
        <v>50595.0</v>
      </c>
      <c r="E7" s="181" t="s">
        <v>91</v>
      </c>
      <c r="F7" s="140"/>
      <c r="G7" s="182">
        <v>15000.0</v>
      </c>
      <c r="H7" s="183"/>
      <c r="I7" s="176"/>
      <c r="J7" s="177"/>
      <c r="K7" s="94" t="s">
        <v>18</v>
      </c>
      <c r="L7" s="27" t="s">
        <v>170</v>
      </c>
      <c r="M7" s="78" t="s">
        <v>40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29</v>
      </c>
      <c r="B8" s="178">
        <v>45849.0</v>
      </c>
      <c r="C8" s="179" t="s">
        <v>171</v>
      </c>
      <c r="D8" s="180">
        <v>43380.0</v>
      </c>
      <c r="E8" s="181" t="s">
        <v>49</v>
      </c>
      <c r="F8" s="140"/>
      <c r="G8" s="182">
        <v>10000.0</v>
      </c>
      <c r="H8" s="183"/>
      <c r="I8" s="176"/>
      <c r="J8" s="177"/>
      <c r="K8" s="94" t="s">
        <v>18</v>
      </c>
      <c r="L8" s="27" t="s">
        <v>172</v>
      </c>
      <c r="M8" s="78" t="s">
        <v>156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 t="s">
        <v>32</v>
      </c>
      <c r="B9" s="178">
        <v>45849.0</v>
      </c>
      <c r="C9" s="179" t="s">
        <v>173</v>
      </c>
      <c r="D9" s="180">
        <v>51017.0</v>
      </c>
      <c r="E9" s="181" t="s">
        <v>151</v>
      </c>
      <c r="F9" s="140"/>
      <c r="G9" s="182">
        <v>13400.0</v>
      </c>
      <c r="H9" s="183"/>
      <c r="I9" s="176"/>
      <c r="J9" s="177"/>
      <c r="K9" s="94" t="s">
        <v>18</v>
      </c>
      <c r="L9" s="27" t="s">
        <v>174</v>
      </c>
      <c r="M9" s="78" t="s">
        <v>85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35</v>
      </c>
      <c r="B10" s="178">
        <v>45849.0</v>
      </c>
      <c r="C10" s="179" t="s">
        <v>175</v>
      </c>
      <c r="D10" s="180">
        <v>54426.0</v>
      </c>
      <c r="E10" s="181" t="s">
        <v>176</v>
      </c>
      <c r="F10" s="140"/>
      <c r="G10" s="182"/>
      <c r="H10" s="183"/>
      <c r="I10" s="176"/>
      <c r="J10" s="177">
        <v>140.0</v>
      </c>
      <c r="K10" s="94" t="s">
        <v>18</v>
      </c>
      <c r="L10" s="27" t="s">
        <v>177</v>
      </c>
      <c r="M10" s="78" t="s">
        <v>76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79" t="s">
        <v>72</v>
      </c>
      <c r="B11" s="178">
        <v>45849.0</v>
      </c>
      <c r="C11" s="179" t="s">
        <v>178</v>
      </c>
      <c r="D11" s="180">
        <v>42046.0</v>
      </c>
      <c r="E11" s="181" t="s">
        <v>179</v>
      </c>
      <c r="F11" s="140"/>
      <c r="G11" s="182"/>
      <c r="H11" s="183"/>
      <c r="I11" s="176"/>
      <c r="J11" s="177">
        <v>23.0</v>
      </c>
      <c r="K11" s="94" t="s">
        <v>18</v>
      </c>
      <c r="L11" s="27" t="s">
        <v>180</v>
      </c>
      <c r="M11" s="78" t="s">
        <v>85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184"/>
      <c r="C12" s="185"/>
      <c r="D12" s="180"/>
      <c r="E12" s="181"/>
      <c r="F12" s="140"/>
      <c r="G12" s="156"/>
      <c r="H12" s="147"/>
      <c r="I12" s="116"/>
      <c r="J12" s="117"/>
      <c r="K12" s="94"/>
      <c r="L12" s="27"/>
      <c r="M12" s="7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79"/>
      <c r="B13" s="39"/>
      <c r="C13" s="40"/>
      <c r="D13" s="41"/>
      <c r="E13" s="42"/>
      <c r="F13" s="47"/>
      <c r="G13" s="47"/>
      <c r="H13" s="49"/>
      <c r="I13" s="45"/>
      <c r="J13" s="80"/>
      <c r="K13" s="81"/>
      <c r="L13" s="27"/>
      <c r="M13" s="78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57"/>
      <c r="B14" s="2"/>
      <c r="C14" s="2"/>
      <c r="D14" s="2"/>
      <c r="E14" s="3"/>
      <c r="F14" s="58">
        <f t="shared" ref="F14:J14" si="1">SUM(F4:F12)</f>
        <v>0</v>
      </c>
      <c r="G14" s="58">
        <f t="shared" si="1"/>
        <v>48500</v>
      </c>
      <c r="H14" s="58">
        <f t="shared" si="1"/>
        <v>0</v>
      </c>
      <c r="I14" s="58">
        <f t="shared" si="1"/>
        <v>0</v>
      </c>
      <c r="J14" s="58">
        <f t="shared" si="1"/>
        <v>163</v>
      </c>
      <c r="K14" s="59"/>
      <c r="L14" s="59"/>
      <c r="M14" s="60"/>
    </row>
    <row r="15" ht="48.0" customHeight="1">
      <c r="F15" s="61">
        <f>F14+G14+H14+I14+J14</f>
        <v>48663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E35" s="186" t="s">
        <v>181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87"/>
      <c r="C4" s="173"/>
      <c r="D4" s="153"/>
      <c r="E4" s="188" t="s">
        <v>183</v>
      </c>
      <c r="F4" s="139"/>
      <c r="G4" s="174"/>
      <c r="H4" s="175"/>
      <c r="I4" s="176"/>
      <c r="J4" s="189"/>
      <c r="K4" s="78"/>
      <c r="L4" s="27" t="s">
        <v>162</v>
      </c>
      <c r="M4" s="78" t="s">
        <v>146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6"/>
      <c r="B5" s="184"/>
      <c r="C5" s="185"/>
      <c r="D5" s="180"/>
      <c r="E5" s="181"/>
      <c r="F5" s="140"/>
      <c r="G5" s="156"/>
      <c r="H5" s="147"/>
      <c r="I5" s="116"/>
      <c r="J5" s="117"/>
      <c r="K5" s="94"/>
      <c r="L5" s="27"/>
      <c r="M5" s="7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/>
      <c r="B6" s="39"/>
      <c r="C6" s="40"/>
      <c r="D6" s="41"/>
      <c r="E6" s="42"/>
      <c r="F6" s="47"/>
      <c r="G6" s="47"/>
      <c r="H6" s="49"/>
      <c r="I6" s="45"/>
      <c r="J6" s="80"/>
      <c r="K6" s="81"/>
      <c r="L6" s="27"/>
      <c r="M6" s="78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7"/>
      <c r="B7" s="2"/>
      <c r="C7" s="2"/>
      <c r="D7" s="2"/>
      <c r="E7" s="3"/>
      <c r="F7" s="58">
        <f t="shared" ref="F7:J7" si="1">SUM(F4:F5)</f>
        <v>0</v>
      </c>
      <c r="G7" s="58">
        <f t="shared" si="1"/>
        <v>0</v>
      </c>
      <c r="H7" s="58">
        <f t="shared" si="1"/>
        <v>0</v>
      </c>
      <c r="I7" s="58">
        <f t="shared" si="1"/>
        <v>0</v>
      </c>
      <c r="J7" s="58">
        <f t="shared" si="1"/>
        <v>0</v>
      </c>
      <c r="K7" s="59"/>
      <c r="L7" s="59"/>
      <c r="M7" s="60"/>
    </row>
    <row r="8" ht="48.0" customHeight="1">
      <c r="F8" s="61">
        <f>F7+G7+H7+I7+J7</f>
        <v>0</v>
      </c>
      <c r="G8" s="2"/>
      <c r="H8" s="2"/>
      <c r="I8" s="2"/>
      <c r="J8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E28" s="186" t="s">
        <v>181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K2:K3"/>
    <mergeCell ref="L2:L3"/>
    <mergeCell ref="E2:E3"/>
    <mergeCell ref="A7:E7"/>
    <mergeCell ref="F8:J8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6">
        <v>45851.0</v>
      </c>
      <c r="C4" s="52" t="s">
        <v>185</v>
      </c>
      <c r="D4" s="53">
        <v>51660.0</v>
      </c>
      <c r="E4" s="118" t="s">
        <v>186</v>
      </c>
      <c r="F4" s="139"/>
      <c r="G4" s="174">
        <v>5100.0</v>
      </c>
      <c r="H4" s="175"/>
      <c r="I4" s="176"/>
      <c r="J4" s="189"/>
      <c r="K4" s="78" t="s">
        <v>18</v>
      </c>
      <c r="L4" s="27" t="s">
        <v>187</v>
      </c>
      <c r="M4" s="78" t="s">
        <v>40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136">
        <v>45851.0</v>
      </c>
      <c r="C5" s="52" t="s">
        <v>188</v>
      </c>
      <c r="D5" s="53">
        <v>50342.0</v>
      </c>
      <c r="E5" s="118" t="s">
        <v>189</v>
      </c>
      <c r="F5" s="156"/>
      <c r="G5" s="174">
        <v>200.0</v>
      </c>
      <c r="H5" s="175"/>
      <c r="I5" s="176"/>
      <c r="J5" s="177"/>
      <c r="K5" s="94" t="s">
        <v>79</v>
      </c>
      <c r="L5" s="27" t="s">
        <v>155</v>
      </c>
      <c r="M5" s="78" t="s">
        <v>168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36">
        <v>45851.0</v>
      </c>
      <c r="C6" s="52" t="s">
        <v>190</v>
      </c>
      <c r="D6" s="53">
        <v>22341.0</v>
      </c>
      <c r="E6" s="118" t="s">
        <v>191</v>
      </c>
      <c r="F6" s="140"/>
      <c r="G6" s="182"/>
      <c r="H6" s="174">
        <v>3600.0</v>
      </c>
      <c r="I6" s="176"/>
      <c r="J6" s="177"/>
      <c r="K6" s="94" t="s">
        <v>18</v>
      </c>
      <c r="L6" s="27" t="s">
        <v>192</v>
      </c>
      <c r="M6" s="78" t="s">
        <v>76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51">
        <v>45851.0</v>
      </c>
      <c r="C7" s="52" t="s">
        <v>193</v>
      </c>
      <c r="D7" s="53">
        <v>88544.0</v>
      </c>
      <c r="E7" s="118" t="s">
        <v>194</v>
      </c>
      <c r="F7" s="155">
        <v>640.0</v>
      </c>
      <c r="G7" s="182"/>
      <c r="H7" s="183"/>
      <c r="I7" s="176"/>
      <c r="J7" s="177"/>
      <c r="K7" s="94" t="s">
        <v>18</v>
      </c>
      <c r="L7" s="27" t="s">
        <v>195</v>
      </c>
      <c r="M7" s="78" t="s">
        <v>76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29</v>
      </c>
      <c r="B8" s="136">
        <v>45851.0</v>
      </c>
      <c r="C8" s="52" t="s">
        <v>196</v>
      </c>
      <c r="D8" s="53">
        <v>13781.0</v>
      </c>
      <c r="E8" s="118" t="s">
        <v>197</v>
      </c>
      <c r="F8" s="140"/>
      <c r="G8" s="182"/>
      <c r="H8" s="183"/>
      <c r="I8" s="176"/>
      <c r="J8" s="177">
        <v>105.0</v>
      </c>
      <c r="K8" s="94" t="s">
        <v>18</v>
      </c>
      <c r="L8" s="27" t="s">
        <v>198</v>
      </c>
      <c r="M8" s="78" t="s">
        <v>76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/>
      <c r="B9" s="184"/>
      <c r="C9" s="185"/>
      <c r="D9" s="180"/>
      <c r="E9" s="181"/>
      <c r="F9" s="140"/>
      <c r="G9" s="156"/>
      <c r="H9" s="147"/>
      <c r="I9" s="116"/>
      <c r="J9" s="117"/>
      <c r="K9" s="94"/>
      <c r="L9" s="27"/>
      <c r="M9" s="7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/>
      <c r="B10" s="39"/>
      <c r="C10" s="40"/>
      <c r="D10" s="41"/>
      <c r="E10" s="42"/>
      <c r="F10" s="47"/>
      <c r="G10" s="47"/>
      <c r="H10" s="49"/>
      <c r="I10" s="45"/>
      <c r="J10" s="80"/>
      <c r="K10" s="81"/>
      <c r="L10" s="27"/>
      <c r="M10" s="7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7"/>
      <c r="B11" s="2"/>
      <c r="C11" s="2"/>
      <c r="D11" s="2"/>
      <c r="E11" s="3"/>
      <c r="F11" s="58">
        <f t="shared" ref="F11:J11" si="1">SUM(F4:F9)</f>
        <v>640</v>
      </c>
      <c r="G11" s="58">
        <f t="shared" si="1"/>
        <v>5300</v>
      </c>
      <c r="H11" s="58">
        <f t="shared" si="1"/>
        <v>3600</v>
      </c>
      <c r="I11" s="58">
        <f t="shared" si="1"/>
        <v>0</v>
      </c>
      <c r="J11" s="58">
        <f t="shared" si="1"/>
        <v>105</v>
      </c>
      <c r="K11" s="59"/>
      <c r="L11" s="59"/>
      <c r="M11" s="60"/>
    </row>
    <row r="12" ht="48.0" customHeight="1">
      <c r="F12" s="61">
        <f>F11+G11+H11+I11+J11</f>
        <v>9645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E32" s="186" t="s">
        <v>181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90">
        <v>45852.0</v>
      </c>
      <c r="C4" s="191" t="s">
        <v>200</v>
      </c>
      <c r="D4" s="137">
        <v>21828.0</v>
      </c>
      <c r="E4" s="192" t="s">
        <v>101</v>
      </c>
      <c r="F4" s="193"/>
      <c r="G4" s="194"/>
      <c r="H4" s="195">
        <v>5000.0</v>
      </c>
      <c r="I4" s="176"/>
      <c r="J4" s="189"/>
      <c r="K4" s="78" t="s">
        <v>18</v>
      </c>
      <c r="L4" s="27" t="s">
        <v>201</v>
      </c>
      <c r="M4" s="78" t="s">
        <v>202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190">
        <v>45852.0</v>
      </c>
      <c r="C5" s="191" t="s">
        <v>203</v>
      </c>
      <c r="D5" s="137">
        <v>47787.0</v>
      </c>
      <c r="E5" s="192" t="s">
        <v>78</v>
      </c>
      <c r="F5" s="196"/>
      <c r="G5" s="195">
        <v>2500.0</v>
      </c>
      <c r="H5" s="194"/>
      <c r="I5" s="176"/>
      <c r="J5" s="177"/>
      <c r="K5" s="94" t="s">
        <v>79</v>
      </c>
      <c r="L5" s="27" t="s">
        <v>204</v>
      </c>
      <c r="M5" s="78" t="s">
        <v>168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/>
      <c r="B6" s="184"/>
      <c r="C6" s="185"/>
      <c r="D6" s="180"/>
      <c r="E6" s="181"/>
      <c r="F6" s="140"/>
      <c r="G6" s="156"/>
      <c r="H6" s="147"/>
      <c r="I6" s="116"/>
      <c r="J6" s="117"/>
      <c r="K6" s="94"/>
      <c r="L6" s="27"/>
      <c r="M6" s="78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/>
      <c r="B7" s="39"/>
      <c r="C7" s="40"/>
      <c r="D7" s="41"/>
      <c r="E7" s="42"/>
      <c r="F7" s="47"/>
      <c r="G7" s="47"/>
      <c r="H7" s="49"/>
      <c r="I7" s="45"/>
      <c r="J7" s="80"/>
      <c r="K7" s="81"/>
      <c r="L7" s="27"/>
      <c r="M7" s="78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7"/>
      <c r="B8" s="2"/>
      <c r="C8" s="2"/>
      <c r="D8" s="2"/>
      <c r="E8" s="3"/>
      <c r="F8" s="58">
        <f t="shared" ref="F8:J8" si="1">SUM(F4:F6)</f>
        <v>0</v>
      </c>
      <c r="G8" s="58">
        <f t="shared" si="1"/>
        <v>2500</v>
      </c>
      <c r="H8" s="58">
        <f t="shared" si="1"/>
        <v>5000</v>
      </c>
      <c r="I8" s="58">
        <f t="shared" si="1"/>
        <v>0</v>
      </c>
      <c r="J8" s="58">
        <f t="shared" si="1"/>
        <v>0</v>
      </c>
      <c r="K8" s="59"/>
      <c r="L8" s="59"/>
      <c r="M8" s="60"/>
    </row>
    <row r="9" ht="48.0" customHeight="1">
      <c r="F9" s="61">
        <f>F8+G8+H8+I8+J8</f>
        <v>7500</v>
      </c>
      <c r="G9" s="2"/>
      <c r="H9" s="2"/>
      <c r="I9" s="2"/>
      <c r="J9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E29" s="186" t="s">
        <v>181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K2:K3"/>
    <mergeCell ref="L2:L3"/>
    <mergeCell ref="E2:E3"/>
    <mergeCell ref="A8:E8"/>
    <mergeCell ref="F9:J9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97" t="s">
        <v>15</v>
      </c>
      <c r="B4" s="198">
        <v>45852.0</v>
      </c>
      <c r="C4" s="199" t="s">
        <v>206</v>
      </c>
      <c r="D4" s="200">
        <v>51017.0</v>
      </c>
      <c r="E4" s="201" t="s">
        <v>151</v>
      </c>
      <c r="F4" s="202"/>
      <c r="G4" s="203">
        <v>5000.0</v>
      </c>
      <c r="H4" s="204"/>
      <c r="I4" s="168"/>
      <c r="J4" s="169"/>
      <c r="K4" s="170" t="s">
        <v>18</v>
      </c>
      <c r="L4" s="171" t="s">
        <v>207</v>
      </c>
      <c r="M4" s="170" t="s">
        <v>202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05" t="s">
        <v>20</v>
      </c>
      <c r="B5" s="198">
        <v>45852.0</v>
      </c>
      <c r="C5" s="199" t="s">
        <v>208</v>
      </c>
      <c r="D5" s="200">
        <v>77726.0</v>
      </c>
      <c r="E5" s="201" t="s">
        <v>209</v>
      </c>
      <c r="F5" s="206"/>
      <c r="G5" s="204"/>
      <c r="H5" s="203">
        <v>2600.0</v>
      </c>
      <c r="I5" s="168"/>
      <c r="J5" s="207"/>
      <c r="K5" s="170" t="s">
        <v>18</v>
      </c>
      <c r="L5" s="171" t="s">
        <v>210</v>
      </c>
      <c r="M5" s="170" t="s">
        <v>131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36">
        <v>45853.0</v>
      </c>
      <c r="C6" s="52" t="s">
        <v>211</v>
      </c>
      <c r="D6" s="53">
        <v>51660.0</v>
      </c>
      <c r="E6" s="118" t="s">
        <v>186</v>
      </c>
      <c r="F6" s="140"/>
      <c r="G6" s="156">
        <v>4500.0</v>
      </c>
      <c r="H6" s="147"/>
      <c r="I6" s="116"/>
      <c r="J6" s="117"/>
      <c r="K6" s="94" t="s">
        <v>18</v>
      </c>
      <c r="L6" s="27" t="s">
        <v>212</v>
      </c>
      <c r="M6" s="78" t="s">
        <v>40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136">
        <v>45853.0</v>
      </c>
      <c r="C7" s="52" t="s">
        <v>213</v>
      </c>
      <c r="D7" s="53">
        <v>47787.0</v>
      </c>
      <c r="E7" s="118" t="s">
        <v>78</v>
      </c>
      <c r="F7" s="140"/>
      <c r="G7" s="156">
        <v>10000.0</v>
      </c>
      <c r="H7" s="147"/>
      <c r="I7" s="116"/>
      <c r="J7" s="117"/>
      <c r="K7" s="94" t="s">
        <v>79</v>
      </c>
      <c r="L7" s="27" t="s">
        <v>214</v>
      </c>
      <c r="M7" s="78" t="s">
        <v>168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29</v>
      </c>
      <c r="B8" s="136">
        <v>45853.0</v>
      </c>
      <c r="C8" s="52" t="s">
        <v>215</v>
      </c>
      <c r="D8" s="53">
        <v>77283.0</v>
      </c>
      <c r="E8" s="118" t="s">
        <v>216</v>
      </c>
      <c r="F8" s="155">
        <v>5100.0</v>
      </c>
      <c r="G8" s="156"/>
      <c r="H8" s="147"/>
      <c r="I8" s="116"/>
      <c r="J8" s="117"/>
      <c r="K8" s="94" t="s">
        <v>18</v>
      </c>
      <c r="L8" s="27" t="s">
        <v>217</v>
      </c>
      <c r="M8" s="78" t="s">
        <v>131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/>
      <c r="B9" s="39"/>
      <c r="C9" s="40"/>
      <c r="D9" s="41"/>
      <c r="E9" s="42"/>
      <c r="F9" s="47"/>
      <c r="G9" s="47"/>
      <c r="H9" s="49"/>
      <c r="I9" s="45"/>
      <c r="J9" s="80"/>
      <c r="K9" s="81"/>
      <c r="L9" s="27"/>
      <c r="M9" s="7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57"/>
      <c r="B10" s="2"/>
      <c r="C10" s="2"/>
      <c r="D10" s="2"/>
      <c r="E10" s="3"/>
      <c r="F10" s="58">
        <f t="shared" ref="F10:J10" si="1">SUM(F4:F8)</f>
        <v>5100</v>
      </c>
      <c r="G10" s="58">
        <f t="shared" si="1"/>
        <v>19500</v>
      </c>
      <c r="H10" s="58">
        <f t="shared" si="1"/>
        <v>2600</v>
      </c>
      <c r="I10" s="58">
        <f t="shared" si="1"/>
        <v>0</v>
      </c>
      <c r="J10" s="58">
        <f t="shared" si="1"/>
        <v>0</v>
      </c>
      <c r="K10" s="59"/>
      <c r="L10" s="59"/>
      <c r="M10" s="60"/>
    </row>
    <row r="11" ht="48.0" customHeight="1">
      <c r="F11" s="61">
        <f>F10+G10+H10+I10+J10</f>
        <v>27200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E31" s="186" t="s">
        <v>181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97" t="s">
        <v>15</v>
      </c>
      <c r="B4" s="208">
        <v>45853.0</v>
      </c>
      <c r="C4" s="209" t="s">
        <v>219</v>
      </c>
      <c r="D4" s="210">
        <v>43380.0</v>
      </c>
      <c r="E4" s="211" t="s">
        <v>49</v>
      </c>
      <c r="F4" s="202"/>
      <c r="G4" s="203">
        <v>29000.0</v>
      </c>
      <c r="H4" s="204"/>
      <c r="I4" s="168"/>
      <c r="J4" s="169"/>
      <c r="K4" s="170" t="s">
        <v>18</v>
      </c>
      <c r="L4" s="171" t="s">
        <v>220</v>
      </c>
      <c r="M4" s="170" t="s">
        <v>131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30">
        <v>45854.0</v>
      </c>
      <c r="C5" s="31" t="s">
        <v>221</v>
      </c>
      <c r="D5" s="32">
        <v>27880.0</v>
      </c>
      <c r="E5" s="20" t="s">
        <v>136</v>
      </c>
      <c r="F5" s="212"/>
      <c r="G5" s="213">
        <v>7640.0</v>
      </c>
      <c r="H5" s="213"/>
      <c r="I5" s="176"/>
      <c r="J5" s="177"/>
      <c r="K5" s="78" t="s">
        <v>18</v>
      </c>
      <c r="L5" s="27" t="s">
        <v>222</v>
      </c>
      <c r="M5" s="78" t="s">
        <v>131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52">
        <v>45854.0</v>
      </c>
      <c r="C6" s="40" t="s">
        <v>223</v>
      </c>
      <c r="D6" s="41">
        <v>27880.0</v>
      </c>
      <c r="E6" s="42" t="s">
        <v>136</v>
      </c>
      <c r="F6" s="140"/>
      <c r="G6" s="196">
        <v>4500.0</v>
      </c>
      <c r="H6" s="147"/>
      <c r="I6" s="116"/>
      <c r="J6" s="117"/>
      <c r="K6" s="94" t="s">
        <v>18</v>
      </c>
      <c r="L6" s="27" t="s">
        <v>224</v>
      </c>
      <c r="M6" s="78" t="s">
        <v>131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152">
        <v>45854.0</v>
      </c>
      <c r="C7" s="40" t="s">
        <v>225</v>
      </c>
      <c r="D7" s="41">
        <v>52669.0</v>
      </c>
      <c r="E7" s="42" t="s">
        <v>126</v>
      </c>
      <c r="F7" s="140"/>
      <c r="G7" s="196">
        <v>25400.0</v>
      </c>
      <c r="H7" s="147"/>
      <c r="I7" s="116"/>
      <c r="J7" s="117"/>
      <c r="K7" s="94" t="s">
        <v>18</v>
      </c>
      <c r="L7" s="27" t="s">
        <v>226</v>
      </c>
      <c r="M7" s="78" t="s">
        <v>227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/>
      <c r="B8" s="136"/>
      <c r="C8" s="52"/>
      <c r="D8" s="53"/>
      <c r="E8" s="118"/>
      <c r="F8" s="155"/>
      <c r="G8" s="196"/>
      <c r="H8" s="147"/>
      <c r="I8" s="116"/>
      <c r="J8" s="117"/>
      <c r="K8" s="94"/>
      <c r="L8" s="27"/>
      <c r="M8" s="7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/>
      <c r="B9" s="39"/>
      <c r="C9" s="40"/>
      <c r="D9" s="41"/>
      <c r="E9" s="42"/>
      <c r="F9" s="47"/>
      <c r="G9" s="214"/>
      <c r="H9" s="49"/>
      <c r="I9" s="45"/>
      <c r="J9" s="80"/>
      <c r="K9" s="81"/>
      <c r="L9" s="27"/>
      <c r="M9" s="7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57"/>
      <c r="B10" s="2"/>
      <c r="C10" s="2"/>
      <c r="D10" s="2"/>
      <c r="E10" s="3"/>
      <c r="F10" s="58">
        <f t="shared" ref="F10:J10" si="1">SUM(F4:F8)</f>
        <v>0</v>
      </c>
      <c r="G10" s="58">
        <f t="shared" si="1"/>
        <v>66540</v>
      </c>
      <c r="H10" s="58">
        <f t="shared" si="1"/>
        <v>0</v>
      </c>
      <c r="I10" s="58">
        <f t="shared" si="1"/>
        <v>0</v>
      </c>
      <c r="J10" s="58">
        <f t="shared" si="1"/>
        <v>0</v>
      </c>
      <c r="K10" s="59"/>
      <c r="L10" s="59"/>
      <c r="M10" s="60"/>
    </row>
    <row r="11" ht="48.0" customHeight="1">
      <c r="F11" s="61">
        <f>F10+G10+H10+I10+J10</f>
        <v>66540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E31" s="186" t="s">
        <v>181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8" t="s">
        <v>15</v>
      </c>
      <c r="B4" s="152">
        <v>45855.0</v>
      </c>
      <c r="C4" s="40" t="s">
        <v>229</v>
      </c>
      <c r="D4" s="41">
        <v>47787.0</v>
      </c>
      <c r="E4" s="42" t="s">
        <v>78</v>
      </c>
      <c r="F4" s="193"/>
      <c r="G4" s="215">
        <v>5000.0</v>
      </c>
      <c r="H4" s="195"/>
      <c r="I4" s="216"/>
      <c r="J4" s="217"/>
      <c r="K4" s="94" t="s">
        <v>18</v>
      </c>
      <c r="L4" s="95" t="s">
        <v>230</v>
      </c>
      <c r="M4" s="94" t="s">
        <v>65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30">
        <v>45855.0</v>
      </c>
      <c r="C5" s="31" t="s">
        <v>231</v>
      </c>
      <c r="D5" s="32">
        <v>36555.0</v>
      </c>
      <c r="E5" s="20" t="s">
        <v>232</v>
      </c>
      <c r="F5" s="212"/>
      <c r="G5" s="213">
        <v>1700.0</v>
      </c>
      <c r="H5" s="213"/>
      <c r="I5" s="176"/>
      <c r="J5" s="177"/>
      <c r="K5" s="78" t="s">
        <v>18</v>
      </c>
      <c r="L5" s="27" t="s">
        <v>233</v>
      </c>
      <c r="M5" s="78" t="s">
        <v>144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52">
        <v>45855.0</v>
      </c>
      <c r="C6" s="40" t="s">
        <v>234</v>
      </c>
      <c r="D6" s="41">
        <v>47787.0</v>
      </c>
      <c r="E6" s="42" t="s">
        <v>78</v>
      </c>
      <c r="F6" s="140"/>
      <c r="G6" s="196">
        <v>200.0</v>
      </c>
      <c r="H6" s="147"/>
      <c r="I6" s="116"/>
      <c r="J6" s="117"/>
      <c r="K6" s="94" t="s">
        <v>18</v>
      </c>
      <c r="L6" s="27" t="s">
        <v>235</v>
      </c>
      <c r="M6" s="94" t="s">
        <v>65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152">
        <v>45855.0</v>
      </c>
      <c r="C7" s="40" t="s">
        <v>236</v>
      </c>
      <c r="D7" s="41">
        <v>25650.0</v>
      </c>
      <c r="E7" s="42" t="s">
        <v>237</v>
      </c>
      <c r="F7" s="155">
        <v>15000.0</v>
      </c>
      <c r="G7" s="196"/>
      <c r="H7" s="147"/>
      <c r="I7" s="116"/>
      <c r="J7" s="117"/>
      <c r="K7" s="94" t="s">
        <v>18</v>
      </c>
      <c r="L7" s="27" t="s">
        <v>238</v>
      </c>
      <c r="M7" s="78" t="s">
        <v>144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29</v>
      </c>
      <c r="B8" s="152">
        <v>45855.0</v>
      </c>
      <c r="C8" s="40" t="s">
        <v>239</v>
      </c>
      <c r="D8" s="41">
        <v>50222.0</v>
      </c>
      <c r="E8" s="42" t="s">
        <v>240</v>
      </c>
      <c r="F8" s="155"/>
      <c r="G8" s="196">
        <v>12500.0</v>
      </c>
      <c r="H8" s="147"/>
      <c r="I8" s="116"/>
      <c r="J8" s="117"/>
      <c r="K8" s="94" t="s">
        <v>18</v>
      </c>
      <c r="L8" s="27" t="s">
        <v>241</v>
      </c>
      <c r="M8" s="78" t="s">
        <v>156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/>
      <c r="B9" s="39"/>
      <c r="C9" s="40"/>
      <c r="D9" s="41"/>
      <c r="E9" s="42"/>
      <c r="F9" s="47"/>
      <c r="G9" s="214"/>
      <c r="H9" s="49"/>
      <c r="I9" s="45"/>
      <c r="J9" s="80"/>
      <c r="K9" s="81"/>
      <c r="L9" s="27"/>
      <c r="M9" s="7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57"/>
      <c r="B10" s="2"/>
      <c r="C10" s="2"/>
      <c r="D10" s="2"/>
      <c r="E10" s="3"/>
      <c r="F10" s="58">
        <f t="shared" ref="F10:J10" si="1">SUM(F4:F8)</f>
        <v>15000</v>
      </c>
      <c r="G10" s="58">
        <f t="shared" si="1"/>
        <v>19400</v>
      </c>
      <c r="H10" s="58">
        <f t="shared" si="1"/>
        <v>0</v>
      </c>
      <c r="I10" s="58">
        <f t="shared" si="1"/>
        <v>0</v>
      </c>
      <c r="J10" s="58">
        <f t="shared" si="1"/>
        <v>0</v>
      </c>
      <c r="K10" s="59"/>
      <c r="L10" s="59"/>
      <c r="M10" s="60"/>
    </row>
    <row r="11" ht="48.0" customHeight="1">
      <c r="F11" s="61">
        <f>F10+G10+H10+I10+J10</f>
        <v>34400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E31" s="186" t="s">
        <v>181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8" t="s">
        <v>15</v>
      </c>
      <c r="B4" s="152">
        <v>45856.0</v>
      </c>
      <c r="C4" s="40" t="s">
        <v>243</v>
      </c>
      <c r="D4" s="41">
        <v>51017.0</v>
      </c>
      <c r="E4" s="42" t="s">
        <v>151</v>
      </c>
      <c r="F4" s="193"/>
      <c r="G4" s="215">
        <v>10450.0</v>
      </c>
      <c r="H4" s="195"/>
      <c r="I4" s="216"/>
      <c r="J4" s="217"/>
      <c r="K4" s="94" t="s">
        <v>18</v>
      </c>
      <c r="L4" s="95" t="s">
        <v>244</v>
      </c>
      <c r="M4" s="78" t="s">
        <v>144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30">
        <v>45856.0</v>
      </c>
      <c r="C5" s="31" t="s">
        <v>245</v>
      </c>
      <c r="D5" s="32">
        <v>42095.0</v>
      </c>
      <c r="E5" s="20" t="s">
        <v>83</v>
      </c>
      <c r="F5" s="212"/>
      <c r="G5" s="213"/>
      <c r="H5" s="213">
        <v>4780.0</v>
      </c>
      <c r="I5" s="176"/>
      <c r="J5" s="177"/>
      <c r="K5" s="78" t="s">
        <v>18</v>
      </c>
      <c r="L5" s="27" t="s">
        <v>246</v>
      </c>
      <c r="M5" s="78" t="s">
        <v>144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52">
        <v>45856.0</v>
      </c>
      <c r="C6" s="40" t="s">
        <v>247</v>
      </c>
      <c r="D6" s="41">
        <v>47787.0</v>
      </c>
      <c r="E6" s="42" t="s">
        <v>78</v>
      </c>
      <c r="F6" s="140"/>
      <c r="G6" s="196">
        <v>5000.0</v>
      </c>
      <c r="H6" s="147"/>
      <c r="I6" s="116"/>
      <c r="J6" s="117"/>
      <c r="K6" s="94" t="s">
        <v>18</v>
      </c>
      <c r="L6" s="27" t="s">
        <v>248</v>
      </c>
      <c r="M6" s="94" t="s">
        <v>65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152">
        <v>45856.0</v>
      </c>
      <c r="C7" s="40" t="s">
        <v>249</v>
      </c>
      <c r="D7" s="41">
        <v>50595.0</v>
      </c>
      <c r="E7" s="42" t="s">
        <v>91</v>
      </c>
      <c r="F7" s="155"/>
      <c r="G7" s="196">
        <v>10000.0</v>
      </c>
      <c r="H7" s="147"/>
      <c r="I7" s="116"/>
      <c r="J7" s="117"/>
      <c r="K7" s="94" t="s">
        <v>18</v>
      </c>
      <c r="L7" s="27" t="s">
        <v>250</v>
      </c>
      <c r="M7" s="78" t="s">
        <v>144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29</v>
      </c>
      <c r="B8" s="152">
        <v>45856.0</v>
      </c>
      <c r="C8" s="40" t="s">
        <v>251</v>
      </c>
      <c r="D8" s="41">
        <v>52083.0</v>
      </c>
      <c r="E8" s="42" t="s">
        <v>252</v>
      </c>
      <c r="F8" s="155"/>
      <c r="G8" s="196">
        <v>5000.0</v>
      </c>
      <c r="H8" s="147"/>
      <c r="I8" s="116"/>
      <c r="J8" s="117"/>
      <c r="K8" s="94" t="s">
        <v>18</v>
      </c>
      <c r="L8" s="27" t="s">
        <v>253</v>
      </c>
      <c r="M8" s="78" t="s">
        <v>144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/>
      <c r="B9" s="39"/>
      <c r="C9" s="40"/>
      <c r="D9" s="41"/>
      <c r="E9" s="42"/>
      <c r="F9" s="47"/>
      <c r="G9" s="214"/>
      <c r="H9" s="49"/>
      <c r="I9" s="45"/>
      <c r="J9" s="80"/>
      <c r="K9" s="81"/>
      <c r="L9" s="27"/>
      <c r="M9" s="7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57"/>
      <c r="B10" s="2"/>
      <c r="C10" s="2"/>
      <c r="D10" s="2"/>
      <c r="E10" s="3"/>
      <c r="F10" s="58">
        <f t="shared" ref="F10:J10" si="1">SUM(F4:F8)</f>
        <v>0</v>
      </c>
      <c r="G10" s="58">
        <f t="shared" si="1"/>
        <v>30450</v>
      </c>
      <c r="H10" s="58">
        <f t="shared" si="1"/>
        <v>4780</v>
      </c>
      <c r="I10" s="58">
        <f t="shared" si="1"/>
        <v>0</v>
      </c>
      <c r="J10" s="58">
        <f t="shared" si="1"/>
        <v>0</v>
      </c>
      <c r="K10" s="59"/>
      <c r="L10" s="59"/>
      <c r="M10" s="60"/>
    </row>
    <row r="11" ht="48.0" customHeight="1">
      <c r="F11" s="61">
        <f>F10+G10+H10+I10+J10</f>
        <v>35230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E31" s="186" t="s">
        <v>181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8" t="s">
        <v>15</v>
      </c>
      <c r="B4" s="152"/>
      <c r="C4" s="40"/>
      <c r="D4" s="41"/>
      <c r="E4" s="42"/>
      <c r="F4" s="193"/>
      <c r="G4" s="215"/>
      <c r="H4" s="195"/>
      <c r="I4" s="216"/>
      <c r="J4" s="217"/>
      <c r="K4" s="94" t="s">
        <v>18</v>
      </c>
      <c r="L4" s="95" t="s">
        <v>244</v>
      </c>
      <c r="M4" s="78" t="s">
        <v>144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30"/>
      <c r="C5" s="31"/>
      <c r="D5" s="32"/>
      <c r="E5" s="218" t="s">
        <v>255</v>
      </c>
      <c r="F5" s="212"/>
      <c r="G5" s="213"/>
      <c r="H5" s="213"/>
      <c r="I5" s="176"/>
      <c r="J5" s="177"/>
      <c r="K5" s="78" t="s">
        <v>18</v>
      </c>
      <c r="L5" s="27" t="s">
        <v>246</v>
      </c>
      <c r="M5" s="78" t="s">
        <v>144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52"/>
      <c r="C6" s="40"/>
      <c r="D6" s="41"/>
      <c r="E6" s="42"/>
      <c r="F6" s="140"/>
      <c r="G6" s="196"/>
      <c r="H6" s="147"/>
      <c r="I6" s="116"/>
      <c r="J6" s="117"/>
      <c r="K6" s="94" t="s">
        <v>18</v>
      </c>
      <c r="L6" s="27" t="s">
        <v>248</v>
      </c>
      <c r="M6" s="94" t="s">
        <v>65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152"/>
      <c r="C7" s="40"/>
      <c r="D7" s="41"/>
      <c r="E7" s="42"/>
      <c r="F7" s="155"/>
      <c r="G7" s="196"/>
      <c r="H7" s="147"/>
      <c r="I7" s="116"/>
      <c r="J7" s="117"/>
      <c r="K7" s="94" t="s">
        <v>18</v>
      </c>
      <c r="L7" s="27" t="s">
        <v>250</v>
      </c>
      <c r="M7" s="78" t="s">
        <v>144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29</v>
      </c>
      <c r="B8" s="152"/>
      <c r="C8" s="40"/>
      <c r="D8" s="41"/>
      <c r="E8" s="42"/>
      <c r="F8" s="155"/>
      <c r="G8" s="196"/>
      <c r="H8" s="147"/>
      <c r="I8" s="116"/>
      <c r="J8" s="117"/>
      <c r="K8" s="94" t="s">
        <v>18</v>
      </c>
      <c r="L8" s="27" t="s">
        <v>253</v>
      </c>
      <c r="M8" s="78" t="s">
        <v>144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/>
      <c r="B9" s="39"/>
      <c r="C9" s="40"/>
      <c r="D9" s="41"/>
      <c r="E9" s="42"/>
      <c r="F9" s="47"/>
      <c r="G9" s="214"/>
      <c r="H9" s="49"/>
      <c r="I9" s="45"/>
      <c r="J9" s="80"/>
      <c r="K9" s="81"/>
      <c r="L9" s="27"/>
      <c r="M9" s="7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57"/>
      <c r="B10" s="2"/>
      <c r="C10" s="2"/>
      <c r="D10" s="2"/>
      <c r="E10" s="3"/>
      <c r="F10" s="58">
        <f t="shared" ref="F10:J10" si="1">SUM(F4:F8)</f>
        <v>0</v>
      </c>
      <c r="G10" s="58">
        <f t="shared" si="1"/>
        <v>0</v>
      </c>
      <c r="H10" s="58">
        <f t="shared" si="1"/>
        <v>0</v>
      </c>
      <c r="I10" s="58">
        <f t="shared" si="1"/>
        <v>0</v>
      </c>
      <c r="J10" s="58">
        <f t="shared" si="1"/>
        <v>0</v>
      </c>
      <c r="K10" s="59"/>
      <c r="L10" s="59"/>
      <c r="M10" s="60"/>
    </row>
    <row r="11" ht="48.0" customHeight="1">
      <c r="F11" s="61">
        <f>F10+G10+H10+I10+J10</f>
        <v>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E31" s="186" t="s">
        <v>181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8" t="s">
        <v>15</v>
      </c>
      <c r="B4" s="152">
        <v>45858.0</v>
      </c>
      <c r="C4" s="40" t="s">
        <v>257</v>
      </c>
      <c r="D4" s="41">
        <v>42095.0</v>
      </c>
      <c r="E4" s="42" t="s">
        <v>83</v>
      </c>
      <c r="F4" s="193"/>
      <c r="G4" s="219"/>
      <c r="H4" s="219">
        <v>320.0</v>
      </c>
      <c r="I4" s="216"/>
      <c r="J4" s="217"/>
      <c r="K4" s="94" t="s">
        <v>18</v>
      </c>
      <c r="L4" s="95" t="s">
        <v>155</v>
      </c>
      <c r="M4" s="78" t="s">
        <v>144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30">
        <v>45858.0</v>
      </c>
      <c r="C5" s="31" t="s">
        <v>258</v>
      </c>
      <c r="D5" s="32">
        <v>47787.0</v>
      </c>
      <c r="E5" s="220" t="s">
        <v>78</v>
      </c>
      <c r="F5" s="212"/>
      <c r="G5" s="221">
        <v>5250.0</v>
      </c>
      <c r="H5" s="221"/>
      <c r="I5" s="176"/>
      <c r="J5" s="177"/>
      <c r="K5" s="78" t="s">
        <v>79</v>
      </c>
      <c r="L5" s="27" t="s">
        <v>259</v>
      </c>
      <c r="M5" s="78" t="s">
        <v>260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/>
      <c r="B6" s="39"/>
      <c r="C6" s="40"/>
      <c r="D6" s="41"/>
      <c r="E6" s="42"/>
      <c r="F6" s="47"/>
      <c r="G6" s="214"/>
      <c r="H6" s="49"/>
      <c r="I6" s="45"/>
      <c r="J6" s="80"/>
      <c r="K6" s="81"/>
      <c r="L6" s="27"/>
      <c r="M6" s="78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57"/>
      <c r="B7" s="2"/>
      <c r="C7" s="2"/>
      <c r="D7" s="2"/>
      <c r="E7" s="3"/>
      <c r="F7" s="58">
        <f t="shared" ref="F7:J7" si="1">SUM(F4:F5)</f>
        <v>0</v>
      </c>
      <c r="G7" s="58">
        <f t="shared" si="1"/>
        <v>5250</v>
      </c>
      <c r="H7" s="58">
        <f t="shared" si="1"/>
        <v>320</v>
      </c>
      <c r="I7" s="58">
        <f t="shared" si="1"/>
        <v>0</v>
      </c>
      <c r="J7" s="58">
        <f t="shared" si="1"/>
        <v>0</v>
      </c>
      <c r="K7" s="59"/>
      <c r="L7" s="59"/>
      <c r="M7" s="60"/>
    </row>
    <row r="8" ht="48.0" customHeight="1">
      <c r="F8" s="61">
        <f>F7+G7+H7+I7+J7</f>
        <v>5570</v>
      </c>
      <c r="G8" s="2"/>
      <c r="H8" s="2"/>
      <c r="I8" s="2"/>
      <c r="J8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E28" s="186" t="s">
        <v>181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K2:K3"/>
    <mergeCell ref="L2:L3"/>
    <mergeCell ref="E2:E3"/>
    <mergeCell ref="A7:E7"/>
    <mergeCell ref="F8:J8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8" t="s">
        <v>15</v>
      </c>
      <c r="B4" s="222">
        <v>45858.0</v>
      </c>
      <c r="C4" s="223" t="s">
        <v>262</v>
      </c>
      <c r="D4" s="224">
        <v>87101.0</v>
      </c>
      <c r="E4" s="225" t="s">
        <v>263</v>
      </c>
      <c r="F4" s="226"/>
      <c r="G4" s="227"/>
      <c r="H4" s="227">
        <v>4500.0</v>
      </c>
      <c r="I4" s="228"/>
      <c r="J4" s="229"/>
      <c r="K4" s="230" t="s">
        <v>18</v>
      </c>
      <c r="L4" s="231" t="s">
        <v>264</v>
      </c>
      <c r="M4" s="230" t="s">
        <v>144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222">
        <v>45858.0</v>
      </c>
      <c r="C5" s="223" t="s">
        <v>265</v>
      </c>
      <c r="D5" s="224">
        <v>87085.0</v>
      </c>
      <c r="E5" s="232" t="s">
        <v>266</v>
      </c>
      <c r="F5" s="233"/>
      <c r="G5" s="227"/>
      <c r="H5" s="227">
        <v>450.0</v>
      </c>
      <c r="I5" s="228"/>
      <c r="J5" s="234"/>
      <c r="K5" s="230" t="s">
        <v>18</v>
      </c>
      <c r="L5" s="231" t="s">
        <v>267</v>
      </c>
      <c r="M5" s="230" t="s">
        <v>144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23</v>
      </c>
      <c r="B6" s="30">
        <v>45859.0</v>
      </c>
      <c r="C6" s="31" t="s">
        <v>268</v>
      </c>
      <c r="D6" s="32">
        <v>51017.0</v>
      </c>
      <c r="E6" s="220" t="s">
        <v>151</v>
      </c>
      <c r="F6" s="212"/>
      <c r="G6" s="221">
        <v>7950.0</v>
      </c>
      <c r="H6" s="221"/>
      <c r="I6" s="176"/>
      <c r="J6" s="177"/>
      <c r="K6" s="94" t="s">
        <v>18</v>
      </c>
      <c r="L6" s="27" t="s">
        <v>269</v>
      </c>
      <c r="M6" s="78" t="s">
        <v>144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30">
        <v>45859.0</v>
      </c>
      <c r="C7" s="31" t="s">
        <v>270</v>
      </c>
      <c r="D7" s="32">
        <v>52214.0</v>
      </c>
      <c r="E7" s="220" t="s">
        <v>271</v>
      </c>
      <c r="F7" s="212"/>
      <c r="G7" s="221">
        <v>2840.0</v>
      </c>
      <c r="H7" s="221"/>
      <c r="I7" s="176"/>
      <c r="J7" s="177"/>
      <c r="K7" s="78" t="s">
        <v>79</v>
      </c>
      <c r="L7" s="27" t="s">
        <v>272</v>
      </c>
      <c r="M7" s="78" t="s">
        <v>260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29</v>
      </c>
      <c r="B8" s="30">
        <v>45859.0</v>
      </c>
      <c r="C8" s="31" t="s">
        <v>273</v>
      </c>
      <c r="D8" s="32">
        <v>25541.0</v>
      </c>
      <c r="E8" s="220" t="s">
        <v>274</v>
      </c>
      <c r="F8" s="212"/>
      <c r="G8" s="221">
        <v>450.0</v>
      </c>
      <c r="H8" s="221"/>
      <c r="I8" s="176"/>
      <c r="J8" s="177"/>
      <c r="K8" s="94" t="s">
        <v>18</v>
      </c>
      <c r="L8" s="27" t="s">
        <v>275</v>
      </c>
      <c r="M8" s="78" t="s">
        <v>144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/>
      <c r="B9" s="30"/>
      <c r="C9" s="31"/>
      <c r="D9" s="32"/>
      <c r="E9" s="220"/>
      <c r="F9" s="212"/>
      <c r="G9" s="221"/>
      <c r="H9" s="221"/>
      <c r="I9" s="176"/>
      <c r="J9" s="177"/>
      <c r="K9" s="78"/>
      <c r="L9" s="27"/>
      <c r="M9" s="7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181</v>
      </c>
      <c r="B10" s="39"/>
      <c r="C10" s="40"/>
      <c r="D10" s="41"/>
      <c r="E10" s="42"/>
      <c r="F10" s="47"/>
      <c r="G10" s="214"/>
      <c r="H10" s="49"/>
      <c r="I10" s="45"/>
      <c r="J10" s="80"/>
      <c r="K10" s="81"/>
      <c r="L10" s="27"/>
      <c r="M10" s="7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7"/>
      <c r="B11" s="2"/>
      <c r="C11" s="2"/>
      <c r="D11" s="2"/>
      <c r="E11" s="3"/>
      <c r="F11" s="58">
        <f t="shared" ref="F11:J11" si="1">SUM(F4:F9)</f>
        <v>0</v>
      </c>
      <c r="G11" s="58">
        <f t="shared" si="1"/>
        <v>11240</v>
      </c>
      <c r="H11" s="58">
        <f t="shared" si="1"/>
        <v>4950</v>
      </c>
      <c r="I11" s="58">
        <f t="shared" si="1"/>
        <v>0</v>
      </c>
      <c r="J11" s="58">
        <f t="shared" si="1"/>
        <v>0</v>
      </c>
      <c r="K11" s="59"/>
      <c r="L11" s="59"/>
      <c r="M11" s="60"/>
    </row>
    <row r="12" ht="48.0" customHeight="1">
      <c r="F12" s="61">
        <f>F11+G11+H11+I11+J11</f>
        <v>16190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E32" s="186" t="s">
        <v>181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8" t="s">
        <v>15</v>
      </c>
      <c r="B4" s="198">
        <v>45859.0</v>
      </c>
      <c r="C4" s="199" t="s">
        <v>277</v>
      </c>
      <c r="D4" s="200">
        <v>91272.0</v>
      </c>
      <c r="E4" s="201" t="s">
        <v>278</v>
      </c>
      <c r="F4" s="235">
        <v>300.0</v>
      </c>
      <c r="G4" s="236"/>
      <c r="H4" s="237"/>
      <c r="I4" s="238"/>
      <c r="J4" s="239"/>
      <c r="K4" s="240" t="s">
        <v>18</v>
      </c>
      <c r="L4" s="241" t="s">
        <v>279</v>
      </c>
      <c r="M4" s="240" t="s">
        <v>144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136">
        <v>45860.0</v>
      </c>
      <c r="C5" s="52" t="s">
        <v>280</v>
      </c>
      <c r="D5" s="53">
        <v>52215.0</v>
      </c>
      <c r="E5" s="242" t="s">
        <v>281</v>
      </c>
      <c r="F5" s="151"/>
      <c r="G5" s="243">
        <v>2500.0</v>
      </c>
      <c r="H5" s="244"/>
      <c r="I5" s="245"/>
      <c r="J5" s="246"/>
      <c r="K5" s="78" t="s">
        <v>79</v>
      </c>
      <c r="L5" s="247" t="s">
        <v>282</v>
      </c>
      <c r="M5" s="248" t="s">
        <v>168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/>
      <c r="B6" s="30"/>
      <c r="C6" s="31"/>
      <c r="D6" s="32"/>
      <c r="E6" s="249"/>
      <c r="F6" s="151"/>
      <c r="G6" s="151"/>
      <c r="H6" s="221"/>
      <c r="I6" s="176"/>
      <c r="J6" s="177"/>
      <c r="K6" s="94"/>
      <c r="L6" s="27"/>
      <c r="M6" s="78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181</v>
      </c>
      <c r="B7" s="39"/>
      <c r="C7" s="40"/>
      <c r="D7" s="41"/>
      <c r="E7" s="42"/>
      <c r="F7" s="47"/>
      <c r="G7" s="214"/>
      <c r="H7" s="49"/>
      <c r="I7" s="45"/>
      <c r="J7" s="80"/>
      <c r="K7" s="81"/>
      <c r="L7" s="27"/>
      <c r="M7" s="78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7"/>
      <c r="B8" s="2"/>
      <c r="C8" s="2"/>
      <c r="D8" s="2"/>
      <c r="E8" s="3"/>
      <c r="F8" s="58">
        <f t="shared" ref="F8:J8" si="1">SUM(F4:F6)</f>
        <v>300</v>
      </c>
      <c r="G8" s="58">
        <f t="shared" si="1"/>
        <v>2500</v>
      </c>
      <c r="H8" s="58">
        <f t="shared" si="1"/>
        <v>0</v>
      </c>
      <c r="I8" s="58">
        <f t="shared" si="1"/>
        <v>0</v>
      </c>
      <c r="J8" s="58">
        <f t="shared" si="1"/>
        <v>0</v>
      </c>
      <c r="K8" s="59"/>
      <c r="L8" s="59"/>
      <c r="M8" s="60"/>
    </row>
    <row r="9" ht="48.0" customHeight="1">
      <c r="F9" s="61">
        <f>F8+G8+H8+I8+J8</f>
        <v>2800</v>
      </c>
      <c r="G9" s="2"/>
      <c r="H9" s="2"/>
      <c r="I9" s="2"/>
      <c r="J9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E29" s="186" t="s">
        <v>181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K2:K3"/>
    <mergeCell ref="L2:L3"/>
    <mergeCell ref="E2:E3"/>
    <mergeCell ref="A8:E8"/>
    <mergeCell ref="F9:J9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8" t="s">
        <v>15</v>
      </c>
      <c r="B4" s="152">
        <v>45861.0</v>
      </c>
      <c r="C4" s="40" t="s">
        <v>284</v>
      </c>
      <c r="D4" s="41">
        <v>50595.0</v>
      </c>
      <c r="E4" s="42" t="s">
        <v>91</v>
      </c>
      <c r="F4" s="250" t="s">
        <v>285</v>
      </c>
      <c r="G4" s="251">
        <v>15000.0</v>
      </c>
      <c r="H4" s="196"/>
      <c r="I4" s="252"/>
      <c r="J4" s="253"/>
      <c r="K4" s="254" t="s">
        <v>18</v>
      </c>
      <c r="L4" s="255" t="s">
        <v>286</v>
      </c>
      <c r="M4" s="254" t="s">
        <v>144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152">
        <v>45861.0</v>
      </c>
      <c r="C5" s="40" t="s">
        <v>287</v>
      </c>
      <c r="D5" s="41">
        <v>50336.0</v>
      </c>
      <c r="E5" s="256" t="s">
        <v>288</v>
      </c>
      <c r="F5" s="257" t="s">
        <v>289</v>
      </c>
      <c r="G5" s="258">
        <v>26000.0</v>
      </c>
      <c r="H5" s="212"/>
      <c r="I5" s="259"/>
      <c r="J5" s="260"/>
      <c r="K5" s="254" t="s">
        <v>18</v>
      </c>
      <c r="L5" s="247" t="s">
        <v>290</v>
      </c>
      <c r="M5" s="254" t="s">
        <v>144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23</v>
      </c>
      <c r="B6" s="30">
        <v>45861.0</v>
      </c>
      <c r="C6" s="31" t="s">
        <v>291</v>
      </c>
      <c r="D6" s="32">
        <v>91406.0</v>
      </c>
      <c r="E6" s="249" t="s">
        <v>292</v>
      </c>
      <c r="F6" s="257" t="s">
        <v>293</v>
      </c>
      <c r="G6" s="251">
        <v>7000.0</v>
      </c>
      <c r="H6" s="261"/>
      <c r="I6" s="103"/>
      <c r="J6" s="104"/>
      <c r="K6" s="254" t="s">
        <v>18</v>
      </c>
      <c r="L6" s="27" t="s">
        <v>294</v>
      </c>
      <c r="M6" s="254" t="s">
        <v>156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181</v>
      </c>
      <c r="B7" s="39"/>
      <c r="C7" s="40"/>
      <c r="D7" s="41"/>
      <c r="E7" s="42"/>
      <c r="F7" s="47"/>
      <c r="G7" s="262"/>
      <c r="H7" s="263"/>
      <c r="I7" s="103"/>
      <c r="J7" s="104"/>
      <c r="K7" s="81"/>
      <c r="L7" s="27"/>
      <c r="M7" s="78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7"/>
      <c r="B8" s="2"/>
      <c r="C8" s="2"/>
      <c r="D8" s="2"/>
      <c r="E8" s="3"/>
      <c r="F8" s="58">
        <f t="shared" ref="F8:J8" si="1">SUM(F4:F6)</f>
        <v>0</v>
      </c>
      <c r="G8" s="58">
        <f t="shared" si="1"/>
        <v>48000</v>
      </c>
      <c r="H8" s="58">
        <f t="shared" si="1"/>
        <v>0</v>
      </c>
      <c r="I8" s="58">
        <f t="shared" si="1"/>
        <v>0</v>
      </c>
      <c r="J8" s="58">
        <f t="shared" si="1"/>
        <v>0</v>
      </c>
      <c r="K8" s="59"/>
      <c r="L8" s="59"/>
      <c r="M8" s="60"/>
    </row>
    <row r="9" ht="48.0" customHeight="1">
      <c r="F9" s="61">
        <f>F8+G8+H8+I8+J8</f>
        <v>48000</v>
      </c>
      <c r="G9" s="2"/>
      <c r="H9" s="2"/>
      <c r="I9" s="2"/>
      <c r="J9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E29" s="186" t="s">
        <v>181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K2:K3"/>
    <mergeCell ref="L2:L3"/>
    <mergeCell ref="E2:E3"/>
    <mergeCell ref="A8:E8"/>
    <mergeCell ref="F9:J9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8" t="s">
        <v>15</v>
      </c>
      <c r="B4" s="152">
        <v>45862.0</v>
      </c>
      <c r="C4" s="40" t="s">
        <v>296</v>
      </c>
      <c r="D4" s="41">
        <v>36555.0</v>
      </c>
      <c r="E4" s="42" t="s">
        <v>232</v>
      </c>
      <c r="F4" s="250"/>
      <c r="G4" s="251">
        <v>2500.0</v>
      </c>
      <c r="H4" s="196"/>
      <c r="I4" s="252"/>
      <c r="J4" s="253"/>
      <c r="K4" s="254" t="s">
        <v>18</v>
      </c>
      <c r="L4" s="255" t="s">
        <v>297</v>
      </c>
      <c r="M4" s="254" t="s">
        <v>144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152"/>
      <c r="C5" s="40"/>
      <c r="D5" s="41"/>
      <c r="E5" s="256"/>
      <c r="F5" s="257"/>
      <c r="G5" s="258"/>
      <c r="H5" s="212"/>
      <c r="I5" s="259"/>
      <c r="J5" s="260"/>
      <c r="K5" s="254"/>
      <c r="L5" s="247"/>
      <c r="M5" s="254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23</v>
      </c>
      <c r="B6" s="30"/>
      <c r="C6" s="31"/>
      <c r="D6" s="32"/>
      <c r="E6" s="249"/>
      <c r="F6" s="257"/>
      <c r="G6" s="251"/>
      <c r="H6" s="261"/>
      <c r="I6" s="103"/>
      <c r="J6" s="104"/>
      <c r="K6" s="254"/>
      <c r="L6" s="27"/>
      <c r="M6" s="254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181</v>
      </c>
      <c r="B7" s="39"/>
      <c r="C7" s="40"/>
      <c r="D7" s="41"/>
      <c r="E7" s="42"/>
      <c r="F7" s="47"/>
      <c r="G7" s="262"/>
      <c r="H7" s="263"/>
      <c r="I7" s="103"/>
      <c r="J7" s="104"/>
      <c r="K7" s="81"/>
      <c r="L7" s="27"/>
      <c r="M7" s="78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7"/>
      <c r="B8" s="2"/>
      <c r="C8" s="2"/>
      <c r="D8" s="2"/>
      <c r="E8" s="3"/>
      <c r="F8" s="58">
        <f t="shared" ref="F8:J8" si="1">SUM(F4:F6)</f>
        <v>0</v>
      </c>
      <c r="G8" s="58">
        <f t="shared" si="1"/>
        <v>2500</v>
      </c>
      <c r="H8" s="58">
        <f t="shared" si="1"/>
        <v>0</v>
      </c>
      <c r="I8" s="58">
        <f t="shared" si="1"/>
        <v>0</v>
      </c>
      <c r="J8" s="58">
        <f t="shared" si="1"/>
        <v>0</v>
      </c>
      <c r="K8" s="59"/>
      <c r="L8" s="59"/>
      <c r="M8" s="60"/>
    </row>
    <row r="9" ht="48.0" customHeight="1">
      <c r="F9" s="61">
        <f>F8+G8+H8+I8+J8</f>
        <v>2500</v>
      </c>
      <c r="G9" s="2"/>
      <c r="H9" s="2"/>
      <c r="I9" s="2"/>
      <c r="J9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E29" s="186" t="s">
        <v>181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K2:K3"/>
    <mergeCell ref="L2:L3"/>
    <mergeCell ref="E2:E3"/>
    <mergeCell ref="A8:E8"/>
    <mergeCell ref="F9:J9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264" t="s">
        <v>15</v>
      </c>
      <c r="B4" s="265">
        <v>45862.0</v>
      </c>
      <c r="C4" s="266" t="s">
        <v>299</v>
      </c>
      <c r="D4" s="267">
        <v>51017.0</v>
      </c>
      <c r="E4" s="268" t="s">
        <v>151</v>
      </c>
      <c r="F4" s="269"/>
      <c r="G4" s="270">
        <v>12500.0</v>
      </c>
      <c r="H4" s="233"/>
      <c r="I4" s="271"/>
      <c r="J4" s="272"/>
      <c r="K4" s="230" t="s">
        <v>18</v>
      </c>
      <c r="L4" s="231" t="s">
        <v>300</v>
      </c>
      <c r="M4" s="230" t="s">
        <v>144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73" t="s">
        <v>20</v>
      </c>
      <c r="B5" s="265">
        <v>45862.0</v>
      </c>
      <c r="C5" s="266" t="s">
        <v>301</v>
      </c>
      <c r="D5" s="267">
        <v>10249.0</v>
      </c>
      <c r="E5" s="274" t="s">
        <v>53</v>
      </c>
      <c r="F5" s="275"/>
      <c r="G5" s="276"/>
      <c r="H5" s="233"/>
      <c r="I5" s="271"/>
      <c r="J5" s="277"/>
      <c r="K5" s="230" t="s">
        <v>18</v>
      </c>
      <c r="L5" s="231" t="s">
        <v>302</v>
      </c>
      <c r="M5" s="230" t="s">
        <v>85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64" t="s">
        <v>23</v>
      </c>
      <c r="B6" s="265">
        <v>45862.0</v>
      </c>
      <c r="C6" s="266" t="s">
        <v>303</v>
      </c>
      <c r="D6" s="267">
        <v>10006.0</v>
      </c>
      <c r="E6" s="278" t="s">
        <v>28</v>
      </c>
      <c r="F6" s="275"/>
      <c r="G6" s="270">
        <v>3600.0</v>
      </c>
      <c r="H6" s="279"/>
      <c r="I6" s="280"/>
      <c r="J6" s="281"/>
      <c r="K6" s="230" t="s">
        <v>18</v>
      </c>
      <c r="L6" s="231" t="s">
        <v>304</v>
      </c>
      <c r="M6" s="230" t="s">
        <v>85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73" t="s">
        <v>26</v>
      </c>
      <c r="B7" s="265">
        <v>45862.0</v>
      </c>
      <c r="C7" s="266" t="s">
        <v>305</v>
      </c>
      <c r="D7" s="267">
        <v>91558.0</v>
      </c>
      <c r="E7" s="278" t="s">
        <v>306</v>
      </c>
      <c r="F7" s="275"/>
      <c r="G7" s="270">
        <v>2400.0</v>
      </c>
      <c r="H7" s="279"/>
      <c r="I7" s="280"/>
      <c r="J7" s="281"/>
      <c r="K7" s="230" t="s">
        <v>18</v>
      </c>
      <c r="L7" s="231" t="s">
        <v>307</v>
      </c>
      <c r="M7" s="230" t="s">
        <v>85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8" t="s">
        <v>29</v>
      </c>
      <c r="B8" s="30">
        <v>45863.0</v>
      </c>
      <c r="C8" s="31" t="s">
        <v>308</v>
      </c>
      <c r="D8" s="32">
        <v>43102.0</v>
      </c>
      <c r="E8" s="249" t="s">
        <v>309</v>
      </c>
      <c r="F8" s="257"/>
      <c r="G8" s="243">
        <v>6500.0</v>
      </c>
      <c r="H8" s="261"/>
      <c r="I8" s="103"/>
      <c r="J8" s="104"/>
      <c r="K8" s="254" t="s">
        <v>18</v>
      </c>
      <c r="L8" s="247" t="s">
        <v>310</v>
      </c>
      <c r="M8" s="254" t="s">
        <v>131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/>
      <c r="B9" s="30"/>
      <c r="C9" s="31"/>
      <c r="D9" s="32"/>
      <c r="E9" s="249"/>
      <c r="F9" s="257"/>
      <c r="G9" s="151"/>
      <c r="H9" s="261"/>
      <c r="I9" s="103"/>
      <c r="J9" s="104"/>
      <c r="K9" s="254"/>
      <c r="L9" s="27"/>
      <c r="M9" s="254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181</v>
      </c>
      <c r="B10" s="39"/>
      <c r="C10" s="40"/>
      <c r="D10" s="41"/>
      <c r="E10" s="42"/>
      <c r="F10" s="47"/>
      <c r="G10" s="262"/>
      <c r="H10" s="263"/>
      <c r="I10" s="103"/>
      <c r="J10" s="104"/>
      <c r="K10" s="81"/>
      <c r="L10" s="27"/>
      <c r="M10" s="7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7"/>
      <c r="B11" s="2"/>
      <c r="C11" s="2"/>
      <c r="D11" s="2"/>
      <c r="E11" s="3"/>
      <c r="F11" s="58">
        <f t="shared" ref="F11:J11" si="1">SUM(F4:F9)</f>
        <v>0</v>
      </c>
      <c r="G11" s="58">
        <f t="shared" si="1"/>
        <v>25000</v>
      </c>
      <c r="H11" s="58">
        <f t="shared" si="1"/>
        <v>0</v>
      </c>
      <c r="I11" s="58">
        <f t="shared" si="1"/>
        <v>0</v>
      </c>
      <c r="J11" s="58">
        <f t="shared" si="1"/>
        <v>0</v>
      </c>
      <c r="K11" s="59"/>
      <c r="L11" s="59"/>
      <c r="M11" s="60"/>
    </row>
    <row r="12" ht="48.0" customHeight="1">
      <c r="F12" s="61">
        <f>F11+G11+H11+I11+J11</f>
        <v>25000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E32" s="186" t="s">
        <v>181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8" t="s">
        <v>15</v>
      </c>
      <c r="B4" s="208">
        <v>45863.0</v>
      </c>
      <c r="C4" s="209" t="s">
        <v>312</v>
      </c>
      <c r="D4" s="210">
        <v>51166.0</v>
      </c>
      <c r="E4" s="211" t="s">
        <v>164</v>
      </c>
      <c r="F4" s="282">
        <v>2600.0</v>
      </c>
      <c r="G4" s="235"/>
      <c r="H4" s="206"/>
      <c r="I4" s="283"/>
      <c r="J4" s="284"/>
      <c r="K4" s="240" t="s">
        <v>18</v>
      </c>
      <c r="L4" s="241">
        <v>20.58</v>
      </c>
      <c r="M4" s="240" t="s">
        <v>131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83" t="s">
        <v>20</v>
      </c>
      <c r="B5" s="152">
        <v>45864.0</v>
      </c>
      <c r="C5" s="40" t="s">
        <v>313</v>
      </c>
      <c r="D5" s="41">
        <v>77283.0</v>
      </c>
      <c r="E5" s="256" t="s">
        <v>216</v>
      </c>
      <c r="F5" s="257">
        <v>7600.0</v>
      </c>
      <c r="G5" s="151"/>
      <c r="H5" s="196"/>
      <c r="I5" s="252"/>
      <c r="J5" s="285"/>
      <c r="K5" s="254" t="s">
        <v>18</v>
      </c>
      <c r="L5" s="255" t="s">
        <v>314</v>
      </c>
      <c r="M5" s="254" t="s">
        <v>131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8" t="s">
        <v>23</v>
      </c>
      <c r="B6" s="152">
        <v>45864.0</v>
      </c>
      <c r="C6" s="40" t="s">
        <v>315</v>
      </c>
      <c r="D6" s="41">
        <v>83957.0</v>
      </c>
      <c r="E6" s="220" t="s">
        <v>316</v>
      </c>
      <c r="F6" s="257"/>
      <c r="G6" s="250">
        <v>450.0</v>
      </c>
      <c r="H6" s="286"/>
      <c r="I6" s="99"/>
      <c r="J6" s="287"/>
      <c r="K6" s="254" t="s">
        <v>18</v>
      </c>
      <c r="L6" s="255" t="s">
        <v>317</v>
      </c>
      <c r="M6" s="254" t="s">
        <v>131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3" t="s">
        <v>26</v>
      </c>
      <c r="B7" s="152">
        <v>45864.0</v>
      </c>
      <c r="C7" s="40" t="s">
        <v>318</v>
      </c>
      <c r="D7" s="41">
        <v>37642.0</v>
      </c>
      <c r="E7" s="220" t="s">
        <v>319</v>
      </c>
      <c r="F7" s="257"/>
      <c r="G7" s="250">
        <v>3750.0</v>
      </c>
      <c r="H7" s="286"/>
      <c r="I7" s="99"/>
      <c r="J7" s="287"/>
      <c r="K7" s="254" t="s">
        <v>18</v>
      </c>
      <c r="L7" s="255" t="s">
        <v>320</v>
      </c>
      <c r="M7" s="254" t="s">
        <v>76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8" t="s">
        <v>29</v>
      </c>
      <c r="B8" s="30"/>
      <c r="C8" s="31"/>
      <c r="D8" s="32"/>
      <c r="E8" s="249"/>
      <c r="F8" s="257"/>
      <c r="G8" s="243"/>
      <c r="H8" s="261"/>
      <c r="I8" s="103"/>
      <c r="J8" s="104"/>
      <c r="K8" s="254"/>
      <c r="L8" s="247"/>
      <c r="M8" s="254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/>
      <c r="B9" s="30"/>
      <c r="C9" s="31"/>
      <c r="D9" s="32"/>
      <c r="E9" s="249"/>
      <c r="F9" s="257"/>
      <c r="G9" s="151"/>
      <c r="H9" s="261"/>
      <c r="I9" s="103"/>
      <c r="J9" s="104"/>
      <c r="K9" s="254"/>
      <c r="L9" s="27"/>
      <c r="M9" s="254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181</v>
      </c>
      <c r="B10" s="39"/>
      <c r="C10" s="40"/>
      <c r="D10" s="41"/>
      <c r="E10" s="42"/>
      <c r="F10" s="47"/>
      <c r="G10" s="262"/>
      <c r="H10" s="263"/>
      <c r="I10" s="103"/>
      <c r="J10" s="104"/>
      <c r="K10" s="81"/>
      <c r="L10" s="27"/>
      <c r="M10" s="7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7"/>
      <c r="B11" s="2"/>
      <c r="C11" s="2"/>
      <c r="D11" s="2"/>
      <c r="E11" s="3"/>
      <c r="F11" s="58">
        <f t="shared" ref="F11:J11" si="1">SUM(F4:F9)</f>
        <v>10200</v>
      </c>
      <c r="G11" s="58">
        <f t="shared" si="1"/>
        <v>4200</v>
      </c>
      <c r="H11" s="58">
        <f t="shared" si="1"/>
        <v>0</v>
      </c>
      <c r="I11" s="58">
        <f t="shared" si="1"/>
        <v>0</v>
      </c>
      <c r="J11" s="58">
        <f t="shared" si="1"/>
        <v>0</v>
      </c>
      <c r="K11" s="59"/>
      <c r="L11" s="59"/>
      <c r="M11" s="60"/>
    </row>
    <row r="12" ht="48.0" customHeight="1">
      <c r="F12" s="61">
        <f>F11+G11+H11+I11+J11</f>
        <v>14400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E32" s="186" t="s">
        <v>181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8" t="s">
        <v>15</v>
      </c>
      <c r="B4" s="288">
        <v>45864.0</v>
      </c>
      <c r="C4" s="289" t="s">
        <v>322</v>
      </c>
      <c r="D4" s="290">
        <v>36918.0</v>
      </c>
      <c r="E4" s="291" t="s">
        <v>323</v>
      </c>
      <c r="F4" s="292"/>
      <c r="G4" s="293"/>
      <c r="H4" s="293">
        <v>4100.0</v>
      </c>
      <c r="I4" s="294"/>
      <c r="J4" s="295"/>
      <c r="K4" s="296" t="s">
        <v>18</v>
      </c>
      <c r="L4" s="297" t="s">
        <v>324</v>
      </c>
      <c r="M4" s="296" t="s">
        <v>131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83" t="s">
        <v>20</v>
      </c>
      <c r="B5" s="136">
        <v>45865.0</v>
      </c>
      <c r="C5" s="52" t="s">
        <v>325</v>
      </c>
      <c r="D5" s="53">
        <v>52669.0</v>
      </c>
      <c r="E5" s="242" t="s">
        <v>126</v>
      </c>
      <c r="F5" s="151"/>
      <c r="G5" s="298">
        <v>15200.0</v>
      </c>
      <c r="H5" s="151"/>
      <c r="I5" s="252"/>
      <c r="J5" s="285"/>
      <c r="K5" s="254" t="s">
        <v>18</v>
      </c>
      <c r="L5" s="255" t="s">
        <v>326</v>
      </c>
      <c r="M5" s="254" t="s">
        <v>76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8" t="s">
        <v>23</v>
      </c>
      <c r="B6" s="136">
        <v>45865.0</v>
      </c>
      <c r="C6" s="52" t="s">
        <v>327</v>
      </c>
      <c r="D6" s="53">
        <v>10249.0</v>
      </c>
      <c r="E6" s="242" t="s">
        <v>53</v>
      </c>
      <c r="F6" s="243">
        <v>5900.0</v>
      </c>
      <c r="G6" s="44"/>
      <c r="H6" s="151"/>
      <c r="I6" s="99"/>
      <c r="J6" s="287"/>
      <c r="K6" s="254" t="s">
        <v>18</v>
      </c>
      <c r="L6" s="255" t="s">
        <v>328</v>
      </c>
      <c r="M6" s="254" t="s">
        <v>131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3" t="s">
        <v>26</v>
      </c>
      <c r="B7" s="136">
        <v>45865.0</v>
      </c>
      <c r="C7" s="52" t="s">
        <v>329</v>
      </c>
      <c r="D7" s="53">
        <v>78314.0</v>
      </c>
      <c r="E7" s="242" t="s">
        <v>330</v>
      </c>
      <c r="F7" s="243">
        <v>4950.0</v>
      </c>
      <c r="G7" s="44"/>
      <c r="H7" s="151"/>
      <c r="I7" s="99"/>
      <c r="J7" s="287"/>
      <c r="K7" s="254" t="s">
        <v>18</v>
      </c>
      <c r="L7" s="255" t="s">
        <v>331</v>
      </c>
      <c r="M7" s="254" t="s">
        <v>131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8" t="s">
        <v>29</v>
      </c>
      <c r="B8" s="30"/>
      <c r="C8" s="31"/>
      <c r="D8" s="32"/>
      <c r="E8" s="249"/>
      <c r="F8" s="151"/>
      <c r="G8" s="243"/>
      <c r="H8" s="151"/>
      <c r="I8" s="103"/>
      <c r="J8" s="104"/>
      <c r="K8" s="254"/>
      <c r="L8" s="247"/>
      <c r="M8" s="254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9"/>
      <c r="B9" s="30"/>
      <c r="C9" s="31"/>
      <c r="D9" s="32"/>
      <c r="E9" s="249"/>
      <c r="F9" s="257"/>
      <c r="G9" s="151"/>
      <c r="H9" s="261"/>
      <c r="I9" s="103"/>
      <c r="J9" s="104"/>
      <c r="K9" s="254"/>
      <c r="L9" s="27"/>
      <c r="M9" s="254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181</v>
      </c>
      <c r="B10" s="39"/>
      <c r="C10" s="40"/>
      <c r="D10" s="41"/>
      <c r="E10" s="42"/>
      <c r="F10" s="47"/>
      <c r="G10" s="262"/>
      <c r="H10" s="263"/>
      <c r="I10" s="103"/>
      <c r="J10" s="104"/>
      <c r="K10" s="81"/>
      <c r="L10" s="27"/>
      <c r="M10" s="7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7"/>
      <c r="B11" s="2"/>
      <c r="C11" s="2"/>
      <c r="D11" s="2"/>
      <c r="E11" s="3"/>
      <c r="F11" s="58">
        <f t="shared" ref="F11:J11" si="1">SUM(F4:F9)</f>
        <v>10850</v>
      </c>
      <c r="G11" s="58">
        <f t="shared" si="1"/>
        <v>15200</v>
      </c>
      <c r="H11" s="58">
        <f t="shared" si="1"/>
        <v>4100</v>
      </c>
      <c r="I11" s="58">
        <f t="shared" si="1"/>
        <v>0</v>
      </c>
      <c r="J11" s="58">
        <f t="shared" si="1"/>
        <v>0</v>
      </c>
      <c r="K11" s="59"/>
      <c r="L11" s="59"/>
      <c r="M11" s="60"/>
    </row>
    <row r="12" ht="48.0" customHeight="1">
      <c r="F12" s="61">
        <f>F11+G11+H11+I11+J11</f>
        <v>30150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E32" s="186" t="s">
        <v>181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97" t="s">
        <v>15</v>
      </c>
      <c r="B4" s="198">
        <v>45865.0</v>
      </c>
      <c r="C4" s="199" t="s">
        <v>333</v>
      </c>
      <c r="D4" s="200">
        <v>33507.0</v>
      </c>
      <c r="E4" s="201" t="s">
        <v>334</v>
      </c>
      <c r="F4" s="235">
        <v>2600.0</v>
      </c>
      <c r="G4" s="236"/>
      <c r="H4" s="236"/>
      <c r="I4" s="283"/>
      <c r="J4" s="284"/>
      <c r="K4" s="240" t="s">
        <v>18</v>
      </c>
      <c r="L4" s="241"/>
      <c r="M4" s="240" t="s">
        <v>131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05" t="s">
        <v>20</v>
      </c>
      <c r="B5" s="198">
        <v>45866.0</v>
      </c>
      <c r="C5" s="199" t="s">
        <v>335</v>
      </c>
      <c r="D5" s="200">
        <v>10008.0</v>
      </c>
      <c r="E5" s="299" t="s">
        <v>25</v>
      </c>
      <c r="F5" s="236"/>
      <c r="G5" s="235">
        <v>4500.0</v>
      </c>
      <c r="H5" s="236"/>
      <c r="I5" s="283"/>
      <c r="J5" s="300"/>
      <c r="K5" s="240" t="s">
        <v>18</v>
      </c>
      <c r="L5" s="241"/>
      <c r="M5" s="240" t="s">
        <v>76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97" t="s">
        <v>23</v>
      </c>
      <c r="B6" s="198">
        <v>45866.0</v>
      </c>
      <c r="C6" s="199" t="s">
        <v>336</v>
      </c>
      <c r="D6" s="200">
        <v>51017.0</v>
      </c>
      <c r="E6" s="299" t="s">
        <v>151</v>
      </c>
      <c r="F6" s="236"/>
      <c r="G6" s="235">
        <v>11250.0</v>
      </c>
      <c r="H6" s="236"/>
      <c r="I6" s="301"/>
      <c r="J6" s="302"/>
      <c r="K6" s="240" t="s">
        <v>18</v>
      </c>
      <c r="L6" s="241"/>
      <c r="M6" s="240" t="s">
        <v>76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26</v>
      </c>
      <c r="B7" s="198">
        <v>45866.0</v>
      </c>
      <c r="C7" s="199" t="s">
        <v>337</v>
      </c>
      <c r="D7" s="200">
        <v>59793.0</v>
      </c>
      <c r="E7" s="299" t="s">
        <v>338</v>
      </c>
      <c r="F7" s="236"/>
      <c r="G7" s="235">
        <v>15000.0</v>
      </c>
      <c r="H7" s="236"/>
      <c r="I7" s="301"/>
      <c r="J7" s="302"/>
      <c r="K7" s="240" t="s">
        <v>18</v>
      </c>
      <c r="L7" s="241"/>
      <c r="M7" s="240" t="s">
        <v>131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97" t="s">
        <v>29</v>
      </c>
      <c r="B8" s="198">
        <v>45866.0</v>
      </c>
      <c r="C8" s="199" t="s">
        <v>339</v>
      </c>
      <c r="D8" s="200">
        <v>51166.0</v>
      </c>
      <c r="E8" s="299" t="s">
        <v>164</v>
      </c>
      <c r="F8" s="236"/>
      <c r="G8" s="235">
        <v>5000.0</v>
      </c>
      <c r="H8" s="236"/>
      <c r="I8" s="301"/>
      <c r="J8" s="302"/>
      <c r="K8" s="240" t="s">
        <v>18</v>
      </c>
      <c r="L8" s="241"/>
      <c r="M8" s="240" t="s">
        <v>131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83" t="s">
        <v>32</v>
      </c>
      <c r="B9" s="136">
        <v>45867.0</v>
      </c>
      <c r="C9" s="52" t="s">
        <v>340</v>
      </c>
      <c r="D9" s="53">
        <v>43380.0</v>
      </c>
      <c r="E9" s="242" t="s">
        <v>49</v>
      </c>
      <c r="F9" s="151"/>
      <c r="G9" s="243">
        <v>15000.0</v>
      </c>
      <c r="H9" s="151"/>
      <c r="I9" s="103"/>
      <c r="J9" s="104"/>
      <c r="K9" s="254" t="s">
        <v>18</v>
      </c>
      <c r="L9" s="247"/>
      <c r="M9" s="254" t="s">
        <v>131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8" t="s">
        <v>35</v>
      </c>
      <c r="B10" s="136">
        <v>45867.0</v>
      </c>
      <c r="C10" s="52" t="s">
        <v>341</v>
      </c>
      <c r="D10" s="53">
        <v>47787.0</v>
      </c>
      <c r="E10" s="242" t="s">
        <v>78</v>
      </c>
      <c r="F10" s="151"/>
      <c r="G10" s="243">
        <v>5000.0</v>
      </c>
      <c r="H10" s="151"/>
      <c r="I10" s="103"/>
      <c r="J10" s="104"/>
      <c r="K10" s="254" t="s">
        <v>79</v>
      </c>
      <c r="L10" s="247"/>
      <c r="M10" s="254" t="s">
        <v>81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83" t="s">
        <v>72</v>
      </c>
      <c r="B11" s="136">
        <v>45867.0</v>
      </c>
      <c r="C11" s="52" t="s">
        <v>342</v>
      </c>
      <c r="D11" s="53">
        <v>43380.0</v>
      </c>
      <c r="E11" s="242" t="s">
        <v>49</v>
      </c>
      <c r="F11" s="151"/>
      <c r="G11" s="243">
        <v>25000.0</v>
      </c>
      <c r="H11" s="151"/>
      <c r="I11" s="103"/>
      <c r="J11" s="104"/>
      <c r="K11" s="254" t="s">
        <v>18</v>
      </c>
      <c r="L11" s="247"/>
      <c r="M11" s="254" t="s">
        <v>131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8" t="s">
        <v>343</v>
      </c>
      <c r="B12" s="136">
        <v>45867.0</v>
      </c>
      <c r="C12" s="52" t="s">
        <v>344</v>
      </c>
      <c r="D12" s="53">
        <v>42279.0</v>
      </c>
      <c r="E12" s="242" t="s">
        <v>345</v>
      </c>
      <c r="F12" s="151"/>
      <c r="G12" s="151"/>
      <c r="H12" s="243">
        <v>9500.0</v>
      </c>
      <c r="I12" s="103"/>
      <c r="J12" s="104"/>
      <c r="K12" s="254" t="s">
        <v>18</v>
      </c>
      <c r="L12" s="247"/>
      <c r="M12" s="254" t="s">
        <v>131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83" t="s">
        <v>346</v>
      </c>
      <c r="B13" s="136">
        <v>45867.0</v>
      </c>
      <c r="C13" s="52" t="s">
        <v>347</v>
      </c>
      <c r="D13" s="53">
        <v>10006.0</v>
      </c>
      <c r="E13" s="242" t="s">
        <v>28</v>
      </c>
      <c r="F13" s="151"/>
      <c r="G13" s="151"/>
      <c r="H13" s="243">
        <v>900.0</v>
      </c>
      <c r="I13" s="103"/>
      <c r="J13" s="104"/>
      <c r="K13" s="254" t="s">
        <v>18</v>
      </c>
      <c r="L13" s="247"/>
      <c r="M13" s="254" t="s">
        <v>85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8"/>
      <c r="B14" s="30"/>
      <c r="C14" s="31"/>
      <c r="D14" s="32"/>
      <c r="E14" s="249"/>
      <c r="F14" s="151"/>
      <c r="G14" s="151"/>
      <c r="H14" s="151"/>
      <c r="I14" s="103"/>
      <c r="J14" s="104"/>
      <c r="K14" s="254"/>
      <c r="L14" s="247"/>
      <c r="M14" s="254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79" t="s">
        <v>181</v>
      </c>
      <c r="B15" s="39"/>
      <c r="C15" s="40"/>
      <c r="D15" s="41"/>
      <c r="E15" s="42"/>
      <c r="F15" s="47"/>
      <c r="G15" s="262"/>
      <c r="H15" s="263"/>
      <c r="I15" s="103"/>
      <c r="J15" s="104"/>
      <c r="K15" s="81"/>
      <c r="L15" s="27"/>
      <c r="M15" s="7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57"/>
      <c r="B16" s="2"/>
      <c r="C16" s="2"/>
      <c r="D16" s="2"/>
      <c r="E16" s="3"/>
      <c r="F16" s="58">
        <f t="shared" ref="F16:J16" si="1">SUM(F4:F14)</f>
        <v>2600</v>
      </c>
      <c r="G16" s="58">
        <f t="shared" si="1"/>
        <v>80750</v>
      </c>
      <c r="H16" s="58">
        <f t="shared" si="1"/>
        <v>10400</v>
      </c>
      <c r="I16" s="58">
        <f t="shared" si="1"/>
        <v>0</v>
      </c>
      <c r="J16" s="58">
        <f t="shared" si="1"/>
        <v>0</v>
      </c>
      <c r="K16" s="59"/>
      <c r="L16" s="59"/>
      <c r="M16" s="60"/>
    </row>
    <row r="17" ht="48.0" customHeight="1">
      <c r="F17" s="61">
        <f>F16+G16+H16+I16+J16</f>
        <v>93750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E37" s="186" t="s">
        <v>181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97" t="s">
        <v>15</v>
      </c>
      <c r="B4" s="208">
        <v>45867.0</v>
      </c>
      <c r="C4" s="209" t="s">
        <v>349</v>
      </c>
      <c r="D4" s="210">
        <v>10249.0</v>
      </c>
      <c r="E4" s="211" t="s">
        <v>53</v>
      </c>
      <c r="F4" s="303"/>
      <c r="G4" s="236"/>
      <c r="H4" s="304">
        <v>5000.0</v>
      </c>
      <c r="I4" s="283"/>
      <c r="J4" s="284"/>
      <c r="K4" s="240" t="s">
        <v>18</v>
      </c>
      <c r="L4" s="241" t="s">
        <v>350</v>
      </c>
      <c r="M4" s="240" t="s">
        <v>131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30">
        <v>45868.0</v>
      </c>
      <c r="C5" s="31" t="s">
        <v>351</v>
      </c>
      <c r="D5" s="32">
        <v>88770.0</v>
      </c>
      <c r="E5" s="305" t="s">
        <v>352</v>
      </c>
      <c r="F5" s="306"/>
      <c r="G5" s="34"/>
      <c r="H5" s="307">
        <v>450.0</v>
      </c>
      <c r="I5" s="259"/>
      <c r="J5" s="260"/>
      <c r="K5" s="248" t="s">
        <v>18</v>
      </c>
      <c r="L5" s="247" t="s">
        <v>353</v>
      </c>
      <c r="M5" s="248" t="s">
        <v>85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30">
        <v>45868.0</v>
      </c>
      <c r="C6" s="31" t="s">
        <v>354</v>
      </c>
      <c r="D6" s="32">
        <v>47787.0</v>
      </c>
      <c r="E6" s="305" t="s">
        <v>78</v>
      </c>
      <c r="F6" s="306"/>
      <c r="G6" s="308">
        <v>5000.0</v>
      </c>
      <c r="H6" s="309"/>
      <c r="I6" s="103"/>
      <c r="J6" s="104"/>
      <c r="K6" s="248" t="s">
        <v>79</v>
      </c>
      <c r="L6" s="247" t="s">
        <v>355</v>
      </c>
      <c r="M6" s="248" t="s">
        <v>168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30">
        <v>45868.0</v>
      </c>
      <c r="C7" s="31" t="s">
        <v>356</v>
      </c>
      <c r="D7" s="32">
        <v>52215.0</v>
      </c>
      <c r="E7" s="305" t="s">
        <v>281</v>
      </c>
      <c r="F7" s="306"/>
      <c r="G7" s="308">
        <v>2700.0</v>
      </c>
      <c r="H7" s="309"/>
      <c r="I7" s="103"/>
      <c r="J7" s="104"/>
      <c r="K7" s="248" t="s">
        <v>79</v>
      </c>
      <c r="L7" s="247" t="s">
        <v>357</v>
      </c>
      <c r="M7" s="248" t="s">
        <v>168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29</v>
      </c>
      <c r="B8" s="30">
        <v>45868.0</v>
      </c>
      <c r="C8" s="31" t="s">
        <v>358</v>
      </c>
      <c r="D8" s="32">
        <v>51406.0</v>
      </c>
      <c r="E8" s="305" t="s">
        <v>359</v>
      </c>
      <c r="F8" s="306"/>
      <c r="G8" s="308">
        <v>15000.0</v>
      </c>
      <c r="H8" s="309"/>
      <c r="I8" s="103"/>
      <c r="J8" s="104"/>
      <c r="K8" s="248" t="s">
        <v>18</v>
      </c>
      <c r="L8" s="247" t="s">
        <v>360</v>
      </c>
      <c r="M8" s="248" t="s">
        <v>40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83" t="s">
        <v>32</v>
      </c>
      <c r="B9" s="152">
        <v>45868.0</v>
      </c>
      <c r="C9" s="40" t="s">
        <v>361</v>
      </c>
      <c r="D9" s="41">
        <v>87820.0</v>
      </c>
      <c r="E9" s="256" t="s">
        <v>94</v>
      </c>
      <c r="F9" s="310">
        <v>2400.0</v>
      </c>
      <c r="G9" s="243"/>
      <c r="H9" s="151"/>
      <c r="I9" s="103"/>
      <c r="J9" s="104"/>
      <c r="K9" s="254" t="s">
        <v>18</v>
      </c>
      <c r="L9" s="247" t="s">
        <v>362</v>
      </c>
      <c r="M9" s="254" t="s">
        <v>85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8" t="s">
        <v>35</v>
      </c>
      <c r="B10" s="152">
        <v>45868.0</v>
      </c>
      <c r="C10" s="40" t="s">
        <v>363</v>
      </c>
      <c r="D10" s="41">
        <v>47787.0</v>
      </c>
      <c r="E10" s="256" t="s">
        <v>78</v>
      </c>
      <c r="F10" s="311"/>
      <c r="G10" s="250">
        <v>15000.0</v>
      </c>
      <c r="H10" s="151"/>
      <c r="I10" s="103"/>
      <c r="J10" s="104"/>
      <c r="K10" s="254" t="s">
        <v>79</v>
      </c>
      <c r="L10" s="247" t="s">
        <v>364</v>
      </c>
      <c r="M10" s="248" t="s">
        <v>168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83" t="s">
        <v>72</v>
      </c>
      <c r="B11" s="152">
        <v>45868.0</v>
      </c>
      <c r="C11" s="40" t="s">
        <v>365</v>
      </c>
      <c r="D11" s="41">
        <v>47787.0</v>
      </c>
      <c r="E11" s="256" t="s">
        <v>78</v>
      </c>
      <c r="F11" s="311"/>
      <c r="G11" s="250">
        <v>20000.0</v>
      </c>
      <c r="H11" s="151"/>
      <c r="I11" s="103"/>
      <c r="J11" s="104"/>
      <c r="K11" s="254" t="s">
        <v>79</v>
      </c>
      <c r="L11" s="247" t="s">
        <v>366</v>
      </c>
      <c r="M11" s="248" t="s">
        <v>168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8" t="s">
        <v>343</v>
      </c>
      <c r="B12" s="152">
        <v>45868.0</v>
      </c>
      <c r="C12" s="40" t="s">
        <v>367</v>
      </c>
      <c r="D12" s="41">
        <v>71126.0</v>
      </c>
      <c r="E12" s="256" t="s">
        <v>368</v>
      </c>
      <c r="F12" s="311"/>
      <c r="G12" s="312">
        <v>32500.0</v>
      </c>
      <c r="H12" s="243"/>
      <c r="I12" s="103"/>
      <c r="J12" s="104"/>
      <c r="K12" s="254" t="s">
        <v>18</v>
      </c>
      <c r="L12" s="247" t="s">
        <v>369</v>
      </c>
      <c r="M12" s="254" t="s">
        <v>370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83" t="s">
        <v>346</v>
      </c>
      <c r="B13" s="152">
        <v>45868.0</v>
      </c>
      <c r="C13" s="40" t="s">
        <v>371</v>
      </c>
      <c r="D13" s="41">
        <v>92189.0</v>
      </c>
      <c r="E13" s="256" t="s">
        <v>372</v>
      </c>
      <c r="F13" s="310">
        <v>300.0</v>
      </c>
      <c r="G13" s="151"/>
      <c r="H13" s="243"/>
      <c r="I13" s="103"/>
      <c r="J13" s="104"/>
      <c r="K13" s="254" t="s">
        <v>18</v>
      </c>
      <c r="L13" s="247" t="s">
        <v>373</v>
      </c>
      <c r="M13" s="254" t="s">
        <v>85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8"/>
      <c r="B14" s="30"/>
      <c r="C14" s="31"/>
      <c r="D14" s="32"/>
      <c r="E14" s="249"/>
      <c r="F14" s="151"/>
      <c r="G14" s="151"/>
      <c r="H14" s="151"/>
      <c r="I14" s="103"/>
      <c r="J14" s="104"/>
      <c r="K14" s="254"/>
      <c r="L14" s="247"/>
      <c r="M14" s="254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79" t="s">
        <v>181</v>
      </c>
      <c r="B15" s="39"/>
      <c r="C15" s="40"/>
      <c r="D15" s="41"/>
      <c r="E15" s="42"/>
      <c r="F15" s="47"/>
      <c r="G15" s="262"/>
      <c r="H15" s="263"/>
      <c r="I15" s="103"/>
      <c r="J15" s="104"/>
      <c r="K15" s="81"/>
      <c r="L15" s="27"/>
      <c r="M15" s="7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57"/>
      <c r="B16" s="2"/>
      <c r="C16" s="2"/>
      <c r="D16" s="2"/>
      <c r="E16" s="3"/>
      <c r="F16" s="58">
        <f t="shared" ref="F16:J16" si="1">SUM(F4:F14)</f>
        <v>2700</v>
      </c>
      <c r="G16" s="58">
        <f t="shared" si="1"/>
        <v>90200</v>
      </c>
      <c r="H16" s="58">
        <f t="shared" si="1"/>
        <v>5450</v>
      </c>
      <c r="I16" s="58">
        <f t="shared" si="1"/>
        <v>0</v>
      </c>
      <c r="J16" s="58">
        <f t="shared" si="1"/>
        <v>0</v>
      </c>
      <c r="K16" s="59"/>
      <c r="L16" s="59"/>
      <c r="M16" s="60"/>
    </row>
    <row r="17" ht="48.0" customHeight="1">
      <c r="F17" s="61">
        <f>F16+G16+H16+I16+J16</f>
        <v>98350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E37" s="186" t="s">
        <v>181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35.63"/>
    <col customWidth="1" min="4" max="4" width="17.75"/>
    <col customWidth="1" min="5" max="5" width="93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8" t="s">
        <v>15</v>
      </c>
      <c r="B4" s="152">
        <v>45868.0</v>
      </c>
      <c r="C4" s="40" t="s">
        <v>375</v>
      </c>
      <c r="D4" s="41">
        <v>30909.0</v>
      </c>
      <c r="E4" s="42" t="s">
        <v>376</v>
      </c>
      <c r="F4" s="313"/>
      <c r="G4" s="314">
        <v>3500.0</v>
      </c>
      <c r="H4" s="312"/>
      <c r="I4" s="252"/>
      <c r="J4" s="253"/>
      <c r="K4" s="254" t="s">
        <v>18</v>
      </c>
      <c r="L4" s="255" t="s">
        <v>377</v>
      </c>
      <c r="M4" s="254" t="s">
        <v>131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79" t="s">
        <v>20</v>
      </c>
      <c r="B5" s="30">
        <v>45869.0</v>
      </c>
      <c r="C5" s="31" t="s">
        <v>378</v>
      </c>
      <c r="D5" s="32">
        <v>42095.0</v>
      </c>
      <c r="E5" s="305" t="s">
        <v>83</v>
      </c>
      <c r="F5" s="306"/>
      <c r="G5" s="34"/>
      <c r="H5" s="307">
        <v>5840.0</v>
      </c>
      <c r="I5" s="259"/>
      <c r="J5" s="260"/>
      <c r="K5" s="248" t="s">
        <v>18</v>
      </c>
      <c r="L5" s="247" t="s">
        <v>379</v>
      </c>
      <c r="M5" s="248" t="s">
        <v>380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30">
        <v>45869.0</v>
      </c>
      <c r="C6" s="31" t="s">
        <v>381</v>
      </c>
      <c r="D6" s="32">
        <v>10006.0</v>
      </c>
      <c r="E6" s="305" t="s">
        <v>28</v>
      </c>
      <c r="F6" s="306"/>
      <c r="G6" s="308"/>
      <c r="H6" s="315">
        <v>5000.0</v>
      </c>
      <c r="I6" s="103"/>
      <c r="J6" s="104"/>
      <c r="K6" s="248" t="s">
        <v>18</v>
      </c>
      <c r="L6" s="247" t="s">
        <v>382</v>
      </c>
      <c r="M6" s="248" t="s">
        <v>380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9" t="s">
        <v>26</v>
      </c>
      <c r="B7" s="30">
        <v>45869.0</v>
      </c>
      <c r="C7" s="31" t="s">
        <v>383</v>
      </c>
      <c r="D7" s="32">
        <v>51017.0</v>
      </c>
      <c r="E7" s="305" t="s">
        <v>151</v>
      </c>
      <c r="F7" s="306"/>
      <c r="G7" s="308">
        <v>7500.0</v>
      </c>
      <c r="H7" s="309"/>
      <c r="I7" s="103"/>
      <c r="J7" s="104"/>
      <c r="K7" s="248" t="s">
        <v>18</v>
      </c>
      <c r="L7" s="247" t="s">
        <v>384</v>
      </c>
      <c r="M7" s="248" t="s">
        <v>380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29</v>
      </c>
      <c r="B8" s="30">
        <v>45869.0</v>
      </c>
      <c r="C8" s="31" t="s">
        <v>385</v>
      </c>
      <c r="D8" s="32">
        <v>21828.0</v>
      </c>
      <c r="E8" s="305" t="s">
        <v>101</v>
      </c>
      <c r="F8" s="306"/>
      <c r="G8" s="308">
        <v>2600.0</v>
      </c>
      <c r="H8" s="309"/>
      <c r="I8" s="103"/>
      <c r="J8" s="104"/>
      <c r="K8" s="248" t="s">
        <v>18</v>
      </c>
      <c r="L8" s="247" t="s">
        <v>386</v>
      </c>
      <c r="M8" s="248" t="s">
        <v>380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83" t="s">
        <v>32</v>
      </c>
      <c r="B9" s="152">
        <v>45869.0</v>
      </c>
      <c r="C9" s="40" t="s">
        <v>387</v>
      </c>
      <c r="D9" s="41">
        <v>10006.0</v>
      </c>
      <c r="E9" s="256" t="s">
        <v>28</v>
      </c>
      <c r="F9" s="310"/>
      <c r="G9" s="243"/>
      <c r="H9" s="251">
        <v>2950.0</v>
      </c>
      <c r="I9" s="103"/>
      <c r="J9" s="104"/>
      <c r="K9" s="254" t="s">
        <v>18</v>
      </c>
      <c r="L9" s="247" t="s">
        <v>272</v>
      </c>
      <c r="M9" s="248" t="s">
        <v>380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35</v>
      </c>
      <c r="B10" s="152">
        <v>45869.0</v>
      </c>
      <c r="C10" s="40" t="s">
        <v>388</v>
      </c>
      <c r="D10" s="41">
        <v>58257.0</v>
      </c>
      <c r="E10" s="256" t="s">
        <v>34</v>
      </c>
      <c r="F10" s="311"/>
      <c r="G10" s="250"/>
      <c r="H10" s="298">
        <v>2500.0</v>
      </c>
      <c r="I10" s="103"/>
      <c r="J10" s="104"/>
      <c r="K10" s="248" t="s">
        <v>18</v>
      </c>
      <c r="L10" s="247" t="s">
        <v>389</v>
      </c>
      <c r="M10" s="248" t="s">
        <v>380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 t="s">
        <v>72</v>
      </c>
      <c r="B11" s="152">
        <v>45869.0</v>
      </c>
      <c r="C11" s="40" t="s">
        <v>390</v>
      </c>
      <c r="D11" s="41">
        <v>10357.0</v>
      </c>
      <c r="E11" s="256" t="s">
        <v>17</v>
      </c>
      <c r="F11" s="311"/>
      <c r="G11" s="250"/>
      <c r="H11" s="298">
        <v>4500.0</v>
      </c>
      <c r="I11" s="103"/>
      <c r="J11" s="104"/>
      <c r="K11" s="248" t="s">
        <v>18</v>
      </c>
      <c r="L11" s="247" t="s">
        <v>391</v>
      </c>
      <c r="M11" s="248" t="s">
        <v>380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83" t="s">
        <v>343</v>
      </c>
      <c r="B12" s="152">
        <v>45869.0</v>
      </c>
      <c r="C12" s="40" t="s">
        <v>392</v>
      </c>
      <c r="D12" s="41">
        <v>10006.0</v>
      </c>
      <c r="E12" s="256" t="s">
        <v>28</v>
      </c>
      <c r="F12" s="311"/>
      <c r="G12" s="250"/>
      <c r="H12" s="298">
        <v>15000.0</v>
      </c>
      <c r="I12" s="103"/>
      <c r="J12" s="104"/>
      <c r="K12" s="248" t="s">
        <v>18</v>
      </c>
      <c r="L12" s="247" t="s">
        <v>393</v>
      </c>
      <c r="M12" s="248" t="s">
        <v>380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79" t="s">
        <v>346</v>
      </c>
      <c r="B13" s="152">
        <v>45869.0</v>
      </c>
      <c r="C13" s="40" t="s">
        <v>394</v>
      </c>
      <c r="D13" s="41">
        <v>92290.0</v>
      </c>
      <c r="E13" s="256" t="s">
        <v>395</v>
      </c>
      <c r="F13" s="310">
        <v>300.0</v>
      </c>
      <c r="G13" s="250"/>
      <c r="H13" s="151"/>
      <c r="I13" s="103"/>
      <c r="J13" s="104"/>
      <c r="K13" s="248" t="s">
        <v>18</v>
      </c>
      <c r="L13" s="247" t="s">
        <v>396</v>
      </c>
      <c r="M13" s="248" t="s">
        <v>380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16" t="s">
        <v>397</v>
      </c>
      <c r="B14" s="152">
        <v>45869.0</v>
      </c>
      <c r="C14" s="40" t="s">
        <v>398</v>
      </c>
      <c r="D14" s="41">
        <v>10249.0</v>
      </c>
      <c r="E14" s="256" t="s">
        <v>53</v>
      </c>
      <c r="F14" s="310">
        <v>2040.0</v>
      </c>
      <c r="G14" s="250"/>
      <c r="H14" s="151"/>
      <c r="I14" s="103"/>
      <c r="J14" s="104"/>
      <c r="K14" s="248" t="s">
        <v>18</v>
      </c>
      <c r="L14" s="247" t="s">
        <v>399</v>
      </c>
      <c r="M14" s="248" t="s">
        <v>380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83" t="s">
        <v>400</v>
      </c>
      <c r="B15" s="152">
        <v>45869.0</v>
      </c>
      <c r="C15" s="40" t="s">
        <v>401</v>
      </c>
      <c r="D15" s="41">
        <v>88772.0</v>
      </c>
      <c r="E15" s="256" t="s">
        <v>402</v>
      </c>
      <c r="F15" s="311"/>
      <c r="G15" s="312"/>
      <c r="H15" s="250">
        <v>2400.0</v>
      </c>
      <c r="I15" s="103"/>
      <c r="J15" s="104"/>
      <c r="K15" s="254" t="s">
        <v>18</v>
      </c>
      <c r="L15" s="247" t="s">
        <v>403</v>
      </c>
      <c r="M15" s="248" t="s">
        <v>380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79" t="s">
        <v>404</v>
      </c>
      <c r="B16" s="152">
        <v>45869.0</v>
      </c>
      <c r="C16" s="40" t="s">
        <v>405</v>
      </c>
      <c r="D16" s="41">
        <v>10008.0</v>
      </c>
      <c r="E16" s="256" t="s">
        <v>25</v>
      </c>
      <c r="F16" s="310"/>
      <c r="G16" s="151"/>
      <c r="H16" s="250">
        <v>27500.0</v>
      </c>
      <c r="I16" s="103"/>
      <c r="J16" s="104"/>
      <c r="K16" s="254" t="s">
        <v>18</v>
      </c>
      <c r="L16" s="247" t="s">
        <v>406</v>
      </c>
      <c r="M16" s="248" t="s">
        <v>380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16" t="s">
        <v>407</v>
      </c>
      <c r="B17" s="30">
        <v>45869.0</v>
      </c>
      <c r="C17" s="31" t="s">
        <v>408</v>
      </c>
      <c r="D17" s="32">
        <v>10249.0</v>
      </c>
      <c r="E17" s="249" t="s">
        <v>53</v>
      </c>
      <c r="F17" s="151"/>
      <c r="G17" s="43"/>
      <c r="H17" s="298">
        <v>12280.0</v>
      </c>
      <c r="I17" s="316"/>
      <c r="J17" s="104"/>
      <c r="K17" s="254" t="s">
        <v>18</v>
      </c>
      <c r="L17" s="247" t="s">
        <v>409</v>
      </c>
      <c r="M17" s="248" t="s">
        <v>380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79" t="s">
        <v>410</v>
      </c>
      <c r="B18" s="39">
        <v>45869.0</v>
      </c>
      <c r="C18" s="40" t="s">
        <v>411</v>
      </c>
      <c r="D18" s="41">
        <v>60540.0</v>
      </c>
      <c r="E18" s="42" t="s">
        <v>412</v>
      </c>
      <c r="F18" s="47"/>
      <c r="G18" s="317">
        <v>1400.0</v>
      </c>
      <c r="H18" s="263"/>
      <c r="I18" s="103"/>
      <c r="J18" s="104"/>
      <c r="K18" s="254" t="s">
        <v>18</v>
      </c>
      <c r="L18" s="27" t="s">
        <v>413</v>
      </c>
      <c r="M18" s="248" t="s">
        <v>380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57"/>
      <c r="B19" s="2"/>
      <c r="C19" s="2"/>
      <c r="D19" s="2"/>
      <c r="E19" s="3"/>
      <c r="F19" s="58">
        <f>SUM(F4:F17)</f>
        <v>2340</v>
      </c>
      <c r="G19" s="58">
        <f>SUM(G4:G18)</f>
        <v>15000</v>
      </c>
      <c r="H19" s="58">
        <f t="shared" ref="H19:J19" si="1">SUM(H4:H17)</f>
        <v>77970</v>
      </c>
      <c r="I19" s="58">
        <f t="shared" si="1"/>
        <v>0</v>
      </c>
      <c r="J19" s="58">
        <f t="shared" si="1"/>
        <v>0</v>
      </c>
      <c r="K19" s="59"/>
      <c r="L19" s="59"/>
      <c r="M19" s="60"/>
    </row>
    <row r="20" ht="48.0" customHeight="1">
      <c r="F20" s="61">
        <f>F19+G19+H19+I19+J19</f>
        <v>95310</v>
      </c>
      <c r="G20" s="2"/>
      <c r="H20" s="2"/>
      <c r="I20" s="2"/>
      <c r="J2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E40" s="186" t="s">
        <v>181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2">
    <mergeCell ref="K2:K3"/>
    <mergeCell ref="L2:L3"/>
    <mergeCell ref="E2:E3"/>
    <mergeCell ref="A19:E19"/>
    <mergeCell ref="F20:J2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2025-05-23T09:15:12Z</dcterms:created>
  <dc:creator>A4S CS</dc:creator>
</cp:coreProperties>
</file>
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 ส.ค. 2568" sheetId="1" r:id="rId4"/>
    <sheet state="visible" name="ง 31 ส.ค. 2568" sheetId="2" r:id="rId5"/>
    <sheet state="visible" name="31 ส.ค.- 1 ก.ย.  2568" sheetId="3" r:id="rId6"/>
    <sheet state="visible" name="2ก.ย.  2568" sheetId="4" r:id="rId7"/>
    <sheet state="visible" name="3 ก.ย.  2568" sheetId="5" r:id="rId8"/>
    <sheet state="visible" name="4 ก.ย.  2568" sheetId="6" r:id="rId9"/>
    <sheet state="visible" name="5 ก.ย.  2568" sheetId="7" r:id="rId10"/>
    <sheet state="visible" name="6 ก.ย.  2568" sheetId="8" r:id="rId11"/>
    <sheet state="visible" name="7 ก.ย.  2568" sheetId="9" r:id="rId12"/>
    <sheet state="visible" name="8 ก.ย.  2568" sheetId="10" r:id="rId13"/>
    <sheet state="visible" name="9 ก.ย.  2568" sheetId="11" r:id="rId14"/>
    <sheet state="visible" name="10 ก.ย.  2568" sheetId="12" r:id="rId15"/>
    <sheet state="visible" name="11 ก.ย.  2568" sheetId="13" r:id="rId16"/>
    <sheet state="visible" name="12 ก.ย.  2568" sheetId="14" r:id="rId17"/>
    <sheet state="visible" name="13 ก.ย.  2568" sheetId="15" r:id="rId18"/>
    <sheet state="visible" name="14 ก.ย.  2568" sheetId="16" r:id="rId19"/>
    <sheet state="visible" name="15 ก.ย.  2568" sheetId="17" r:id="rId20"/>
    <sheet state="visible" name="16 ก.ย.  2568" sheetId="18" r:id="rId21"/>
    <sheet state="visible" name="17 ก.ย.  2568" sheetId="19" r:id="rId22"/>
    <sheet state="visible" name="18 ก.ย.  2568" sheetId="20" r:id="rId23"/>
    <sheet state="visible" name="19-20 ก.ย.  2568" sheetId="21" r:id="rId24"/>
    <sheet state="visible" name="21   ก.ย.  2568" sheetId="22" r:id="rId25"/>
    <sheet state="visible" name="22 ก.ย.  2568" sheetId="23" r:id="rId26"/>
    <sheet state="visible" name="23 ก.ย.  2568" sheetId="24" r:id="rId27"/>
    <sheet state="visible" name="24 ก.ย.  2568" sheetId="25" r:id="rId28"/>
    <sheet state="visible" name="25  ก.ย.  2568" sheetId="26" r:id="rId29"/>
    <sheet state="visible" name="26  ก.ย.  2568" sheetId="27" r:id="rId30"/>
    <sheet state="visible" name="27  ก.ย.  2568" sheetId="28" r:id="rId31"/>
    <sheet state="visible" name="28  ก.ย.  2568" sheetId="29" r:id="rId32"/>
    <sheet state="visible" name="29  ก.ย.  2568" sheetId="30" r:id="rId33"/>
    <sheet state="visible" name="30 ก.ย.  2568" sheetId="31" r:id="rId34"/>
    <sheet state="visible" name="1  ต.ค.  2568" sheetId="32" r:id="rId35"/>
    <sheet state="visible" name=". 2 ต.ค.  2568" sheetId="33" r:id="rId36"/>
  </sheets>
  <definedNames/>
  <calcPr/>
  <extLst>
    <ext uri="GoogleSheetsCustomDataVersion2">
      <go:sheetsCustomData xmlns:go="http://customooxmlschemas.google.com/" r:id="rId37" roundtripDataChecksum="LlhZcdgUc34tPmUbxz0JfXJCoDmrFsNBOsp4EqaowGc="/>
    </ext>
  </extLst>
</workbook>
</file>

<file path=xl/sharedStrings.xml><?xml version="1.0" encoding="utf-8"?>
<sst xmlns="http://schemas.openxmlformats.org/spreadsheetml/2006/main" count="1689" uniqueCount="478">
  <si>
    <t xml:space="preserve">              สรุปยอด บิลออนไลน์  จัดส่ง / นำเข้า DP ดึงตั้งแต่  30 สิงหาคม 2568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</si>
  <si>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</si>
  <si>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</si>
  <si>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</si>
  <si>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</si>
  <si>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</si>
  <si>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</si>
  <si>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</si>
  <si>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</si>
  <si>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</si>
  <si>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QR</t>
  </si>
  <si>
    <t>payment</t>
  </si>
  <si>
    <t>e-wallet</t>
  </si>
  <si>
    <t>หักคอม</t>
  </si>
  <si>
    <t>arp (usd)</t>
  </si>
  <si>
    <t>1</t>
  </si>
  <si>
    <t>8/29/2025</t>
  </si>
  <si>
    <t>STHONLIN2508006082</t>
  </si>
  <si>
    <t>บริษัท  ต.ศรีโสภณ จำกัด (สำนักงานใหญ่)</t>
  </si>
  <si>
    <t>BKK01</t>
  </si>
  <si>
    <t>20.31น</t>
  </si>
  <si>
    <t>มารับเอง กทม</t>
  </si>
  <si>
    <t>2</t>
  </si>
  <si>
    <t>8/30/2025</t>
  </si>
  <si>
    <t>STHONLIN2508006345</t>
  </si>
  <si>
    <t>บริษัท ดีเวย์ ริชคอร์ป จำกัด(สำนักงานใหญ่)</t>
  </si>
  <si>
    <t>09.40น</t>
  </si>
  <si>
    <t>จัดส่งกทม.</t>
  </si>
  <si>
    <t>3</t>
  </si>
  <si>
    <t>STHONLIN2508006360</t>
  </si>
  <si>
    <t>ห้างหุ้นส่วน โกรท โกลเบิล เน็ตเวิร์ก (สำนักงานใหญ่)</t>
  </si>
  <si>
    <t>NB</t>
  </si>
  <si>
    <t>11.38น</t>
  </si>
  <si>
    <t>ส่ง DP</t>
  </si>
  <si>
    <t>4</t>
  </si>
  <si>
    <t>STHONLIN2508006368</t>
  </si>
  <si>
    <t>บริษัท สยามทวีทิพย์ จำกัด(สำนักงานใหญ่)</t>
  </si>
  <si>
    <t>13.00น</t>
  </si>
  <si>
    <t xml:space="preserve">              สรุปยอด บิลออนไลน์  จัดส่ง / นำเข้า DP ดึงตั้งแต่  31 สิงหาคม 2568</t>
  </si>
  <si>
    <t>STHONLIN2508006594</t>
  </si>
  <si>
    <t>นางสาว สุภาพร สรนิกร</t>
  </si>
  <si>
    <t>7.14น</t>
  </si>
  <si>
    <t>STHONLIN2508006596</t>
  </si>
  <si>
    <t>7.21น</t>
  </si>
  <si>
    <t>รับเอง DP</t>
  </si>
  <si>
    <t>STHONLIN2508006611</t>
  </si>
  <si>
    <t>นางสาว พัชรมณฑ์ พรมทา</t>
  </si>
  <si>
    <t>10.14น</t>
  </si>
  <si>
    <t>STHONLIN2508006612</t>
  </si>
  <si>
    <t>10.41น</t>
  </si>
  <si>
    <t>5</t>
  </si>
  <si>
    <t>STHONLIN2508006615</t>
  </si>
  <si>
    <t>11.06น</t>
  </si>
  <si>
    <t>รับเอง กทม.</t>
  </si>
  <si>
    <t>6</t>
  </si>
  <si>
    <t>STHONLIN2508006619</t>
  </si>
  <si>
    <t>14.53น</t>
  </si>
  <si>
    <t>7</t>
  </si>
  <si>
    <t>STHONLIN2508006660</t>
  </si>
  <si>
    <t>นางสาว วันวิสาข แก้วแกมทอง</t>
  </si>
  <si>
    <t>15.09น</t>
  </si>
  <si>
    <t>8</t>
  </si>
  <si>
    <t>STHONLIN2508006663</t>
  </si>
  <si>
    <t>นางสาว ธนพรรษ​ ยี่ภู</t>
  </si>
  <si>
    <t>15.25น</t>
  </si>
  <si>
    <t>9</t>
  </si>
  <si>
    <t>STHONLIN2508006666</t>
  </si>
  <si>
    <t>Mr. MEITE  IBRAHIMA</t>
  </si>
  <si>
    <t>17.46น</t>
  </si>
  <si>
    <t>10</t>
  </si>
  <si>
    <t>STHONLIN2508006689</t>
  </si>
  <si>
    <t>นาย ดำรงค์ ปฏิสังข์</t>
  </si>
  <si>
    <t>16.59น</t>
  </si>
  <si>
    <t>11</t>
  </si>
  <si>
    <t>STHONLIN2508006690</t>
  </si>
  <si>
    <t>นางสาว ริญญ์รภัส ศรีศุภณัฐธนากุล</t>
  </si>
  <si>
    <t>17.02น</t>
  </si>
  <si>
    <t>12</t>
  </si>
  <si>
    <t>STHONLIN2508006710</t>
  </si>
  <si>
    <t>17.31น</t>
  </si>
  <si>
    <t>13</t>
  </si>
  <si>
    <t>STHONLIN2508006715</t>
  </si>
  <si>
    <t>นาง กานต์ดาวศี แสงกุล</t>
  </si>
  <si>
    <t>14</t>
  </si>
  <si>
    <t>STHONLIN2508006719</t>
  </si>
  <si>
    <t>15</t>
  </si>
  <si>
    <t xml:space="preserve">              สรุปยอด บิลออนไลน์  จัดส่ง / นำเข้า DP ดึงตั้งแต่  31 สิงหาคม - 1 กันยายน  2568</t>
  </si>
  <si>
    <t>8/31/2025</t>
  </si>
  <si>
    <t>STHONLIN2508006769</t>
  </si>
  <si>
    <t>Mr. Godwin Amanui Ngongang</t>
  </si>
  <si>
    <t>19.17น</t>
  </si>
  <si>
    <t>รอมารับ</t>
  </si>
  <si>
    <t>STHONLIN2508006779</t>
  </si>
  <si>
    <t>Mrs. Judith Kechoyu Nvenyi</t>
  </si>
  <si>
    <t>19.34น</t>
  </si>
  <si>
    <t>STHONLIN2508006787</t>
  </si>
  <si>
    <t>นาย ชาติศักดิ์   แท่งทอง</t>
  </si>
  <si>
    <t>19.55น</t>
  </si>
  <si>
    <t>STHONLIN2508006788</t>
  </si>
  <si>
    <t>นางสาว ธัญญรัตน์ มานะโพน</t>
  </si>
  <si>
    <t>19.58น</t>
  </si>
  <si>
    <t>STHONLIN2508006797</t>
  </si>
  <si>
    <t>นางสาว กิ่งแก้ว บุญโยประการ</t>
  </si>
  <si>
    <t>20.19น</t>
  </si>
  <si>
    <t>STHONLIN2508006805</t>
  </si>
  <si>
    <t>Ms. Mispa Osonge</t>
  </si>
  <si>
    <t>21.00น</t>
  </si>
  <si>
    <t>STHONLIN2509000001</t>
  </si>
  <si>
    <t>บริษัท โคบาราเอฟโวลูชั่น (ประเทศไทย)จำกัด ( สำนักงานใหญ่ )</t>
  </si>
  <si>
    <t>08.49น</t>
  </si>
  <si>
    <t>เรียกแกร๊ป</t>
  </si>
  <si>
    <t>STHONLIN2509000003</t>
  </si>
  <si>
    <t>10.55น</t>
  </si>
  <si>
    <t>STHONLIN2509000004</t>
  </si>
  <si>
    <t>นาย ประชุม มูลศาสตร์</t>
  </si>
  <si>
    <t>15.37น</t>
  </si>
  <si>
    <t xml:space="preserve">จัดส่งกทม </t>
  </si>
  <si>
    <t xml:space="preserve">              สรุปยอด บิลออนไลน์  จัดส่ง / นำเข้า DP ดึงตั้งแต่ 2 กันยายน  2568</t>
  </si>
  <si>
    <t>STHONLIN2509000006</t>
  </si>
  <si>
    <t>นางสาว ประภัสสร  ดีดวงพันธ์</t>
  </si>
  <si>
    <t>STHONLIN2509000011</t>
  </si>
  <si>
    <t>Mr. Kanadei Kpwe Alang</t>
  </si>
  <si>
    <t>22.04o</t>
  </si>
  <si>
    <t>รอมารับเอง</t>
  </si>
  <si>
    <t>STHONLIN2509000017</t>
  </si>
  <si>
    <t>22.37น</t>
  </si>
  <si>
    <t>STHONLIN2509000028</t>
  </si>
  <si>
    <t>22.26น</t>
  </si>
  <si>
    <t>STHONLIN2509000037</t>
  </si>
  <si>
    <t>23.06น</t>
  </si>
  <si>
    <t>STHONLIN2509000179</t>
  </si>
  <si>
    <t>Mr. BAMBA ABDUL HAMID</t>
  </si>
  <si>
    <t>9.38น</t>
  </si>
  <si>
    <t>STHONLIN2509000180</t>
  </si>
  <si>
    <t>Mrs. MOHAMMED RUKAYATU</t>
  </si>
  <si>
    <t>10.01น</t>
  </si>
  <si>
    <t>STHONLIN2509000181</t>
  </si>
  <si>
    <t>บริษัท สวนสุข จำกัด(สำนักงานใหญ่)</t>
  </si>
  <si>
    <t>10.32น</t>
  </si>
  <si>
    <t>STHONLIN2509000182</t>
  </si>
  <si>
    <t>นาย สุวิทย์  รองชูเพ็ง</t>
  </si>
  <si>
    <t>NP</t>
  </si>
  <si>
    <t>10.59น</t>
  </si>
  <si>
    <t>STHONLIN2509000192</t>
  </si>
  <si>
    <t>นาย ฉัตรชัย  ม่องคำหมื่น</t>
  </si>
  <si>
    <t xml:space="preserve">              สรุปยอด บิลออนไลน์  จัดส่ง / นำเข้า DP ดึงตั้งแต่ 3 กันยายน  2568</t>
  </si>
  <si>
    <t>STHONLIN2509000241</t>
  </si>
  <si>
    <t>STHONLIN2509000248</t>
  </si>
  <si>
    <t>Mr. Abdouraman   Ousmanou</t>
  </si>
  <si>
    <t>STHONLIN2509000398</t>
  </si>
  <si>
    <t>จุฑามาศ ครุฑกษัติย์ไทย</t>
  </si>
  <si>
    <t>STHONLIN2509000408</t>
  </si>
  <si>
    <t>นาง ทัศนา เลื่อมสำราญ</t>
  </si>
  <si>
    <t>จัดส่่งกทม</t>
  </si>
  <si>
    <t>STHONLIN2509000421</t>
  </si>
  <si>
    <t>STHONLIN2509000230</t>
  </si>
  <si>
    <t>นางสาว สมพร สุพงศ์พาณิช</t>
  </si>
  <si>
    <t>18.36น</t>
  </si>
  <si>
    <t>รับเอง</t>
  </si>
  <si>
    <t>STHONLIN2509000400</t>
  </si>
  <si>
    <t>10.05น</t>
  </si>
  <si>
    <t>STHONLIN2509000403</t>
  </si>
  <si>
    <t>นาย พิสิฐพงษ์  ยอดจันทร์</t>
  </si>
  <si>
    <t>12.56น</t>
  </si>
  <si>
    <t>STHONLIN2509000411</t>
  </si>
  <si>
    <t>นางสาว พิชญ์สินี บุญมีฉิมมา</t>
  </si>
  <si>
    <t>10.56น</t>
  </si>
  <si>
    <t>STHONLIN2509000412</t>
  </si>
  <si>
    <t>นาย ศักดิ์สิทธิ์ เหลือรักษ์</t>
  </si>
  <si>
    <t>12.58น</t>
  </si>
  <si>
    <t xml:space="preserve">              สรุปยอด บิลออนไลน์  จัดส่ง / นำเข้า DP ดึงตั้งแต่ 4 กันยายน  2568</t>
  </si>
  <si>
    <t>STHONLIN2509000776</t>
  </si>
  <si>
    <t>นาย บุญสม อุดมรักษ์</t>
  </si>
  <si>
    <t>9.58น</t>
  </si>
  <si>
    <t>STHONLIN2509000778</t>
  </si>
  <si>
    <t>นางสาว สายสำราญ สีสัย</t>
  </si>
  <si>
    <t>10.02น</t>
  </si>
  <si>
    <t>STHONLIN2509000780</t>
  </si>
  <si>
    <t>นางสาว เขมนิจ  อุดมรักษ์</t>
  </si>
  <si>
    <t>10.06น</t>
  </si>
  <si>
    <t>STHONLIN2509000791</t>
  </si>
  <si>
    <t>นาย ดิเรก  กรีฑา</t>
  </si>
  <si>
    <t>12.44น</t>
  </si>
  <si>
    <t>STHONLIN2509000792</t>
  </si>
  <si>
    <t>13.01น</t>
  </si>
  <si>
    <t xml:space="preserve">              สรุปยอด บิลออนไลน์  จัดส่ง / นำเข้า DP ดึงตั้งแต่ 5 กันยายน  2568</t>
  </si>
  <si>
    <t>STHONLIN2509000864</t>
  </si>
  <si>
    <t>Mr. FREDERICK BALOKO</t>
  </si>
  <si>
    <t>19.21น</t>
  </si>
  <si>
    <t>STHONLIN2509000931</t>
  </si>
  <si>
    <t>9.10น</t>
  </si>
  <si>
    <t>STHONLIN2509000937</t>
  </si>
  <si>
    <t>11.11น</t>
  </si>
  <si>
    <t>STHONLIN2509000939</t>
  </si>
  <si>
    <t>บริษัท เค24 โกลบอล จำกัด (สำนักงานใหญ่)</t>
  </si>
  <si>
    <t>11.16น</t>
  </si>
  <si>
    <t>STHONLIN2509000943</t>
  </si>
  <si>
    <t>นาย สนั่นศักดิ์  สมทอง</t>
  </si>
  <si>
    <t>11.59น</t>
  </si>
  <si>
    <t xml:space="preserve">              สรุปยอด บิลออนไลน์  จัดส่ง / นำเข้า DP ดึงตั้งแต่ 6 กันยายน  2568</t>
  </si>
  <si>
    <t>STHONLIN2509001027</t>
  </si>
  <si>
    <t>22.12น</t>
  </si>
  <si>
    <t>STHONLIN2509001136</t>
  </si>
  <si>
    <t>12.13น</t>
  </si>
  <si>
    <t>จัดส่่งเอง</t>
  </si>
  <si>
    <t>STHONLIN2509001141</t>
  </si>
  <si>
    <t>นาย บูชาติ หาดสร้อย</t>
  </si>
  <si>
    <t>14.29น</t>
  </si>
  <si>
    <t>STHONLIN2509001142</t>
  </si>
  <si>
    <t>นาง อสมากร สุขาล</t>
  </si>
  <si>
    <t>14.31น</t>
  </si>
  <si>
    <t>STHONLIN2509001154</t>
  </si>
  <si>
    <t>นางสาว พิมพ์ชญา  สุริยปรีชาพงษ์</t>
  </si>
  <si>
    <t>STHONLIN2509001368</t>
  </si>
  <si>
    <t>11.43น</t>
  </si>
  <si>
    <t xml:space="preserve">              สรุปยอด บิลออนไลน์  จัดส่ง / นำเข้า DP ดึงตั้งแต่ 8 กันยายน  2568</t>
  </si>
  <si>
    <t>STHONLIN2509001510</t>
  </si>
  <si>
    <t>นางสาว ปภาเกศ สิงหาศรี</t>
  </si>
  <si>
    <t>14.43น</t>
  </si>
  <si>
    <t>STHONLIN2509001519</t>
  </si>
  <si>
    <t>12.07น</t>
  </si>
  <si>
    <t>จััดส่งกทม.</t>
  </si>
  <si>
    <t>STHONLIN2509001527</t>
  </si>
  <si>
    <t>นาย จักรพงศ์ สินธุรักษ์</t>
  </si>
  <si>
    <t>13.05น</t>
  </si>
  <si>
    <t>STHONLIN2509001528</t>
  </si>
  <si>
    <t>นาย สมยศ อภิรัชนากุล</t>
  </si>
  <si>
    <t>13.07น</t>
  </si>
  <si>
    <t xml:space="preserve">              สรุปยอด บิลออนไลน์  จัดส่ง / นำเข้า DP ดึงตั้งแต่ 9 กันยายน  2568</t>
  </si>
  <si>
    <t>STHONLIN2509001879</t>
  </si>
  <si>
    <t>9.31น</t>
  </si>
  <si>
    <t>STHONLIN2509001887</t>
  </si>
  <si>
    <t>นาง ทูนศรี บัวนุช</t>
  </si>
  <si>
    <t>11.00น</t>
  </si>
  <si>
    <t>STHONLIN2509001889</t>
  </si>
  <si>
    <t>11.01น</t>
  </si>
  <si>
    <t>รับเอง NB</t>
  </si>
  <si>
    <t>STHONLIN2509001895</t>
  </si>
  <si>
    <t>11.52น</t>
  </si>
  <si>
    <t>STHONLIN2509001896</t>
  </si>
  <si>
    <t>นาย พ.ต.ท นพดล พุฒิพรกุล</t>
  </si>
  <si>
    <t>12.02น</t>
  </si>
  <si>
    <t>STHONLIN2509001897</t>
  </si>
  <si>
    <t>นางสาว ลำใย  เจริญศิริ</t>
  </si>
  <si>
    <t>12.26น</t>
  </si>
  <si>
    <t>STHONLIN2509001901</t>
  </si>
  <si>
    <t>13.31น</t>
  </si>
  <si>
    <t>STHONLIN2509001914</t>
  </si>
  <si>
    <t>นาย ไทคูณ ไพรบึง</t>
  </si>
  <si>
    <t>16.10น</t>
  </si>
  <si>
    <t>STHONLIN2509001915</t>
  </si>
  <si>
    <t>17.14o</t>
  </si>
  <si>
    <t xml:space="preserve">              สรุปยอด บิลออนไลน์  จัดส่ง / นำเข้า DP ดึงตั้งแต่  10  กันยายน  2568</t>
  </si>
  <si>
    <t>STHONLIN2509002084</t>
  </si>
  <si>
    <t>นางสาว ทิพวรรณ ชิณวงค์</t>
  </si>
  <si>
    <t>11.04น</t>
  </si>
  <si>
    <t>STHONLIN2509002027</t>
  </si>
  <si>
    <t>นางสาว มัลลิกา พลรัตน์</t>
  </si>
  <si>
    <t>03.12น</t>
  </si>
  <si>
    <t xml:space="preserve">              สรุปยอด บิลออนไลน์  จัดส่ง / นำเข้า DP ดึงตั้งแต่  11  กันยายน  2568</t>
  </si>
  <si>
    <t>STHONLIN2509002148</t>
  </si>
  <si>
    <t>19.16น</t>
  </si>
  <si>
    <t>STHONLIN2509002362</t>
  </si>
  <si>
    <t>นางสาว กาญจนา บุญเกษม</t>
  </si>
  <si>
    <t>11.10น</t>
  </si>
  <si>
    <t>STHONLIN2509002364</t>
  </si>
  <si>
    <t>11.14น</t>
  </si>
  <si>
    <t>STHONLIN2509002369</t>
  </si>
  <si>
    <t>นางสาว รวีวรรณ จินต์สวัสดิ์</t>
  </si>
  <si>
    <t>13.37น</t>
  </si>
  <si>
    <t xml:space="preserve">              สรุปยอด บิลออนไลน์  จัดส่ง / นำเข้า DP ดึงตั้งแต่  12  กันยายน  2568</t>
  </si>
  <si>
    <t>STHONLIN2509002475</t>
  </si>
  <si>
    <t>นางสาว โสรยา  ไกรพุทธ</t>
  </si>
  <si>
    <t>STHONLIN2509002653</t>
  </si>
  <si>
    <t>STHONLIN2509002655</t>
  </si>
  <si>
    <t>STHONLIN2509002658</t>
  </si>
  <si>
    <t>STHONLIN2509002678</t>
  </si>
  <si>
    <t xml:space="preserve">              สรุปยอด บิลออนไลน์  จัดส่ง / นำเข้า DP ดึงตั้งแต่ 13 กันยายน  2568</t>
  </si>
  <si>
    <t>STHONLIN2509002893</t>
  </si>
  <si>
    <t>STHONLIN2509002894</t>
  </si>
  <si>
    <t>นางสาว คณาง ไพรบึง</t>
  </si>
  <si>
    <t>10.17น</t>
  </si>
  <si>
    <t>STHONLIN2509002895</t>
  </si>
  <si>
    <t>10.40น</t>
  </si>
  <si>
    <t>จัดส่ง</t>
  </si>
  <si>
    <t>STHONLIN2509002896</t>
  </si>
  <si>
    <t>STHONLIN2509002897</t>
  </si>
  <si>
    <t>นาย ธนบูลย์ แสงฐิตาพันธุ์</t>
  </si>
  <si>
    <t>11.08น</t>
  </si>
  <si>
    <t>STHONLIN2509002898</t>
  </si>
  <si>
    <t>นางสาว นัสรีน  เจริญพร</t>
  </si>
  <si>
    <t>11.27น</t>
  </si>
  <si>
    <t>STHONLIN2509002899</t>
  </si>
  <si>
    <t>นาย สิปปภาส  โรจนวสุธร</t>
  </si>
  <si>
    <t>12.16น</t>
  </si>
  <si>
    <t>STHONLIN2509002928</t>
  </si>
  <si>
    <t>14.36น</t>
  </si>
  <si>
    <t xml:space="preserve">              สรุปยอด บิลออนไลน์  จัดส่ง / นำเข้า DP ดึงตั้งแต่ 14 กันยายน  2568</t>
  </si>
  <si>
    <t>STHONLIN2509003075</t>
  </si>
  <si>
    <t>12.10น</t>
  </si>
  <si>
    <t>STHONLIN2509003120</t>
  </si>
  <si>
    <t>นางสาว นฤชา  แสงระวี</t>
  </si>
  <si>
    <t>17.17น</t>
  </si>
  <si>
    <t xml:space="preserve">              สรุปยอด บิลออนไลน์  จัดส่ง / นำเข้า DP ดึงตั้งแต่ 15 กันยายน  2568</t>
  </si>
  <si>
    <t>9/14/2025</t>
  </si>
  <si>
    <t>STHONLIN2509003127</t>
  </si>
  <si>
    <t>นาย ปริญพัชร์ ศรีศุภณัฐธนากุล</t>
  </si>
  <si>
    <t>20.06 น.</t>
  </si>
  <si>
    <t>จ้ดส่งกทม.</t>
  </si>
  <si>
    <t>STHONLIN2509003129</t>
  </si>
  <si>
    <t>20.35 น.</t>
  </si>
  <si>
    <t>STHONLIN2509003137</t>
  </si>
  <si>
    <t>นาง ดาวรุ้ง แหลมไธสง</t>
  </si>
  <si>
    <t>9/15/2025</t>
  </si>
  <si>
    <t>STHONLIN2509003231</t>
  </si>
  <si>
    <t>09.19 น.</t>
  </si>
  <si>
    <t>STHONLIN2509003232</t>
  </si>
  <si>
    <t>นาย ไชยพงศ์ รุ่งอำพินธ์</t>
  </si>
  <si>
    <t>10.23 น.</t>
  </si>
  <si>
    <t>STHONLIN2509003234</t>
  </si>
  <si>
    <t>10.35 น.</t>
  </si>
  <si>
    <t>STHONLIN2509003237</t>
  </si>
  <si>
    <t>นาย อภินันท์ หนูนัง</t>
  </si>
  <si>
    <t>STHONLIN2509003239</t>
  </si>
  <si>
    <t>11.55 น.</t>
  </si>
  <si>
    <t>จัดส่่ง</t>
  </si>
  <si>
    <t>STHONLIN2509003256</t>
  </si>
  <si>
    <t>14.24 น.</t>
  </si>
  <si>
    <t>ส่งDP</t>
  </si>
  <si>
    <t>STHONLIN2509003292</t>
  </si>
  <si>
    <t>นางสาว อิสรีย์ ธนะมูล</t>
  </si>
  <si>
    <t>16.57 น.</t>
  </si>
  <si>
    <t>STHONLIN2509003233</t>
  </si>
  <si>
    <t>นาย อนันต์กฤช เต็มศิริพันธุ์</t>
  </si>
  <si>
    <t>10.27 น.</t>
  </si>
  <si>
    <t xml:space="preserve">              สรุปยอด บิลออนไลน์  จัดส่ง / นำเข้า DP ดึงตั้งแต่ 16 กันยายน  2568</t>
  </si>
  <si>
    <t>STHONLIN2509003302</t>
  </si>
  <si>
    <t>17.52น</t>
  </si>
  <si>
    <t>STHONLIN2509003369</t>
  </si>
  <si>
    <t>STHONLIN2509003498</t>
  </si>
  <si>
    <t xml:space="preserve">              สรุปยอด บิลออนไลน์  จัดส่ง / นำเข้า DP ดึงตั้งแต่ 17 กันยายน  2568</t>
  </si>
  <si>
    <t>STHONLIN2509003581</t>
  </si>
  <si>
    <t>STHONLIN2509003689</t>
  </si>
  <si>
    <t>8.39น</t>
  </si>
  <si>
    <t>STHONLIN2509003690</t>
  </si>
  <si>
    <t>12.06น</t>
  </si>
  <si>
    <t xml:space="preserve">              สรุปยอด บิลออนไลน์  จัดส่ง / นำเข้า DP ดึงตั้งแต่ 18 กันยายน  2568</t>
  </si>
  <si>
    <t>STHONLIN2509003859</t>
  </si>
  <si>
    <t>11.31น</t>
  </si>
  <si>
    <t>STHONLIN2509003860</t>
  </si>
  <si>
    <t>11.53น</t>
  </si>
  <si>
    <t>STHONLIN2509003888</t>
  </si>
  <si>
    <t>นาย เก่งภพ ศุภาภพปภาส</t>
  </si>
  <si>
    <t>16.46น</t>
  </si>
  <si>
    <t xml:space="preserve">              สรุปยอด บิลออนไลน์  จัดส่ง / นำเข้า DP ดึงตั้งแต่ 19-20  กันยายน  2568</t>
  </si>
  <si>
    <t>STHONLIN2509003913</t>
  </si>
  <si>
    <t>บริษัท ต.ศรีโสภณ จำกัด (สำนักงานใหญ่)</t>
  </si>
  <si>
    <t>18.48น</t>
  </si>
  <si>
    <t>มารับเอง</t>
  </si>
  <si>
    <t>STHONLIN2509004243</t>
  </si>
  <si>
    <t>08.30น</t>
  </si>
  <si>
    <t>ส่ง NB</t>
  </si>
  <si>
    <t>STHONLIN2509004245</t>
  </si>
  <si>
    <t>นาย สุวิทย์ รองชูเพ็ง</t>
  </si>
  <si>
    <t>09.37น</t>
  </si>
  <si>
    <t>STHONLIN2509004277</t>
  </si>
  <si>
    <t>12.25น</t>
  </si>
  <si>
    <t>STHONLIN2509004293</t>
  </si>
  <si>
    <t>14.07น</t>
  </si>
  <si>
    <t xml:space="preserve">              สรุปยอด บิลออนไลน์  จัดส่ง / นำเข้า DP ดึงตั้งแต่   21  กันยายน  2568</t>
  </si>
  <si>
    <t>STHONLIN2509004429</t>
  </si>
  <si>
    <t>22.26น.</t>
  </si>
  <si>
    <t>STHONLIN2509004558</t>
  </si>
  <si>
    <t>09.32น.</t>
  </si>
  <si>
    <t>STHONLIN2509004559</t>
  </si>
  <si>
    <t>09.48น.</t>
  </si>
  <si>
    <t>STHONLIN2509004569</t>
  </si>
  <si>
    <t>11.16น.</t>
  </si>
  <si>
    <t>STHONLIN2509004572</t>
  </si>
  <si>
    <t>12.38น.</t>
  </si>
  <si>
    <t>รับที่รร.เอสรัชดา</t>
  </si>
  <si>
    <t xml:space="preserve">              สรุปยอด บิลออนไลน์  จัดส่ง / นำเข้า DP ดึงตั้งแต่   22  กันยายน  2568</t>
  </si>
  <si>
    <t>STHONLIN2509004618</t>
  </si>
  <si>
    <t>18.44น.</t>
  </si>
  <si>
    <t xml:space="preserve"> มารับเอง</t>
  </si>
  <si>
    <t>STHONLIN2509004727</t>
  </si>
  <si>
    <t>09.33น.</t>
  </si>
  <si>
    <t>STHONLIN2509004729</t>
  </si>
  <si>
    <t>Mr. MONDONG GILBERT KUDIANG</t>
  </si>
  <si>
    <t>11.22น.</t>
  </si>
  <si>
    <t xml:space="preserve">              สรุปยอด บิลออนไลน์  จัดส่ง / นำเข้า DP ดึงตั้งแต่   23  กันยายน  2568</t>
  </si>
  <si>
    <t>STHONLIN2509005095</t>
  </si>
  <si>
    <t>รับเองกทม.</t>
  </si>
  <si>
    <t>STHONLIN2509005096</t>
  </si>
  <si>
    <t>STHONLIN2509005098</t>
  </si>
  <si>
    <t>STHONLIN2509005100</t>
  </si>
  <si>
    <t>STHONLIN2509005118</t>
  </si>
  <si>
    <t>STHONLIN2509005119</t>
  </si>
  <si>
    <t>STHONLIN2509005121</t>
  </si>
  <si>
    <t>STHONLIN2509005124</t>
  </si>
  <si>
    <t>STHONLIN2509005132</t>
  </si>
  <si>
    <t>นาย วัชร์ชาพล ไชยกุลประเสริฐ</t>
  </si>
  <si>
    <t>STHONLIN2509005133</t>
  </si>
  <si>
    <t>STHONLIN2509005136</t>
  </si>
  <si>
    <t>นาย เอกภาพ เจตมงคลนวัช</t>
  </si>
  <si>
    <t>STHONLIN2509005137</t>
  </si>
  <si>
    <t>นาง วาสนา นาสวน</t>
  </si>
  <si>
    <t xml:space="preserve">              สรุปยอด บิลออนไลน์  จัดส่ง / นำเข้า DP ดึงตั้งแต่   24  กันยายน  2568</t>
  </si>
  <si>
    <t>9/23/2025</t>
  </si>
  <si>
    <t>STHONLIN2509005222</t>
  </si>
  <si>
    <t>22.20น.</t>
  </si>
  <si>
    <t>9/24/2025</t>
  </si>
  <si>
    <t>STHONLIN2509005409</t>
  </si>
  <si>
    <t>นาย สมศักดิ์  แสงรัตนเจริญ</t>
  </si>
  <si>
    <t>07.06น.</t>
  </si>
  <si>
    <t>STHONLIN2509005420</t>
  </si>
  <si>
    <t>08.50น.</t>
  </si>
  <si>
    <t>STHONLIN2509005421</t>
  </si>
  <si>
    <t>11.03น.</t>
  </si>
  <si>
    <t>STHONLIN2509005422</t>
  </si>
  <si>
    <t>นาง ดุษณี  เจมส์</t>
  </si>
  <si>
    <t>12.04น.</t>
  </si>
  <si>
    <t>STHONLIN2509005423</t>
  </si>
  <si>
    <t>12.05น.</t>
  </si>
  <si>
    <t>STHONLIN2509005426</t>
  </si>
  <si>
    <t>13.43น.</t>
  </si>
  <si>
    <t>STHONLIN2509005433</t>
  </si>
  <si>
    <t>นางสาว ธนิชชนันท์ สิริภาคยะประภา</t>
  </si>
  <si>
    <t>14.41น.</t>
  </si>
  <si>
    <t>STHONLIN2509005447</t>
  </si>
  <si>
    <t>16.27น.</t>
  </si>
  <si>
    <t>STHONLIN2509005513</t>
  </si>
  <si>
    <t>นาง นิธิกานต์ สโคลเลอร์</t>
  </si>
  <si>
    <t>STHONLIN2509005646</t>
  </si>
  <si>
    <t>STHONLIN2509005649</t>
  </si>
  <si>
    <t>นางสาว ดารดี ญาณกวี</t>
  </si>
  <si>
    <t>STHONLIN2509005650</t>
  </si>
  <si>
    <t>STHONLIN2509005670</t>
  </si>
  <si>
    <t>STHONLIN2509005673</t>
  </si>
  <si>
    <t>STHONLIN2509005681</t>
  </si>
  <si>
    <t>จัดส่่ง DP</t>
  </si>
  <si>
    <t xml:space="preserve">              สรุปยอด บิลออนไลน์  จัดส่ง / นำเข้า DP ดึงตั้งแต่   26  กันยายน  2568</t>
  </si>
  <si>
    <t>STHONLIN2509005910</t>
  </si>
  <si>
    <t xml:space="preserve">              สรุปยอด บิลออนไลน์  จัดส่ง / นำเข้า DP ดึงตั้งแต่   27  กันยายน  2568</t>
  </si>
  <si>
    <t>STHONLIN2509006111</t>
  </si>
  <si>
    <t>นางสาว ประภัสสร ดีดวงพันธ์</t>
  </si>
  <si>
    <t>13.18น</t>
  </si>
  <si>
    <t xml:space="preserve">              สรุปยอด บิลออนไลน์  จัดส่ง / นำเข้า DP ดึงตั้งแต่   28  กันยายน  2568</t>
  </si>
  <si>
    <t>ไม่มีบิลออนไลน์</t>
  </si>
  <si>
    <t xml:space="preserve">              สรุปยอด บิลออนไลน์  จัดส่ง / นำเข้า DP ดึงตั้งแต่   29  กันยายน  2568</t>
  </si>
  <si>
    <t>STHONLIN2509006401</t>
  </si>
  <si>
    <t>BKK</t>
  </si>
  <si>
    <t>STHONLIN2509006402</t>
  </si>
  <si>
    <t>STHONLIN2509006406</t>
  </si>
  <si>
    <t>STHONLIN2509006582</t>
  </si>
  <si>
    <t>STHONLIN2509006602</t>
  </si>
  <si>
    <t>STHONLIN2509006603</t>
  </si>
  <si>
    <t>นางสาว กวินพรรณ สารบุตร</t>
  </si>
  <si>
    <t xml:space="preserve">              สรุปยอด บิลออนไลน์  จัดส่ง / นำเข้า DP ดึงตั้งแต่   30  กันยายน  2568</t>
  </si>
  <si>
    <t>9/29/2025</t>
  </si>
  <si>
    <t>STHONLIN2509006779</t>
  </si>
  <si>
    <t>9/30/2025</t>
  </si>
  <si>
    <t>STHONLIN2509006923</t>
  </si>
  <si>
    <t>นางสาว ภาพิมล  ฉัตรเฉลิมวิทย์</t>
  </si>
  <si>
    <t>STHONLIN2509007014</t>
  </si>
  <si>
    <t>STHONLIN2509007099</t>
  </si>
  <si>
    <t>STHONLIN2509007102</t>
  </si>
  <si>
    <t>นางสาว เบ็ญจมาศ พรรณารุโณทัย</t>
  </si>
  <si>
    <t xml:space="preserve">จัดส่ง </t>
  </si>
  <si>
    <t>STHONLIN2509007171</t>
  </si>
  <si>
    <t>STHONLIN2509007231</t>
  </si>
  <si>
    <t>นาย ภูมิรพี โสภา</t>
  </si>
  <si>
    <t>STHONLIN2509007259</t>
  </si>
  <si>
    <t>นาย สุชิน ปั้นลาภ</t>
  </si>
  <si>
    <t>STHONLIN2509007298</t>
  </si>
  <si>
    <t>นางสาว ภูว์ศรีลักษณ์ โพธิ์ศรีรัตนบุศย์</t>
  </si>
  <si>
    <t xml:space="preserve">              สรุปยอด บิลออนไลน์  จัดส่ง / นำเข้า DP ดึงตั้งแต่   2 ตุลาคม   2568</t>
  </si>
  <si>
    <t>ไม่มี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</si>
</sst>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/m/yyyy"/>
    <numFmt numFmtId="166" formatCode="m/d/yyyy"/>
  </numFmts>
  <fonts count="34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29.0"/>
      <color rgb="FF000000"/>
      <name val="Angsana New"/>
    </font>
    <font>
      <b/>
      <sz val="22.0"/>
      <color theme="1"/>
      <name val="Arial"/>
    </font>
    <font>
      <b/>
      <sz val="18.0"/>
      <color theme="1"/>
      <name val="Arial"/>
    </font>
    <font>
      <b/>
      <sz val="23.0"/>
      <color theme="1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26.0"/>
      <color rgb="FF000000"/>
      <name val="Arial"/>
    </font>
    <font>
      <b/>
      <sz val="29.0"/>
      <color rgb="FFFF0000"/>
      <name val="Arial"/>
    </font>
    <font>
      <b/>
      <sz val="22.0"/>
      <color rgb="FF000000"/>
      <name val="Arial"/>
    </font>
    <font>
      <sz val="29.0"/>
      <color theme="1"/>
      <name val="Aptos Narrow"/>
    </font>
    <font>
      <sz val="26.0"/>
      <color theme="1"/>
      <name val="Arial"/>
    </font>
    <font>
      <sz val="25.0"/>
      <color theme="1"/>
      <name val="Arial"/>
    </font>
    <font>
      <b/>
      <sz val="21.0"/>
      <color theme="1"/>
      <name val="Arial"/>
    </font>
    <font>
      <sz val="22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0.0"/>
      <color rgb="FF000000"/>
      <name val="&quot;Times New Roman&quot;"/>
    </font>
    <font>
      <sz val="23.0"/>
      <color rgb="FF000000"/>
      <name val="&quot;Times New Roman&quot;"/>
    </font>
    <font>
      <sz val="18.0"/>
      <color theme="1"/>
      <name val="Arial"/>
    </font>
    <font>
      <color theme="1"/>
      <name val="Arial"/>
    </font>
    <font>
      <sz val="24.0"/>
      <color theme="1"/>
      <name val="Arial"/>
    </font>
    <font>
      <b/>
      <sz val="24.0"/>
      <color rgb="FF000000"/>
      <name val="Arial"/>
    </font>
    <font>
      <sz val="25.0"/>
      <color rgb="FFFF0000"/>
      <name val="Arial"/>
    </font>
    <font>
      <sz val="29.0"/>
      <color rgb="FFFF0000"/>
      <name val="Arial"/>
    </font>
    <font>
      <sz val="23.0"/>
      <color theme="1"/>
      <name val="Arial"/>
    </font>
    <font>
      <b/>
      <sz val="18.0"/>
      <color rgb="FFFF0000"/>
      <name val="Arial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3" fillId="0" fontId="2" numFmtId="0" xfId="0" applyBorder="1" applyFont="1"/>
    <xf borderId="12" fillId="4" fontId="5" numFmtId="49" xfId="0" applyAlignment="1" applyBorder="1" applyFill="1" applyFont="1" applyNumberFormat="1">
      <alignment horizontal="center" shrinkToFit="0" vertical="center" wrapText="0"/>
    </xf>
    <xf borderId="13" fillId="4" fontId="6" numFmtId="0" xfId="0" applyAlignment="1" applyBorder="1" applyFont="1">
      <alignment horizontal="center" vertical="bottom"/>
    </xf>
    <xf borderId="13" fillId="4" fontId="4" numFmtId="4" xfId="0" applyAlignment="1" applyBorder="1" applyFont="1" applyNumberFormat="1">
      <alignment vertical="bottom"/>
    </xf>
    <xf borderId="13" fillId="4" fontId="6" numFmtId="1" xfId="0" applyAlignment="1" applyBorder="1" applyFont="1" applyNumberFormat="1">
      <alignment horizontal="center" vertical="bottom"/>
    </xf>
    <xf borderId="13" fillId="4" fontId="6" numFmtId="0" xfId="0" applyAlignment="1" applyBorder="1" applyFont="1">
      <alignment vertical="bottom"/>
    </xf>
    <xf borderId="13" fillId="4" fontId="7" numFmtId="38" xfId="0" applyAlignment="1" applyBorder="1" applyFont="1" applyNumberFormat="1">
      <alignment horizontal="right" vertical="bottom"/>
    </xf>
    <xf borderId="13" fillId="4" fontId="8" numFmtId="38" xfId="0" applyAlignment="1" applyBorder="1" applyFont="1" applyNumberFormat="1">
      <alignment horizontal="right" vertical="bottom"/>
    </xf>
    <xf borderId="12" fillId="4" fontId="9" numFmtId="38" xfId="0" applyAlignment="1" applyBorder="1" applyFont="1" applyNumberFormat="1">
      <alignment vertical="bottom"/>
    </xf>
    <xf borderId="12" fillId="4" fontId="10" numFmtId="0" xfId="0" applyAlignment="1" applyBorder="1" applyFont="1">
      <alignment horizontal="center" shrinkToFit="0" vertical="center" wrapText="1"/>
    </xf>
    <xf borderId="12" fillId="4" fontId="8" numFmtId="3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ont="1">
      <alignment horizontal="center" vertical="center"/>
    </xf>
    <xf borderId="12" fillId="4" fontId="12" numFmtId="0" xfId="0" applyAlignment="1" applyBorder="1" applyFont="1">
      <alignment horizontal="center" vertical="center"/>
    </xf>
    <xf borderId="10" fillId="4" fontId="13" numFmtId="0" xfId="0" applyAlignment="1" applyBorder="1" applyFont="1">
      <alignment horizontal="center" vertical="center"/>
    </xf>
    <xf borderId="0" fillId="0" fontId="14" numFmtId="0" xfId="0" applyFont="1"/>
    <xf borderId="12" fillId="5" fontId="5" numFmtId="49" xfId="0" applyAlignment="1" applyBorder="1" applyFill="1" applyFont="1" applyNumberFormat="1">
      <alignment horizontal="center" shrinkToFit="0" vertical="center" wrapText="0"/>
    </xf>
    <xf borderId="13" fillId="5" fontId="6" numFmtId="0" xfId="0" applyAlignment="1" applyBorder="1" applyFont="1">
      <alignment horizontal="center" vertical="bottom"/>
    </xf>
    <xf borderId="13" fillId="5" fontId="4" numFmtId="4" xfId="0" applyAlignment="1" applyBorder="1" applyFont="1" applyNumberFormat="1">
      <alignment vertical="bottom"/>
    </xf>
    <xf borderId="13" fillId="5" fontId="6" numFmtId="1" xfId="0" applyAlignment="1" applyBorder="1" applyFont="1" applyNumberFormat="1">
      <alignment horizontal="center" vertical="bottom"/>
    </xf>
    <xf borderId="13" fillId="5" fontId="6" numFmtId="0" xfId="0" applyAlignment="1" applyBorder="1" applyFont="1">
      <alignment vertical="bottom"/>
    </xf>
    <xf borderId="13" fillId="5" fontId="15" numFmtId="38" xfId="0" applyAlignment="1" applyBorder="1" applyFont="1" applyNumberFormat="1">
      <alignment vertical="bottom"/>
    </xf>
    <xf borderId="13" fillId="5" fontId="7" numFmtId="38" xfId="0" applyAlignment="1" applyBorder="1" applyFont="1" applyNumberFormat="1">
      <alignment horizontal="right" vertical="bottom"/>
    </xf>
    <xf borderId="12" fillId="5" fontId="9" numFmtId="38" xfId="0" applyAlignment="1" applyBorder="1" applyFont="1" applyNumberFormat="1">
      <alignment vertical="bottom"/>
    </xf>
    <xf borderId="12" fillId="5" fontId="10" numFmtId="0" xfId="0" applyAlignment="1" applyBorder="1" applyFont="1">
      <alignment horizontal="center" shrinkToFit="0" vertical="center" wrapText="1"/>
    </xf>
    <xf borderId="12" fillId="5" fontId="8" numFmtId="3" xfId="0" applyAlignment="1" applyBorder="1" applyFont="1" applyNumberFormat="1">
      <alignment horizontal="center" shrinkToFit="0" vertical="center" wrapText="1"/>
    </xf>
    <xf borderId="10" fillId="5" fontId="11" numFmtId="0" xfId="0" applyAlignment="1" applyBorder="1" applyFont="1">
      <alignment horizontal="center" vertical="center"/>
    </xf>
    <xf borderId="12" fillId="5" fontId="12" numFmtId="0" xfId="0" applyAlignment="1" applyBorder="1" applyFont="1">
      <alignment horizontal="center" vertical="center"/>
    </xf>
    <xf borderId="10" fillId="5" fontId="13" numFmtId="0" xfId="0" applyAlignment="1" applyBorder="1" applyFont="1">
      <alignment horizontal="center" vertical="center"/>
    </xf>
    <xf borderId="13" fillId="5" fontId="16" numFmtId="38" xfId="0" applyAlignment="1" applyBorder="1" applyFont="1" applyNumberFormat="1">
      <alignment vertical="bottom"/>
    </xf>
    <xf borderId="13" fillId="5" fontId="4" numFmtId="164" xfId="0" applyAlignment="1" applyBorder="1" applyFont="1" applyNumberFormat="1">
      <alignment horizontal="center" vertical="bottom"/>
    </xf>
    <xf borderId="13" fillId="5" fontId="7" numFmtId="4" xfId="0" applyAlignment="1" applyBorder="1" applyFont="1" applyNumberFormat="1">
      <alignment vertical="bottom"/>
    </xf>
    <xf borderId="13" fillId="5" fontId="7" numFmtId="1" xfId="0" applyAlignment="1" applyBorder="1" applyFont="1" applyNumberFormat="1">
      <alignment horizontal="center" vertical="bottom"/>
    </xf>
    <xf borderId="13" fillId="5" fontId="7" numFmtId="0" xfId="0" applyAlignment="1" applyBorder="1" applyFont="1">
      <alignment vertical="bottom"/>
    </xf>
    <xf borderId="13" fillId="5" fontId="17" numFmtId="38" xfId="0" applyAlignment="1" applyBorder="1" applyFont="1" applyNumberFormat="1">
      <alignment vertical="bottom"/>
    </xf>
    <xf borderId="13" fillId="5" fontId="4" numFmtId="165" xfId="0" applyAlignment="1" applyBorder="1" applyFont="1" applyNumberFormat="1">
      <alignment horizontal="center" vertical="bottom"/>
    </xf>
    <xf borderId="13" fillId="5" fontId="18" numFmtId="38" xfId="0" applyAlignment="1" applyBorder="1" applyFont="1" applyNumberFormat="1">
      <alignment vertical="bottom"/>
    </xf>
    <xf borderId="12" fillId="5" fontId="9" numFmtId="38" xfId="0" applyAlignment="1" applyBorder="1" applyFont="1" applyNumberFormat="1">
      <alignment horizontal="right" vertical="bottom"/>
    </xf>
    <xf borderId="1" fillId="6" fontId="19" numFmtId="0" xfId="0" applyAlignment="1" applyBorder="1" applyFill="1" applyFont="1">
      <alignment horizontal="center"/>
    </xf>
    <xf borderId="14" fillId="6" fontId="20" numFmtId="3" xfId="0" applyAlignment="1" applyBorder="1" applyFont="1" applyNumberFormat="1">
      <alignment horizontal="center"/>
    </xf>
    <xf borderId="12" fillId="6" fontId="21" numFmtId="3" xfId="0" applyAlignment="1" applyBorder="1" applyFont="1" applyNumberFormat="1">
      <alignment horizontal="center"/>
    </xf>
    <xf borderId="12" fillId="6" fontId="22" numFmtId="3" xfId="0" applyAlignment="1" applyBorder="1" applyFont="1" applyNumberFormat="1">
      <alignment horizontal="right"/>
    </xf>
    <xf borderId="1" fillId="7" fontId="20" numFmtId="3" xfId="0" applyAlignment="1" applyBorder="1" applyFill="1" applyFont="1" applyNumberFormat="1">
      <alignment horizontal="center" vertical="top"/>
    </xf>
    <xf borderId="13" fillId="5" fontId="6" numFmtId="164" xfId="0" applyAlignment="1" applyBorder="1" applyFont="1" applyNumberFormat="1">
      <alignment horizontal="center" vertical="bottom"/>
    </xf>
    <xf borderId="13" fillId="5" fontId="8" numFmtId="38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horizontal="center" readingOrder="0" vertical="center"/>
    </xf>
    <xf borderId="13" fillId="4" fontId="6" numFmtId="0" xfId="0" applyAlignment="1" applyBorder="1" applyFont="1">
      <alignment horizontal="center" readingOrder="0" vertical="bottom"/>
    </xf>
    <xf borderId="13" fillId="4" fontId="4" numFmtId="4" xfId="0" applyAlignment="1" applyBorder="1" applyFont="1" applyNumberFormat="1">
      <alignment readingOrder="0" vertical="bottom"/>
    </xf>
    <xf borderId="13" fillId="4" fontId="6" numFmtId="1" xfId="0" applyAlignment="1" applyBorder="1" applyFont="1" applyNumberFormat="1">
      <alignment horizontal="center" readingOrder="0" vertical="bottom"/>
    </xf>
    <xf borderId="13" fillId="4" fontId="6" numFmtId="0" xfId="0" applyAlignment="1" applyBorder="1" applyFont="1">
      <alignment readingOrder="0" vertical="bottom"/>
    </xf>
    <xf borderId="13" fillId="4" fontId="7" numFmtId="38" xfId="0" applyAlignment="1" applyBorder="1" applyFont="1" applyNumberFormat="1">
      <alignment horizontal="right" readingOrder="0" vertical="bottom"/>
    </xf>
    <xf borderId="10" fillId="4" fontId="11" numFmtId="0" xfId="0" applyAlignment="1" applyBorder="1" applyFont="1">
      <alignment horizontal="center" readingOrder="0" vertical="center"/>
    </xf>
    <xf borderId="12" fillId="4" fontId="12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3" fillId="4" fontId="15" numFmtId="38" xfId="0" applyAlignment="1" applyBorder="1" applyFont="1" applyNumberFormat="1">
      <alignment readingOrder="0" vertical="bottom"/>
    </xf>
    <xf borderId="13" fillId="4" fontId="15" numFmtId="38" xfId="0" applyAlignment="1" applyBorder="1" applyFont="1" applyNumberFormat="1">
      <alignment vertical="bottom"/>
    </xf>
    <xf borderId="13" fillId="5" fontId="6" numFmtId="164" xfId="0" applyAlignment="1" applyBorder="1" applyFont="1" applyNumberFormat="1">
      <alignment horizontal="center" readingOrder="0" vertical="bottom"/>
    </xf>
    <xf borderId="13" fillId="5" fontId="4" numFmtId="4" xfId="0" applyAlignment="1" applyBorder="1" applyFont="1" applyNumberFormat="1">
      <alignment readingOrder="0" vertical="bottom"/>
    </xf>
    <xf borderId="13" fillId="5" fontId="6" numFmtId="1" xfId="0" applyAlignment="1" applyBorder="1" applyFont="1" applyNumberFormat="1">
      <alignment horizontal="center" readingOrder="0" vertical="bottom"/>
    </xf>
    <xf borderId="13" fillId="5" fontId="6" numFmtId="0" xfId="0" applyAlignment="1" applyBorder="1" applyFont="1">
      <alignment readingOrder="0" vertical="bottom"/>
    </xf>
    <xf borderId="13" fillId="5" fontId="7" numFmtId="38" xfId="0" applyAlignment="1" applyBorder="1" applyFont="1" applyNumberFormat="1">
      <alignment horizontal="right" readingOrder="0" vertical="bottom"/>
    </xf>
    <xf borderId="10" fillId="5" fontId="11" numFmtId="0" xfId="0" applyAlignment="1" applyBorder="1" applyFont="1">
      <alignment horizontal="center" readingOrder="0" vertical="center"/>
    </xf>
    <xf borderId="12" fillId="5" fontId="12" numFmtId="0" xfId="0" applyAlignment="1" applyBorder="1" applyFont="1">
      <alignment horizontal="center" readingOrder="0" vertical="center"/>
    </xf>
    <xf borderId="10" fillId="5" fontId="13" numFmtId="0" xfId="0" applyAlignment="1" applyBorder="1" applyFont="1">
      <alignment horizontal="center" readingOrder="0" vertical="center"/>
    </xf>
    <xf borderId="13" fillId="5" fontId="8" numFmtId="38" xfId="0" applyAlignment="1" applyBorder="1" applyFont="1" applyNumberFormat="1">
      <alignment horizontal="right" readingOrder="0" vertical="bottom"/>
    </xf>
    <xf borderId="13" fillId="5" fontId="15" numFmtId="38" xfId="0" applyAlignment="1" applyBorder="1" applyFont="1" applyNumberFormat="1">
      <alignment readingOrder="0" vertical="bottom"/>
    </xf>
    <xf borderId="12" fillId="5" fontId="9" numFmtId="38" xfId="0" applyAlignment="1" applyBorder="1" applyFont="1" applyNumberFormat="1">
      <alignment readingOrder="0" vertical="bottom"/>
    </xf>
    <xf borderId="13" fillId="8" fontId="6" numFmtId="164" xfId="0" applyAlignment="1" applyBorder="1" applyFill="1" applyFont="1" applyNumberFormat="1">
      <alignment horizontal="center" readingOrder="0" vertical="bottom"/>
    </xf>
    <xf borderId="13" fillId="8" fontId="4" numFmtId="4" xfId="0" applyAlignment="1" applyBorder="1" applyFont="1" applyNumberFormat="1">
      <alignment readingOrder="0" vertical="bottom"/>
    </xf>
    <xf borderId="13" fillId="8" fontId="6" numFmtId="1" xfId="0" applyAlignment="1" applyBorder="1" applyFont="1" applyNumberFormat="1">
      <alignment horizontal="center" readingOrder="0" vertical="bottom"/>
    </xf>
    <xf borderId="13" fillId="8" fontId="6" numFmtId="0" xfId="0" applyAlignment="1" applyBorder="1" applyFont="1">
      <alignment readingOrder="0" vertical="bottom"/>
    </xf>
    <xf borderId="13" fillId="8" fontId="7" numFmtId="38" xfId="0" applyAlignment="1" applyBorder="1" applyFont="1" applyNumberFormat="1">
      <alignment horizontal="right" readingOrder="0" vertical="bottom"/>
    </xf>
    <xf borderId="13" fillId="8" fontId="8" numFmtId="38" xfId="0" applyAlignment="1" applyBorder="1" applyFont="1" applyNumberFormat="1">
      <alignment horizontal="right" readingOrder="0" vertical="bottom"/>
    </xf>
    <xf borderId="12" fillId="8" fontId="9" numFmtId="38" xfId="0" applyAlignment="1" applyBorder="1" applyFont="1" applyNumberFormat="1">
      <alignment vertical="bottom"/>
    </xf>
    <xf borderId="12" fillId="8" fontId="10" numFmtId="0" xfId="0" applyAlignment="1" applyBorder="1" applyFont="1">
      <alignment horizontal="center" shrinkToFit="0" vertical="center" wrapText="1"/>
    </xf>
    <xf borderId="12" fillId="8" fontId="8" numFmtId="3" xfId="0" applyAlignment="1" applyBorder="1" applyFont="1" applyNumberFormat="1">
      <alignment horizontal="center" shrinkToFit="0" vertical="center" wrapText="1"/>
    </xf>
    <xf borderId="10" fillId="8" fontId="11" numFmtId="0" xfId="0" applyAlignment="1" applyBorder="1" applyFont="1">
      <alignment horizontal="center" readingOrder="0" vertical="center"/>
    </xf>
    <xf borderId="12" fillId="8" fontId="12" numFmtId="0" xfId="0" applyAlignment="1" applyBorder="1" applyFont="1">
      <alignment horizontal="center" readingOrder="0" vertical="center"/>
    </xf>
    <xf borderId="10" fillId="8" fontId="13" numFmtId="0" xfId="0" applyAlignment="1" applyBorder="1" applyFont="1">
      <alignment horizontal="center" readingOrder="0" vertical="center"/>
    </xf>
    <xf borderId="13" fillId="8" fontId="15" numFmtId="38" xfId="0" applyAlignment="1" applyBorder="1" applyFont="1" applyNumberFormat="1">
      <alignment readingOrder="0" vertical="bottom"/>
    </xf>
    <xf borderId="13" fillId="8" fontId="7" numFmtId="38" xfId="0" applyAlignment="1" applyBorder="1" applyFont="1" applyNumberFormat="1">
      <alignment horizontal="right" vertical="bottom"/>
    </xf>
    <xf borderId="12" fillId="9" fontId="5" numFmtId="49" xfId="0" applyAlignment="1" applyBorder="1" applyFill="1" applyFont="1" applyNumberFormat="1">
      <alignment horizontal="center" shrinkToFit="0" vertical="center" wrapText="0"/>
    </xf>
    <xf borderId="13" fillId="9" fontId="7" numFmtId="166" xfId="0" applyAlignment="1" applyBorder="1" applyFont="1" applyNumberFormat="1">
      <alignment horizontal="center" vertical="bottom"/>
    </xf>
    <xf borderId="13" fillId="9" fontId="7" numFmtId="4" xfId="0" applyAlignment="1" applyBorder="1" applyFont="1" applyNumberFormat="1">
      <alignment vertical="bottom"/>
    </xf>
    <xf borderId="13" fillId="9" fontId="7" numFmtId="1" xfId="0" applyAlignment="1" applyBorder="1" applyFont="1" applyNumberFormat="1">
      <alignment horizontal="center" vertical="bottom"/>
    </xf>
    <xf borderId="13" fillId="9" fontId="7" numFmtId="0" xfId="0" applyAlignment="1" applyBorder="1" applyFont="1">
      <alignment vertical="bottom"/>
    </xf>
    <xf borderId="13" fillId="9" fontId="15" numFmtId="38" xfId="0" applyAlignment="1" applyBorder="1" applyFont="1" applyNumberFormat="1">
      <alignment vertical="bottom"/>
    </xf>
    <xf borderId="13" fillId="9" fontId="7" numFmtId="38" xfId="0" applyAlignment="1" applyBorder="1" applyFont="1" applyNumberFormat="1">
      <alignment horizontal="right" readingOrder="0" vertical="bottom"/>
    </xf>
    <xf borderId="12" fillId="9" fontId="9" numFmtId="38" xfId="0" applyAlignment="1" applyBorder="1" applyFont="1" applyNumberFormat="1">
      <alignment readingOrder="0" vertical="bottom"/>
    </xf>
    <xf borderId="12" fillId="9" fontId="10" numFmtId="0" xfId="0" applyAlignment="1" applyBorder="1" applyFont="1">
      <alignment horizontal="center" shrinkToFit="0" vertical="center" wrapText="1"/>
    </xf>
    <xf borderId="13" fillId="9" fontId="7" numFmtId="38" xfId="0" applyAlignment="1" applyBorder="1" applyFont="1" applyNumberFormat="1">
      <alignment horizontal="right" vertical="bottom"/>
    </xf>
    <xf borderId="10" fillId="9" fontId="11" numFmtId="0" xfId="0" applyAlignment="1" applyBorder="1" applyFont="1">
      <alignment horizontal="center" readingOrder="0" vertical="center"/>
    </xf>
    <xf borderId="12" fillId="9" fontId="12" numFmtId="0" xfId="0" applyAlignment="1" applyBorder="1" applyFont="1">
      <alignment horizontal="center" readingOrder="0" vertical="center"/>
    </xf>
    <xf borderId="10" fillId="9" fontId="13" numFmtId="0" xfId="0" applyAlignment="1" applyBorder="1" applyFont="1">
      <alignment horizontal="center" readingOrder="0" vertical="center"/>
    </xf>
    <xf borderId="13" fillId="5" fontId="7" numFmtId="166" xfId="0" applyAlignment="1" applyBorder="1" applyFont="1" applyNumberFormat="1">
      <alignment horizontal="center" vertical="bottom"/>
    </xf>
    <xf borderId="13" fillId="5" fontId="7" numFmtId="0" xfId="0" applyAlignment="1" applyBorder="1" applyFont="1">
      <alignment vertical="bottom"/>
    </xf>
    <xf borderId="13" fillId="5" fontId="7" numFmtId="38" xfId="0" applyAlignment="1" applyBorder="1" applyFont="1" applyNumberFormat="1">
      <alignment horizontal="center" vertical="bottom"/>
    </xf>
    <xf borderId="12" fillId="5" fontId="8" numFmtId="3" xfId="0" applyAlignment="1" applyBorder="1" applyFont="1" applyNumberFormat="1">
      <alignment horizontal="center" readingOrder="0" shrinkToFit="0" vertical="center" wrapText="1"/>
    </xf>
    <xf borderId="13" fillId="4" fontId="6" numFmtId="164" xfId="0" applyAlignment="1" applyBorder="1" applyFont="1" applyNumberFormat="1">
      <alignment horizontal="center" readingOrder="0" vertical="bottom"/>
    </xf>
    <xf borderId="13" fillId="4" fontId="8" numFmtId="38" xfId="0" applyAlignment="1" applyBorder="1" applyFont="1" applyNumberFormat="1">
      <alignment horizontal="right" readingOrder="0" vertical="bottom"/>
    </xf>
    <xf borderId="12" fillId="4" fontId="8" numFmtId="3" xfId="0" applyAlignment="1" applyBorder="1" applyFont="1" applyNumberFormat="1">
      <alignment horizontal="center" readingOrder="0" shrinkToFit="0" vertical="center" wrapText="1"/>
    </xf>
    <xf borderId="12" fillId="0" fontId="23" numFmtId="164" xfId="0" applyAlignment="1" applyBorder="1" applyFont="1" applyNumberFormat="1">
      <alignment readingOrder="0" shrinkToFit="0" vertical="bottom" wrapText="0"/>
    </xf>
    <xf borderId="12" fillId="0" fontId="23" numFmtId="4" xfId="0" applyAlignment="1" applyBorder="1" applyFont="1" applyNumberFormat="1">
      <alignment readingOrder="0" shrinkToFit="0" vertical="bottom" wrapText="0"/>
    </xf>
    <xf borderId="12" fillId="0" fontId="23" numFmtId="1" xfId="0" applyAlignment="1" applyBorder="1" applyFont="1" applyNumberFormat="1">
      <alignment readingOrder="0" shrinkToFit="0" vertical="bottom" wrapText="0"/>
    </xf>
    <xf borderId="12" fillId="0" fontId="23" numFmtId="0" xfId="0" applyAlignment="1" applyBorder="1" applyFont="1">
      <alignment readingOrder="0" shrinkToFit="0" vertical="bottom" wrapText="0"/>
    </xf>
    <xf borderId="12" fillId="5" fontId="5" numFmtId="49" xfId="0" applyAlignment="1" applyBorder="1" applyFont="1" applyNumberFormat="1">
      <alignment horizontal="center" readingOrder="0" shrinkToFit="0" vertical="center" wrapText="0"/>
    </xf>
    <xf borderId="12" fillId="0" fontId="24" numFmtId="164" xfId="0" applyAlignment="1" applyBorder="1" applyFont="1" applyNumberFormat="1">
      <alignment readingOrder="0" shrinkToFit="0" vertical="bottom" wrapText="0"/>
    </xf>
    <xf borderId="12" fillId="0" fontId="24" numFmtId="4" xfId="0" applyAlignment="1" applyBorder="1" applyFont="1" applyNumberFormat="1">
      <alignment readingOrder="0" shrinkToFit="0" vertical="bottom" wrapText="0"/>
    </xf>
    <xf borderId="12" fillId="0" fontId="24" numFmtId="1" xfId="0" applyAlignment="1" applyBorder="1" applyFont="1" applyNumberFormat="1">
      <alignment readingOrder="0" shrinkToFit="0" vertical="bottom" wrapText="0"/>
    </xf>
    <xf borderId="12" fillId="0" fontId="24" numFmtId="0" xfId="0" applyAlignment="1" applyBorder="1" applyFont="1">
      <alignment readingOrder="0" shrinkToFit="0" vertical="bottom" wrapText="0"/>
    </xf>
    <xf borderId="12" fillId="4" fontId="23" numFmtId="0" xfId="0" applyAlignment="1" applyBorder="1" applyFont="1">
      <alignment readingOrder="0" shrinkToFit="0" vertical="bottom" wrapText="0"/>
    </xf>
    <xf borderId="12" fillId="4" fontId="23" numFmtId="4" xfId="0" applyAlignment="1" applyBorder="1" applyFont="1" applyNumberFormat="1">
      <alignment readingOrder="0" shrinkToFit="0" vertical="bottom" wrapText="0"/>
    </xf>
    <xf borderId="12" fillId="4" fontId="23" numFmtId="1" xfId="0" applyAlignment="1" applyBorder="1" applyFont="1" applyNumberFormat="1">
      <alignment readingOrder="0" shrinkToFit="0" vertical="bottom" wrapText="0"/>
    </xf>
    <xf borderId="12" fillId="4" fontId="9" numFmtId="38" xfId="0" applyAlignment="1" applyBorder="1" applyFont="1" applyNumberFormat="1">
      <alignment readingOrder="0" vertical="bottom"/>
    </xf>
    <xf borderId="12" fillId="10" fontId="12" numFmtId="0" xfId="0" applyAlignment="1" applyBorder="1" applyFill="1" applyFont="1">
      <alignment horizontal="center" readingOrder="0" vertical="center"/>
    </xf>
    <xf borderId="12" fillId="5" fontId="23" numFmtId="164" xfId="0" applyAlignment="1" applyBorder="1" applyFont="1" applyNumberFormat="1">
      <alignment readingOrder="0" shrinkToFit="0" vertical="bottom" wrapText="0"/>
    </xf>
    <xf borderId="12" fillId="5" fontId="23" numFmtId="4" xfId="0" applyAlignment="1" applyBorder="1" applyFont="1" applyNumberFormat="1">
      <alignment readingOrder="0" shrinkToFit="0" vertical="bottom" wrapText="0"/>
    </xf>
    <xf borderId="12" fillId="5" fontId="23" numFmtId="1" xfId="0" applyAlignment="1" applyBorder="1" applyFont="1" applyNumberFormat="1">
      <alignment readingOrder="0" shrinkToFit="0" vertical="bottom" wrapText="0"/>
    </xf>
    <xf borderId="12" fillId="5" fontId="23" numFmtId="0" xfId="0" applyAlignment="1" applyBorder="1" applyFont="1">
      <alignment readingOrder="0" shrinkToFit="0" vertical="bottom" wrapText="0"/>
    </xf>
    <xf borderId="12" fillId="4" fontId="23" numFmtId="164" xfId="0" applyAlignment="1" applyBorder="1" applyFont="1" applyNumberFormat="1">
      <alignment readingOrder="0" shrinkToFit="0" vertical="bottom" wrapText="0"/>
    </xf>
    <xf borderId="10" fillId="10" fontId="13" numFmtId="0" xfId="0" applyAlignment="1" applyBorder="1" applyFont="1">
      <alignment horizontal="center" readingOrder="0" vertical="center"/>
    </xf>
    <xf borderId="12" fillId="10" fontId="5" numFmtId="49" xfId="0" applyAlignment="1" applyBorder="1" applyFont="1" applyNumberFormat="1">
      <alignment horizontal="center" shrinkToFit="0" vertical="center" wrapText="0"/>
    </xf>
    <xf borderId="12" fillId="10" fontId="23" numFmtId="164" xfId="0" applyAlignment="1" applyBorder="1" applyFont="1" applyNumberFormat="1">
      <alignment readingOrder="0" shrinkToFit="0" vertical="bottom" wrapText="0"/>
    </xf>
    <xf borderId="12" fillId="10" fontId="23" numFmtId="4" xfId="0" applyAlignment="1" applyBorder="1" applyFont="1" applyNumberFormat="1">
      <alignment readingOrder="0" shrinkToFit="0" vertical="bottom" wrapText="0"/>
    </xf>
    <xf borderId="12" fillId="10" fontId="23" numFmtId="1" xfId="0" applyAlignment="1" applyBorder="1" applyFont="1" applyNumberFormat="1">
      <alignment readingOrder="0" shrinkToFit="0" vertical="bottom" wrapText="0"/>
    </xf>
    <xf borderId="12" fillId="10" fontId="23" numFmtId="0" xfId="0" applyAlignment="1" applyBorder="1" applyFont="1">
      <alignment readingOrder="0" shrinkToFit="0" vertical="bottom" wrapText="0"/>
    </xf>
    <xf borderId="13" fillId="10" fontId="7" numFmtId="38" xfId="0" applyAlignment="1" applyBorder="1" applyFont="1" applyNumberFormat="1">
      <alignment horizontal="right" readingOrder="0" vertical="bottom"/>
    </xf>
    <xf borderId="13" fillId="10" fontId="8" numFmtId="38" xfId="0" applyAlignment="1" applyBorder="1" applyFont="1" applyNumberFormat="1">
      <alignment horizontal="right" readingOrder="0" vertical="bottom"/>
    </xf>
    <xf borderId="12" fillId="10" fontId="9" numFmtId="38" xfId="0" applyAlignment="1" applyBorder="1" applyFont="1" applyNumberFormat="1">
      <alignment readingOrder="0" vertical="bottom"/>
    </xf>
    <xf borderId="12" fillId="10" fontId="10" numFmtId="0" xfId="0" applyAlignment="1" applyBorder="1" applyFont="1">
      <alignment horizontal="center" shrinkToFit="0" vertical="center" wrapText="1"/>
    </xf>
    <xf borderId="12" fillId="10" fontId="8" numFmtId="3" xfId="0" applyAlignment="1" applyBorder="1" applyFont="1" applyNumberFormat="1">
      <alignment horizontal="center" readingOrder="0" shrinkToFit="0" vertical="center" wrapText="1"/>
    </xf>
    <xf borderId="10" fillId="10" fontId="11" numFmtId="0" xfId="0" applyAlignment="1" applyBorder="1" applyFont="1">
      <alignment horizontal="center" readingOrder="0" vertical="center"/>
    </xf>
    <xf borderId="12" fillId="0" fontId="25" numFmtId="4" xfId="0" applyBorder="1" applyFont="1" applyNumberFormat="1"/>
    <xf borderId="12" fillId="0" fontId="25" numFmtId="1" xfId="0" applyAlignment="1" applyBorder="1" applyFont="1" applyNumberFormat="1">
      <alignment horizontal="center"/>
    </xf>
    <xf borderId="12" fillId="0" fontId="25" numFmtId="0" xfId="0" applyBorder="1" applyFont="1"/>
    <xf borderId="12" fillId="10" fontId="25" numFmtId="38" xfId="0" applyAlignment="1" applyBorder="1" applyFont="1" applyNumberFormat="1">
      <alignment horizontal="center"/>
    </xf>
    <xf borderId="12" fillId="10" fontId="26" numFmtId="38" xfId="0" applyBorder="1" applyFont="1" applyNumberFormat="1"/>
    <xf borderId="12" fillId="10" fontId="26" numFmtId="0" xfId="0" applyBorder="1" applyFont="1"/>
    <xf borderId="12" fillId="10" fontId="26" numFmtId="3" xfId="0" applyBorder="1" applyFont="1" applyNumberFormat="1"/>
    <xf borderId="12" fillId="0" fontId="16" numFmtId="0" xfId="0" applyAlignment="1" applyBorder="1" applyFont="1">
      <alignment horizontal="center"/>
    </xf>
    <xf borderId="12" fillId="0" fontId="25" numFmtId="0" xfId="0" applyAlignment="1" applyBorder="1" applyFont="1">
      <alignment horizontal="center" vertical="center"/>
    </xf>
    <xf borderId="13" fillId="5" fontId="26" numFmtId="38" xfId="0" applyAlignment="1" applyBorder="1" applyFont="1" applyNumberFormat="1">
      <alignment vertical="bottom"/>
    </xf>
    <xf borderId="12" fillId="0" fontId="27" numFmtId="0" xfId="0" applyAlignment="1" applyBorder="1" applyFont="1">
      <alignment horizontal="center" readingOrder="0" vertical="center"/>
    </xf>
    <xf borderId="12" fillId="5" fontId="28" numFmtId="0" xfId="0" applyAlignment="1" applyBorder="1" applyFont="1">
      <alignment horizontal="center" readingOrder="0" vertical="center"/>
    </xf>
    <xf borderId="13" fillId="5" fontId="7" numFmtId="0" xfId="0" applyAlignment="1" applyBorder="1" applyFont="1">
      <alignment horizontal="center" readingOrder="0" vertical="bottom"/>
    </xf>
    <xf borderId="13" fillId="5" fontId="7" numFmtId="4" xfId="0" applyAlignment="1" applyBorder="1" applyFont="1" applyNumberFormat="1">
      <alignment readingOrder="0" vertical="bottom"/>
    </xf>
    <xf borderId="13" fillId="5" fontId="7" numFmtId="1" xfId="0" applyAlignment="1" applyBorder="1" applyFont="1" applyNumberFormat="1">
      <alignment horizontal="center" readingOrder="0" vertical="bottom"/>
    </xf>
    <xf borderId="13" fillId="5" fontId="7" numFmtId="0" xfId="0" applyAlignment="1" applyBorder="1" applyFont="1">
      <alignment readingOrder="0" vertical="bottom"/>
    </xf>
    <xf borderId="12" fillId="0" fontId="29" numFmtId="0" xfId="0" applyAlignment="1" applyBorder="1" applyFont="1">
      <alignment horizontal="center" readingOrder="0"/>
    </xf>
    <xf borderId="13" fillId="5" fontId="25" numFmtId="38" xfId="0" applyAlignment="1" applyBorder="1" applyFont="1" applyNumberFormat="1">
      <alignment readingOrder="0" vertical="bottom"/>
    </xf>
    <xf borderId="12" fillId="5" fontId="30" numFmtId="0" xfId="0" applyAlignment="1" applyBorder="1" applyFont="1">
      <alignment horizontal="center" readingOrder="0" vertical="center"/>
    </xf>
    <xf borderId="12" fillId="5" fontId="31" numFmtId="3" xfId="0" applyAlignment="1" applyBorder="1" applyFont="1" applyNumberFormat="1">
      <alignment horizontal="center" readingOrder="0" shrinkToFit="0" vertical="center" wrapText="1"/>
    </xf>
    <xf borderId="13" fillId="5" fontId="7" numFmtId="165" xfId="0" applyAlignment="1" applyBorder="1" applyFont="1" applyNumberFormat="1">
      <alignment horizontal="center" readingOrder="0" vertical="bottom"/>
    </xf>
    <xf borderId="13" fillId="5" fontId="4" numFmtId="38" xfId="0" applyAlignment="1" applyBorder="1" applyFont="1" applyNumberFormat="1">
      <alignment readingOrder="0" vertical="bottom"/>
    </xf>
    <xf borderId="13" fillId="5" fontId="4" numFmtId="38" xfId="0" applyAlignment="1" applyBorder="1" applyFont="1" applyNumberFormat="1">
      <alignment horizontal="right" readingOrder="0" vertical="bottom"/>
    </xf>
    <xf borderId="13" fillId="5" fontId="4" numFmtId="38" xfId="0" applyAlignment="1" applyBorder="1" applyFont="1" applyNumberFormat="1">
      <alignment vertical="bottom"/>
    </xf>
    <xf borderId="12" fillId="10" fontId="26" numFmtId="38" xfId="0" applyAlignment="1" applyBorder="1" applyFont="1" applyNumberFormat="1">
      <alignment readingOrder="0"/>
    </xf>
    <xf borderId="13" fillId="5" fontId="32" numFmtId="0" xfId="0" applyAlignment="1" applyBorder="1" applyFont="1">
      <alignment readingOrder="0" vertical="bottom"/>
    </xf>
    <xf borderId="0" fillId="0" fontId="14" numFmtId="3" xfId="0" applyAlignment="1" applyFont="1" applyNumberFormat="1">
      <alignment readingOrder="0"/>
    </xf>
    <xf borderId="13" fillId="5" fontId="33" numFmtId="3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customschemas.google.com/relationships/workbookmetadata" Target="metadata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0</xdr:row>
      <xdr:rowOff>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266700</xdr:rowOff>
    </xdr:from>
    <xdr:ext cx="219075" cy="295275"/>
    <xdr:sp>
      <xdr:nvSpPr>
        <xdr:cNvPr id="3" name="Shape 3"/>
        <xdr:cNvSpPr txBox="1"/>
      </xdr:nvSpPr>
      <xdr:spPr>
        <a:xfrm>
          <a:off x="5241225" y="3637125"/>
          <a:ext cx="2095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 t="s">
        <v>16</v>
      </c>
      <c r="C4" s="18" t="s">
        <v>17</v>
      </c>
      <c r="D4" s="19">
        <v>51017.0</v>
      </c>
      <c r="E4" s="20" t="s">
        <v>18</v>
      </c>
      <c r="F4" s="21"/>
      <c r="G4" s="22">
        <v>12800.0</v>
      </c>
      <c r="H4" s="23"/>
      <c r="I4" s="24"/>
      <c r="J4" s="25"/>
      <c r="K4" s="26" t="s">
        <v>19</v>
      </c>
      <c r="L4" s="27" t="s">
        <v>20</v>
      </c>
      <c r="M4" s="28" t="s">
        <v>21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31" t="s">
        <v>23</v>
      </c>
      <c r="C5" s="32" t="s">
        <v>24</v>
      </c>
      <c r="D5" s="33">
        <v>10006.0</v>
      </c>
      <c r="E5" s="34" t="s">
        <v>25</v>
      </c>
      <c r="F5" s="35"/>
      <c r="G5" s="36">
        <v>8600.0</v>
      </c>
      <c r="H5" s="37"/>
      <c r="I5" s="38"/>
      <c r="J5" s="39"/>
      <c r="K5" s="40" t="s">
        <v>19</v>
      </c>
      <c r="L5" s="41" t="s">
        <v>26</v>
      </c>
      <c r="M5" s="42" t="s">
        <v>27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31" t="s">
        <v>23</v>
      </c>
      <c r="C6" s="32" t="s">
        <v>29</v>
      </c>
      <c r="D6" s="33">
        <v>47787.0</v>
      </c>
      <c r="E6" s="34" t="s">
        <v>30</v>
      </c>
      <c r="F6" s="43"/>
      <c r="G6" s="36">
        <v>5000.0</v>
      </c>
      <c r="H6" s="37"/>
      <c r="I6" s="38"/>
      <c r="J6" s="39"/>
      <c r="K6" s="40" t="s">
        <v>31</v>
      </c>
      <c r="L6" s="41" t="s">
        <v>32</v>
      </c>
      <c r="M6" s="42" t="s">
        <v>33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31" t="s">
        <v>23</v>
      </c>
      <c r="C7" s="32" t="s">
        <v>35</v>
      </c>
      <c r="D7" s="33">
        <v>10250.0</v>
      </c>
      <c r="E7" s="34" t="s">
        <v>36</v>
      </c>
      <c r="F7" s="43"/>
      <c r="G7" s="36">
        <v>15000.0</v>
      </c>
      <c r="H7" s="37"/>
      <c r="I7" s="38"/>
      <c r="J7" s="39"/>
      <c r="K7" s="40" t="s">
        <v>31</v>
      </c>
      <c r="L7" s="41" t="s">
        <v>37</v>
      </c>
      <c r="M7" s="42" t="s">
        <v>33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44"/>
      <c r="C8" s="45"/>
      <c r="D8" s="46"/>
      <c r="E8" s="47"/>
      <c r="F8" s="48"/>
      <c r="G8" s="36"/>
      <c r="H8" s="37"/>
      <c r="I8" s="38"/>
      <c r="J8" s="39"/>
      <c r="K8" s="40"/>
      <c r="L8" s="41"/>
      <c r="M8" s="4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49"/>
      <c r="C9" s="45"/>
      <c r="D9" s="46"/>
      <c r="E9" s="47"/>
      <c r="F9" s="50"/>
      <c r="G9" s="36"/>
      <c r="H9" s="37"/>
      <c r="I9" s="38"/>
      <c r="J9" s="39"/>
      <c r="K9" s="40"/>
      <c r="L9" s="41"/>
      <c r="M9" s="4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/>
      <c r="B10" s="49"/>
      <c r="C10" s="45"/>
      <c r="D10" s="46"/>
      <c r="E10" s="47"/>
      <c r="F10" s="51"/>
      <c r="G10" s="36"/>
      <c r="H10" s="37"/>
      <c r="I10" s="38"/>
      <c r="J10" s="39"/>
      <c r="K10" s="40"/>
      <c r="L10" s="41"/>
      <c r="M10" s="4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2"/>
      <c r="B11" s="2"/>
      <c r="C11" s="2"/>
      <c r="D11" s="2"/>
      <c r="E11" s="3"/>
      <c r="F11" s="53">
        <f t="shared" ref="F11:J11" si="1">SUM(F4:F10)</f>
        <v>0</v>
      </c>
      <c r="G11" s="53">
        <f t="shared" si="1"/>
        <v>41400</v>
      </c>
      <c r="H11" s="53">
        <f t="shared" si="1"/>
        <v>0</v>
      </c>
      <c r="I11" s="53">
        <f t="shared" si="1"/>
        <v>0</v>
      </c>
      <c r="J11" s="53">
        <f t="shared" si="1"/>
        <v>0</v>
      </c>
      <c r="K11" s="54"/>
      <c r="L11" s="54"/>
      <c r="M11" s="55"/>
    </row>
    <row r="12" ht="48.0" customHeight="1">
      <c r="F12" s="56">
        <f>F11+G11+H11+I11+J11</f>
        <v>41400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93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57">
        <v>45900.0</v>
      </c>
      <c r="C4" s="32" t="s">
        <v>39</v>
      </c>
      <c r="D4" s="33">
        <v>77283.0</v>
      </c>
      <c r="E4" s="34" t="s">
        <v>40</v>
      </c>
      <c r="F4" s="36">
        <v>5100.0</v>
      </c>
      <c r="G4" s="58"/>
      <c r="H4" s="37"/>
      <c r="I4" s="38"/>
      <c r="J4" s="39"/>
      <c r="K4" s="40" t="s">
        <v>19</v>
      </c>
      <c r="L4" s="41" t="s">
        <v>41</v>
      </c>
      <c r="M4" s="42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57">
        <v>45900.0</v>
      </c>
      <c r="C5" s="32" t="s">
        <v>42</v>
      </c>
      <c r="D5" s="33">
        <v>47787.0</v>
      </c>
      <c r="E5" s="34" t="s">
        <v>30</v>
      </c>
      <c r="F5" s="35"/>
      <c r="G5" s="36">
        <v>5000.0</v>
      </c>
      <c r="H5" s="37"/>
      <c r="I5" s="38"/>
      <c r="J5" s="39"/>
      <c r="K5" s="40" t="s">
        <v>31</v>
      </c>
      <c r="L5" s="41" t="s">
        <v>43</v>
      </c>
      <c r="M5" s="42" t="s">
        <v>44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57">
        <v>45900.0</v>
      </c>
      <c r="C6" s="32" t="s">
        <v>45</v>
      </c>
      <c r="D6" s="33">
        <v>43380.0</v>
      </c>
      <c r="E6" s="34" t="s">
        <v>46</v>
      </c>
      <c r="F6" s="35"/>
      <c r="G6" s="36">
        <v>25600.0</v>
      </c>
      <c r="H6" s="37"/>
      <c r="I6" s="38"/>
      <c r="J6" s="39"/>
      <c r="K6" s="40" t="s">
        <v>19</v>
      </c>
      <c r="L6" s="41" t="s">
        <v>47</v>
      </c>
      <c r="M6" s="42" t="s">
        <v>27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57">
        <v>45900.0</v>
      </c>
      <c r="C7" s="32" t="s">
        <v>48</v>
      </c>
      <c r="D7" s="33">
        <v>43380.0</v>
      </c>
      <c r="E7" s="34" t="s">
        <v>46</v>
      </c>
      <c r="F7" s="35"/>
      <c r="G7" s="36">
        <v>9500.0</v>
      </c>
      <c r="H7" s="37"/>
      <c r="I7" s="38"/>
      <c r="J7" s="39"/>
      <c r="K7" s="40" t="s">
        <v>19</v>
      </c>
      <c r="L7" s="41" t="s">
        <v>49</v>
      </c>
      <c r="M7" s="42" t="s">
        <v>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57">
        <v>45900.0</v>
      </c>
      <c r="C8" s="32" t="s">
        <v>51</v>
      </c>
      <c r="D8" s="33">
        <v>43380.0</v>
      </c>
      <c r="E8" s="34" t="s">
        <v>46</v>
      </c>
      <c r="F8" s="35"/>
      <c r="G8" s="36">
        <v>300.0</v>
      </c>
      <c r="H8" s="37"/>
      <c r="I8" s="38"/>
      <c r="J8" s="39"/>
      <c r="K8" s="40" t="s">
        <v>19</v>
      </c>
      <c r="L8" s="41" t="s">
        <v>52</v>
      </c>
      <c r="M8" s="42" t="s">
        <v>53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57">
        <v>45900.0</v>
      </c>
      <c r="C9" s="32" t="s">
        <v>55</v>
      </c>
      <c r="D9" s="33">
        <v>10006.0</v>
      </c>
      <c r="E9" s="34" t="s">
        <v>25</v>
      </c>
      <c r="F9" s="35"/>
      <c r="G9" s="36">
        <v>7500.0</v>
      </c>
      <c r="H9" s="37"/>
      <c r="I9" s="38"/>
      <c r="J9" s="39"/>
      <c r="K9" s="40" t="s">
        <v>19</v>
      </c>
      <c r="L9" s="41" t="s">
        <v>56</v>
      </c>
      <c r="M9" s="42" t="s">
        <v>53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57">
        <v>45900.0</v>
      </c>
      <c r="C10" s="32" t="s">
        <v>58</v>
      </c>
      <c r="D10" s="33">
        <v>50595.0</v>
      </c>
      <c r="E10" s="34" t="s">
        <v>59</v>
      </c>
      <c r="F10" s="35"/>
      <c r="G10" s="36">
        <v>8150.0</v>
      </c>
      <c r="H10" s="37"/>
      <c r="I10" s="38"/>
      <c r="J10" s="39"/>
      <c r="K10" s="40" t="s">
        <v>19</v>
      </c>
      <c r="L10" s="41" t="s">
        <v>60</v>
      </c>
      <c r="M10" s="42" t="s">
        <v>27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61</v>
      </c>
      <c r="B11" s="57">
        <v>45900.0</v>
      </c>
      <c r="C11" s="32" t="s">
        <v>62</v>
      </c>
      <c r="D11" s="33">
        <v>68284.0</v>
      </c>
      <c r="E11" s="34" t="s">
        <v>63</v>
      </c>
      <c r="F11" s="35"/>
      <c r="G11" s="36"/>
      <c r="H11" s="37">
        <v>2950.0</v>
      </c>
      <c r="I11" s="38"/>
      <c r="J11" s="39"/>
      <c r="K11" s="40" t="s">
        <v>19</v>
      </c>
      <c r="L11" s="41" t="s">
        <v>64</v>
      </c>
      <c r="M11" s="42" t="s">
        <v>53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65</v>
      </c>
      <c r="B12" s="57">
        <v>45900.0</v>
      </c>
      <c r="C12" s="32" t="s">
        <v>66</v>
      </c>
      <c r="D12" s="33">
        <v>87144.0</v>
      </c>
      <c r="E12" s="34" t="s">
        <v>67</v>
      </c>
      <c r="F12" s="35"/>
      <c r="G12" s="36"/>
      <c r="H12" s="37">
        <v>1300.0</v>
      </c>
      <c r="I12" s="38"/>
      <c r="J12" s="39"/>
      <c r="K12" s="40" t="s">
        <v>19</v>
      </c>
      <c r="L12" s="41" t="s">
        <v>68</v>
      </c>
      <c r="M12" s="42" t="s">
        <v>53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69</v>
      </c>
      <c r="B13" s="57">
        <v>45900.0</v>
      </c>
      <c r="C13" s="32" t="s">
        <v>70</v>
      </c>
      <c r="D13" s="33">
        <v>10357.0</v>
      </c>
      <c r="E13" s="34" t="s">
        <v>71</v>
      </c>
      <c r="F13" s="35"/>
      <c r="G13" s="36">
        <v>4500.0</v>
      </c>
      <c r="H13" s="37"/>
      <c r="I13" s="38"/>
      <c r="J13" s="39"/>
      <c r="K13" s="40" t="s">
        <v>19</v>
      </c>
      <c r="L13" s="41" t="s">
        <v>72</v>
      </c>
      <c r="M13" s="42" t="s">
        <v>53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73</v>
      </c>
      <c r="B14" s="57">
        <v>45900.0</v>
      </c>
      <c r="C14" s="32" t="s">
        <v>74</v>
      </c>
      <c r="D14" s="33">
        <v>10281.0</v>
      </c>
      <c r="E14" s="34" t="s">
        <v>75</v>
      </c>
      <c r="F14" s="35"/>
      <c r="G14" s="36"/>
      <c r="H14" s="37">
        <v>4500.0</v>
      </c>
      <c r="I14" s="38"/>
      <c r="J14" s="39"/>
      <c r="K14" s="40" t="s">
        <v>19</v>
      </c>
      <c r="L14" s="41" t="s">
        <v>76</v>
      </c>
      <c r="M14" s="42" t="s">
        <v>53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77</v>
      </c>
      <c r="B15" s="57">
        <v>45900.0</v>
      </c>
      <c r="C15" s="32" t="s">
        <v>78</v>
      </c>
      <c r="D15" s="33">
        <v>10006.0</v>
      </c>
      <c r="E15" s="34" t="s">
        <v>25</v>
      </c>
      <c r="F15" s="43"/>
      <c r="G15" s="36">
        <v>2400.0</v>
      </c>
      <c r="H15" s="37"/>
      <c r="I15" s="38"/>
      <c r="J15" s="39"/>
      <c r="K15" s="40" t="s">
        <v>19</v>
      </c>
      <c r="L15" s="41" t="s">
        <v>79</v>
      </c>
      <c r="M15" s="42" t="s">
        <v>53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30" t="s">
        <v>80</v>
      </c>
      <c r="B16" s="57">
        <v>45900.0</v>
      </c>
      <c r="C16" s="32" t="s">
        <v>81</v>
      </c>
      <c r="D16" s="33">
        <v>24609.0</v>
      </c>
      <c r="E16" s="34" t="s">
        <v>82</v>
      </c>
      <c r="F16" s="43"/>
      <c r="G16" s="36"/>
      <c r="H16" s="37">
        <v>1300.0</v>
      </c>
      <c r="I16" s="38"/>
      <c r="J16" s="39"/>
      <c r="K16" s="40" t="s">
        <v>19</v>
      </c>
      <c r="L16" s="41" t="s">
        <v>68</v>
      </c>
      <c r="M16" s="42" t="s">
        <v>53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 t="s">
        <v>83</v>
      </c>
      <c r="B17" s="44">
        <v>45900.0</v>
      </c>
      <c r="C17" s="45" t="s">
        <v>84</v>
      </c>
      <c r="D17" s="46">
        <v>10006.0</v>
      </c>
      <c r="E17" s="47" t="s">
        <v>25</v>
      </c>
      <c r="F17" s="48"/>
      <c r="G17" s="36">
        <v>1200.0</v>
      </c>
      <c r="H17" s="37"/>
      <c r="I17" s="38"/>
      <c r="J17" s="39"/>
      <c r="K17" s="40" t="s">
        <v>19</v>
      </c>
      <c r="L17" s="41">
        <v>17.53</v>
      </c>
      <c r="M17" s="42" t="s">
        <v>53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30" t="s">
        <v>85</v>
      </c>
      <c r="B18" s="49"/>
      <c r="C18" s="45"/>
      <c r="D18" s="46"/>
      <c r="E18" s="47"/>
      <c r="F18" s="50"/>
      <c r="G18" s="36"/>
      <c r="H18" s="37"/>
      <c r="I18" s="38"/>
      <c r="J18" s="39"/>
      <c r="K18" s="40"/>
      <c r="L18" s="41"/>
      <c r="M18" s="42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49"/>
      <c r="C19" s="45"/>
      <c r="D19" s="46"/>
      <c r="E19" s="47"/>
      <c r="F19" s="51"/>
      <c r="G19" s="36"/>
      <c r="H19" s="37"/>
      <c r="I19" s="38"/>
      <c r="J19" s="39"/>
      <c r="K19" s="40"/>
      <c r="L19" s="41"/>
      <c r="M19" s="42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52"/>
      <c r="B20" s="2"/>
      <c r="C20" s="2"/>
      <c r="D20" s="2"/>
      <c r="E20" s="3"/>
      <c r="F20" s="53">
        <f t="shared" ref="F20:J20" si="1">SUM(F4:F19)</f>
        <v>5100</v>
      </c>
      <c r="G20" s="53">
        <f t="shared" si="1"/>
        <v>64150</v>
      </c>
      <c r="H20" s="53">
        <f t="shared" si="1"/>
        <v>10050</v>
      </c>
      <c r="I20" s="53">
        <f t="shared" si="1"/>
        <v>0</v>
      </c>
      <c r="J20" s="53">
        <f t="shared" si="1"/>
        <v>0</v>
      </c>
      <c r="K20" s="54"/>
      <c r="L20" s="54"/>
      <c r="M20" s="55"/>
    </row>
    <row r="21" ht="48.0" customHeight="1">
      <c r="F21" s="56">
        <f>F20+G20+H20+I20+J20</f>
        <v>79300</v>
      </c>
      <c r="G21" s="2"/>
      <c r="H21" s="2"/>
      <c r="I21" s="2"/>
      <c r="J2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2">
    <mergeCell ref="K2:K3"/>
    <mergeCell ref="L2:L3"/>
    <mergeCell ref="E2:E3"/>
    <mergeCell ref="A20:E20"/>
    <mergeCell ref="F21:J2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60" t="s">
        <v>87</v>
      </c>
      <c r="C4" s="61" t="s">
        <v>88</v>
      </c>
      <c r="D4" s="62">
        <v>95492.0</v>
      </c>
      <c r="E4" s="63" t="s">
        <v>89</v>
      </c>
      <c r="F4" s="64">
        <v>300.0</v>
      </c>
      <c r="G4" s="22"/>
      <c r="H4" s="23"/>
      <c r="I4" s="24"/>
      <c r="J4" s="25"/>
      <c r="K4" s="65" t="s">
        <v>19</v>
      </c>
      <c r="L4" s="66" t="s">
        <v>90</v>
      </c>
      <c r="M4" s="67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" t="s">
        <v>22</v>
      </c>
      <c r="B5" s="60" t="s">
        <v>87</v>
      </c>
      <c r="C5" s="61" t="s">
        <v>92</v>
      </c>
      <c r="D5" s="62">
        <v>95495.0</v>
      </c>
      <c r="E5" s="63" t="s">
        <v>93</v>
      </c>
      <c r="F5" s="68">
        <v>300.0</v>
      </c>
      <c r="G5" s="21"/>
      <c r="H5" s="23"/>
      <c r="I5" s="24"/>
      <c r="J5" s="25"/>
      <c r="K5" s="65" t="s">
        <v>19</v>
      </c>
      <c r="L5" s="66" t="s">
        <v>94</v>
      </c>
      <c r="M5" s="67" t="s">
        <v>91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28</v>
      </c>
      <c r="B6" s="60" t="s">
        <v>87</v>
      </c>
      <c r="C6" s="61" t="s">
        <v>95</v>
      </c>
      <c r="D6" s="62">
        <v>91219.0</v>
      </c>
      <c r="E6" s="63" t="s">
        <v>96</v>
      </c>
      <c r="F6" s="69"/>
      <c r="G6" s="64">
        <v>2400.0</v>
      </c>
      <c r="H6" s="23"/>
      <c r="I6" s="24"/>
      <c r="J6" s="25"/>
      <c r="K6" s="65" t="s">
        <v>19</v>
      </c>
      <c r="L6" s="66" t="s">
        <v>97</v>
      </c>
      <c r="M6" s="67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34</v>
      </c>
      <c r="B7" s="60" t="s">
        <v>87</v>
      </c>
      <c r="C7" s="61" t="s">
        <v>98</v>
      </c>
      <c r="D7" s="62">
        <v>45929.0</v>
      </c>
      <c r="E7" s="63" t="s">
        <v>99</v>
      </c>
      <c r="F7" s="69"/>
      <c r="G7" s="64">
        <v>4500.0</v>
      </c>
      <c r="H7" s="23"/>
      <c r="I7" s="24"/>
      <c r="J7" s="25"/>
      <c r="K7" s="65" t="s">
        <v>19</v>
      </c>
      <c r="L7" s="66" t="s">
        <v>100</v>
      </c>
      <c r="M7" s="67" t="s">
        <v>91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50</v>
      </c>
      <c r="B8" s="60" t="s">
        <v>87</v>
      </c>
      <c r="C8" s="61" t="s">
        <v>101</v>
      </c>
      <c r="D8" s="62">
        <v>59793.0</v>
      </c>
      <c r="E8" s="63" t="s">
        <v>102</v>
      </c>
      <c r="F8" s="69"/>
      <c r="G8" s="64">
        <v>5000.0</v>
      </c>
      <c r="H8" s="23"/>
      <c r="I8" s="24"/>
      <c r="J8" s="25"/>
      <c r="K8" s="65" t="s">
        <v>19</v>
      </c>
      <c r="L8" s="66" t="s">
        <v>103</v>
      </c>
      <c r="M8" s="67" t="s">
        <v>91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54</v>
      </c>
      <c r="B9" s="60" t="s">
        <v>87</v>
      </c>
      <c r="C9" s="61" t="s">
        <v>104</v>
      </c>
      <c r="D9" s="62">
        <v>95503.0</v>
      </c>
      <c r="E9" s="63" t="s">
        <v>105</v>
      </c>
      <c r="F9" s="68">
        <v>300.0</v>
      </c>
      <c r="G9" s="21"/>
      <c r="H9" s="23"/>
      <c r="I9" s="24"/>
      <c r="J9" s="25"/>
      <c r="K9" s="65" t="s">
        <v>19</v>
      </c>
      <c r="L9" s="66" t="s">
        <v>106</v>
      </c>
      <c r="M9" s="67" t="s">
        <v>91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70">
        <v>45666.0</v>
      </c>
      <c r="C10" s="71" t="s">
        <v>107</v>
      </c>
      <c r="D10" s="72">
        <v>52669.0</v>
      </c>
      <c r="E10" s="73" t="s">
        <v>108</v>
      </c>
      <c r="F10" s="35"/>
      <c r="G10" s="74">
        <v>5200.0</v>
      </c>
      <c r="H10" s="37"/>
      <c r="I10" s="38"/>
      <c r="J10" s="39"/>
      <c r="K10" s="75" t="s">
        <v>19</v>
      </c>
      <c r="L10" s="76" t="s">
        <v>109</v>
      </c>
      <c r="M10" s="77" t="s">
        <v>110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61</v>
      </c>
      <c r="B11" s="70">
        <v>45666.0</v>
      </c>
      <c r="C11" s="71" t="s">
        <v>111</v>
      </c>
      <c r="D11" s="72">
        <v>47787.0</v>
      </c>
      <c r="E11" s="73" t="s">
        <v>30</v>
      </c>
      <c r="F11" s="35"/>
      <c r="G11" s="74">
        <v>10000.0</v>
      </c>
      <c r="H11" s="37"/>
      <c r="I11" s="38"/>
      <c r="J11" s="39"/>
      <c r="K11" s="75" t="s">
        <v>31</v>
      </c>
      <c r="L11" s="76" t="s">
        <v>112</v>
      </c>
      <c r="M11" s="77" t="s">
        <v>33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65</v>
      </c>
      <c r="B12" s="70">
        <v>45666.0</v>
      </c>
      <c r="C12" s="71" t="s">
        <v>113</v>
      </c>
      <c r="D12" s="72">
        <v>79572.0</v>
      </c>
      <c r="E12" s="73" t="s">
        <v>114</v>
      </c>
      <c r="F12" s="35"/>
      <c r="G12" s="74">
        <v>10000.0</v>
      </c>
      <c r="H12" s="37"/>
      <c r="I12" s="38"/>
      <c r="J12" s="39"/>
      <c r="K12" s="75" t="s">
        <v>19</v>
      </c>
      <c r="L12" s="76" t="s">
        <v>115</v>
      </c>
      <c r="M12" s="77" t="s">
        <v>116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57"/>
      <c r="C13" s="32"/>
      <c r="D13" s="33"/>
      <c r="E13" s="34"/>
      <c r="F13" s="35"/>
      <c r="G13" s="36"/>
      <c r="H13" s="37"/>
      <c r="I13" s="38"/>
      <c r="J13" s="39"/>
      <c r="K13" s="40"/>
      <c r="L13" s="41"/>
      <c r="M13" s="42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/>
      <c r="B14" s="49"/>
      <c r="C14" s="45"/>
      <c r="D14" s="46"/>
      <c r="E14" s="47"/>
      <c r="F14" s="50"/>
      <c r="G14" s="36"/>
      <c r="H14" s="37"/>
      <c r="I14" s="38"/>
      <c r="J14" s="39"/>
      <c r="K14" s="40"/>
      <c r="L14" s="41"/>
      <c r="M14" s="42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49"/>
      <c r="C15" s="45"/>
      <c r="D15" s="46"/>
      <c r="E15" s="47"/>
      <c r="F15" s="51"/>
      <c r="G15" s="36"/>
      <c r="H15" s="37"/>
      <c r="I15" s="38"/>
      <c r="J15" s="39"/>
      <c r="K15" s="40"/>
      <c r="L15" s="41"/>
      <c r="M15" s="42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52"/>
      <c r="B16" s="2"/>
      <c r="C16" s="2"/>
      <c r="D16" s="2"/>
      <c r="E16" s="3"/>
      <c r="F16" s="53">
        <f t="shared" ref="F16:J16" si="1">SUM(F4:F15)</f>
        <v>900</v>
      </c>
      <c r="G16" s="53">
        <f t="shared" si="1"/>
        <v>37100</v>
      </c>
      <c r="H16" s="53">
        <f t="shared" si="1"/>
        <v>0</v>
      </c>
      <c r="I16" s="53">
        <f t="shared" si="1"/>
        <v>0</v>
      </c>
      <c r="J16" s="53">
        <f t="shared" si="1"/>
        <v>0</v>
      </c>
      <c r="K16" s="54"/>
      <c r="L16" s="54"/>
      <c r="M16" s="55"/>
    </row>
    <row r="17" ht="48.0" customHeight="1">
      <c r="F17" s="56">
        <f>F16+G16+H16+I16+J16</f>
        <v>38000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70">
        <v>45901.0</v>
      </c>
      <c r="C4" s="71" t="s">
        <v>118</v>
      </c>
      <c r="D4" s="72">
        <v>45227.0</v>
      </c>
      <c r="E4" s="73" t="s">
        <v>119</v>
      </c>
      <c r="F4" s="74"/>
      <c r="G4" s="78">
        <v>9000.0</v>
      </c>
      <c r="H4" s="37"/>
      <c r="I4" s="38"/>
      <c r="J4" s="39"/>
      <c r="K4" s="75" t="s">
        <v>19</v>
      </c>
      <c r="L4" s="76">
        <v>20.35</v>
      </c>
      <c r="M4" s="77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70">
        <v>45901.0</v>
      </c>
      <c r="C5" s="71" t="s">
        <v>120</v>
      </c>
      <c r="D5" s="72">
        <v>95548.0</v>
      </c>
      <c r="E5" s="73" t="s">
        <v>121</v>
      </c>
      <c r="F5" s="79">
        <v>300.0</v>
      </c>
      <c r="G5" s="36"/>
      <c r="H5" s="37"/>
      <c r="I5" s="38"/>
      <c r="J5" s="39"/>
      <c r="K5" s="75" t="s">
        <v>19</v>
      </c>
      <c r="L5" s="76" t="s">
        <v>122</v>
      </c>
      <c r="M5" s="77" t="s">
        <v>123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70">
        <v>45901.0</v>
      </c>
      <c r="C6" s="71" t="s">
        <v>124</v>
      </c>
      <c r="D6" s="72">
        <v>95492.0</v>
      </c>
      <c r="E6" s="73" t="s">
        <v>89</v>
      </c>
      <c r="F6" s="79">
        <v>5550.0</v>
      </c>
      <c r="G6" s="74"/>
      <c r="H6" s="37"/>
      <c r="I6" s="38"/>
      <c r="J6" s="39"/>
      <c r="K6" s="75" t="s">
        <v>19</v>
      </c>
      <c r="L6" s="76" t="s">
        <v>125</v>
      </c>
      <c r="M6" s="77" t="s">
        <v>116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70">
        <v>45901.0</v>
      </c>
      <c r="C7" s="71" t="s">
        <v>126</v>
      </c>
      <c r="D7" s="72">
        <v>95548.0</v>
      </c>
      <c r="E7" s="73" t="s">
        <v>121</v>
      </c>
      <c r="F7" s="79">
        <v>2600.0</v>
      </c>
      <c r="G7" s="74"/>
      <c r="H7" s="37"/>
      <c r="I7" s="38"/>
      <c r="J7" s="39"/>
      <c r="K7" s="75" t="s">
        <v>19</v>
      </c>
      <c r="L7" s="76" t="s">
        <v>127</v>
      </c>
      <c r="M7" s="77" t="s">
        <v>116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70">
        <v>45901.0</v>
      </c>
      <c r="C8" s="71" t="s">
        <v>128</v>
      </c>
      <c r="D8" s="72">
        <v>95503.0</v>
      </c>
      <c r="E8" s="73" t="s">
        <v>105</v>
      </c>
      <c r="F8" s="79">
        <v>2600.0</v>
      </c>
      <c r="G8" s="74"/>
      <c r="H8" s="37"/>
      <c r="I8" s="38"/>
      <c r="J8" s="39"/>
      <c r="K8" s="75" t="s">
        <v>19</v>
      </c>
      <c r="L8" s="76" t="s">
        <v>129</v>
      </c>
      <c r="M8" s="77" t="s">
        <v>116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70">
        <v>45902.0</v>
      </c>
      <c r="C9" s="71" t="s">
        <v>130</v>
      </c>
      <c r="D9" s="72">
        <v>88485.0</v>
      </c>
      <c r="E9" s="73" t="s">
        <v>131</v>
      </c>
      <c r="F9" s="79"/>
      <c r="G9" s="36"/>
      <c r="H9" s="80">
        <v>3090.0</v>
      </c>
      <c r="I9" s="38"/>
      <c r="J9" s="39"/>
      <c r="K9" s="75" t="s">
        <v>19</v>
      </c>
      <c r="L9" s="76" t="s">
        <v>132</v>
      </c>
      <c r="M9" s="77" t="s">
        <v>123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70">
        <v>45902.0</v>
      </c>
      <c r="C10" s="71" t="s">
        <v>133</v>
      </c>
      <c r="D10" s="72">
        <v>90285.0</v>
      </c>
      <c r="E10" s="73" t="s">
        <v>134</v>
      </c>
      <c r="F10" s="35"/>
      <c r="G10" s="74"/>
      <c r="H10" s="80">
        <v>2500.0</v>
      </c>
      <c r="I10" s="38"/>
      <c r="J10" s="39"/>
      <c r="K10" s="75" t="s">
        <v>19</v>
      </c>
      <c r="L10" s="76" t="s">
        <v>135</v>
      </c>
      <c r="M10" s="77" t="s">
        <v>123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61</v>
      </c>
      <c r="B11" s="70">
        <v>45902.0</v>
      </c>
      <c r="C11" s="71" t="s">
        <v>136</v>
      </c>
      <c r="D11" s="72">
        <v>51406.0</v>
      </c>
      <c r="E11" s="73" t="s">
        <v>137</v>
      </c>
      <c r="F11" s="35"/>
      <c r="G11" s="74">
        <v>2500.0</v>
      </c>
      <c r="H11" s="37"/>
      <c r="I11" s="38"/>
      <c r="J11" s="39"/>
      <c r="K11" s="75" t="s">
        <v>19</v>
      </c>
      <c r="L11" s="76" t="s">
        <v>138</v>
      </c>
      <c r="M11" s="77" t="s">
        <v>123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65</v>
      </c>
      <c r="B12" s="70">
        <v>45902.0</v>
      </c>
      <c r="C12" s="71" t="s">
        <v>139</v>
      </c>
      <c r="D12" s="72">
        <v>51782.0</v>
      </c>
      <c r="E12" s="73" t="s">
        <v>140</v>
      </c>
      <c r="F12" s="35"/>
      <c r="G12" s="74">
        <v>5000.0</v>
      </c>
      <c r="H12" s="37"/>
      <c r="I12" s="38"/>
      <c r="J12" s="39"/>
      <c r="K12" s="75" t="s">
        <v>141</v>
      </c>
      <c r="L12" s="76" t="s">
        <v>142</v>
      </c>
      <c r="M12" s="77" t="s">
        <v>123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70">
        <v>45902.0</v>
      </c>
      <c r="C13" s="71" t="s">
        <v>143</v>
      </c>
      <c r="D13" s="72">
        <v>62623.0</v>
      </c>
      <c r="E13" s="73" t="s">
        <v>144</v>
      </c>
      <c r="F13" s="79">
        <v>2600.0</v>
      </c>
      <c r="G13" s="36"/>
      <c r="H13" s="37"/>
      <c r="I13" s="38"/>
      <c r="J13" s="39"/>
      <c r="K13" s="75" t="s">
        <v>19</v>
      </c>
      <c r="L13" s="41"/>
      <c r="M13" s="77" t="s">
        <v>116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/>
      <c r="B14" s="49"/>
      <c r="C14" s="45"/>
      <c r="D14" s="46"/>
      <c r="E14" s="47"/>
      <c r="F14" s="50"/>
      <c r="G14" s="36"/>
      <c r="H14" s="37"/>
      <c r="I14" s="38"/>
      <c r="J14" s="39"/>
      <c r="K14" s="40"/>
      <c r="L14" s="41"/>
      <c r="M14" s="42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49"/>
      <c r="C15" s="45"/>
      <c r="D15" s="46"/>
      <c r="E15" s="47"/>
      <c r="F15" s="51"/>
      <c r="G15" s="36"/>
      <c r="H15" s="37"/>
      <c r="I15" s="38"/>
      <c r="J15" s="39"/>
      <c r="K15" s="40"/>
      <c r="L15" s="41"/>
      <c r="M15" s="42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52"/>
      <c r="B16" s="2"/>
      <c r="C16" s="2"/>
      <c r="D16" s="2"/>
      <c r="E16" s="3"/>
      <c r="F16" s="53">
        <f t="shared" ref="F16:J16" si="1">SUM(F4:F15)</f>
        <v>13650</v>
      </c>
      <c r="G16" s="53">
        <f t="shared" si="1"/>
        <v>16500</v>
      </c>
      <c r="H16" s="53">
        <f t="shared" si="1"/>
        <v>5590</v>
      </c>
      <c r="I16" s="53">
        <f t="shared" si="1"/>
        <v>0</v>
      </c>
      <c r="J16" s="53">
        <f t="shared" si="1"/>
        <v>0</v>
      </c>
      <c r="K16" s="54"/>
      <c r="L16" s="54"/>
      <c r="M16" s="55"/>
    </row>
    <row r="17" ht="48.0" customHeight="1">
      <c r="F17" s="56">
        <f>F16+G16+H16+I16+J16</f>
        <v>35740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81">
        <v>45697.0</v>
      </c>
      <c r="C4" s="82" t="s">
        <v>146</v>
      </c>
      <c r="D4" s="83">
        <v>45227.0</v>
      </c>
      <c r="E4" s="84" t="s">
        <v>119</v>
      </c>
      <c r="F4" s="85"/>
      <c r="G4" s="86">
        <v>5800.0</v>
      </c>
      <c r="H4" s="87"/>
      <c r="I4" s="88"/>
      <c r="J4" s="89"/>
      <c r="K4" s="90" t="s">
        <v>19</v>
      </c>
      <c r="L4" s="91">
        <v>20.35</v>
      </c>
      <c r="M4" s="92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81">
        <v>45697.0</v>
      </c>
      <c r="C5" s="82" t="s">
        <v>147</v>
      </c>
      <c r="D5" s="83">
        <v>95644.0</v>
      </c>
      <c r="E5" s="84" t="s">
        <v>148</v>
      </c>
      <c r="F5" s="93">
        <v>300.0</v>
      </c>
      <c r="G5" s="94"/>
      <c r="H5" s="87"/>
      <c r="I5" s="88"/>
      <c r="J5" s="89"/>
      <c r="K5" s="90" t="s">
        <v>19</v>
      </c>
      <c r="L5" s="91" t="s">
        <v>122</v>
      </c>
      <c r="M5" s="92" t="s">
        <v>91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70">
        <v>45725.0</v>
      </c>
      <c r="C6" s="71" t="s">
        <v>149</v>
      </c>
      <c r="D6" s="72">
        <v>95708.0</v>
      </c>
      <c r="E6" s="73" t="s">
        <v>150</v>
      </c>
      <c r="F6" s="79">
        <v>300.0</v>
      </c>
      <c r="G6" s="74"/>
      <c r="H6" s="37"/>
      <c r="I6" s="38"/>
      <c r="J6" s="39"/>
      <c r="K6" s="75" t="s">
        <v>19</v>
      </c>
      <c r="L6" s="76" t="s">
        <v>125</v>
      </c>
      <c r="M6" s="77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70">
        <v>45725.0</v>
      </c>
      <c r="C7" s="71" t="s">
        <v>151</v>
      </c>
      <c r="D7" s="72">
        <v>72839.0</v>
      </c>
      <c r="E7" s="73" t="s">
        <v>152</v>
      </c>
      <c r="F7" s="79"/>
      <c r="G7" s="74">
        <v>20000.0</v>
      </c>
      <c r="H7" s="37"/>
      <c r="I7" s="38"/>
      <c r="J7" s="39"/>
      <c r="K7" s="75" t="s">
        <v>19</v>
      </c>
      <c r="L7" s="76" t="s">
        <v>127</v>
      </c>
      <c r="M7" s="77" t="s">
        <v>153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70">
        <v>45725.0</v>
      </c>
      <c r="C8" s="71" t="s">
        <v>154</v>
      </c>
      <c r="D8" s="72">
        <v>47787.0</v>
      </c>
      <c r="E8" s="73" t="s">
        <v>30</v>
      </c>
      <c r="F8" s="79"/>
      <c r="G8" s="74">
        <v>10000.0</v>
      </c>
      <c r="H8" s="37"/>
      <c r="I8" s="38"/>
      <c r="J8" s="39"/>
      <c r="K8" s="75" t="s">
        <v>31</v>
      </c>
      <c r="L8" s="76" t="s">
        <v>129</v>
      </c>
      <c r="M8" s="77" t="s">
        <v>33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5" t="s">
        <v>54</v>
      </c>
      <c r="B9" s="96">
        <v>45902.0</v>
      </c>
      <c r="C9" s="97" t="s">
        <v>155</v>
      </c>
      <c r="D9" s="98">
        <v>64461.0</v>
      </c>
      <c r="E9" s="99" t="s">
        <v>156</v>
      </c>
      <c r="F9" s="100"/>
      <c r="G9" s="101"/>
      <c r="H9" s="102"/>
      <c r="I9" s="103"/>
      <c r="J9" s="104">
        <v>72.0</v>
      </c>
      <c r="K9" s="105" t="s">
        <v>19</v>
      </c>
      <c r="L9" s="106" t="s">
        <v>157</v>
      </c>
      <c r="M9" s="107" t="s">
        <v>158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08">
        <v>45903.0</v>
      </c>
      <c r="C10" s="45" t="s">
        <v>159</v>
      </c>
      <c r="D10" s="46">
        <v>45227.0</v>
      </c>
      <c r="E10" s="109" t="s">
        <v>119</v>
      </c>
      <c r="F10" s="35"/>
      <c r="G10" s="74"/>
      <c r="H10" s="80"/>
      <c r="I10" s="38"/>
      <c r="J10" s="110">
        <v>35.0</v>
      </c>
      <c r="K10" s="75" t="s">
        <v>19</v>
      </c>
      <c r="L10" s="76" t="s">
        <v>160</v>
      </c>
      <c r="M10" s="77" t="s">
        <v>27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61</v>
      </c>
      <c r="B11" s="108">
        <v>45903.0</v>
      </c>
      <c r="C11" s="45" t="s">
        <v>161</v>
      </c>
      <c r="D11" s="46">
        <v>46927.0</v>
      </c>
      <c r="E11" s="109" t="s">
        <v>162</v>
      </c>
      <c r="F11" s="35"/>
      <c r="G11" s="74"/>
      <c r="H11" s="37"/>
      <c r="I11" s="38"/>
      <c r="J11" s="110">
        <v>35.0</v>
      </c>
      <c r="K11" s="75" t="s">
        <v>19</v>
      </c>
      <c r="L11" s="76" t="s">
        <v>163</v>
      </c>
      <c r="M11" s="77" t="s">
        <v>27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65</v>
      </c>
      <c r="B12" s="108">
        <v>45903.0</v>
      </c>
      <c r="C12" s="45" t="s">
        <v>164</v>
      </c>
      <c r="D12" s="46">
        <v>56330.0</v>
      </c>
      <c r="E12" s="109" t="s">
        <v>165</v>
      </c>
      <c r="F12" s="35"/>
      <c r="G12" s="74"/>
      <c r="H12" s="37"/>
      <c r="I12" s="38"/>
      <c r="J12" s="110">
        <v>35.0</v>
      </c>
      <c r="K12" s="75" t="s">
        <v>19</v>
      </c>
      <c r="L12" s="76" t="s">
        <v>166</v>
      </c>
      <c r="M12" s="77" t="s">
        <v>91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69</v>
      </c>
      <c r="B13" s="108">
        <v>45903.0</v>
      </c>
      <c r="C13" s="45" t="s">
        <v>167</v>
      </c>
      <c r="D13" s="46">
        <v>56036.0</v>
      </c>
      <c r="E13" s="109" t="s">
        <v>168</v>
      </c>
      <c r="F13" s="79"/>
      <c r="G13" s="36"/>
      <c r="H13" s="37"/>
      <c r="I13" s="38"/>
      <c r="J13" s="110">
        <v>35.0</v>
      </c>
      <c r="K13" s="75" t="s">
        <v>19</v>
      </c>
      <c r="L13" s="76" t="s">
        <v>169</v>
      </c>
      <c r="M13" s="77" t="s">
        <v>91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/>
      <c r="B14" s="49"/>
      <c r="C14" s="45"/>
      <c r="D14" s="46"/>
      <c r="E14" s="47"/>
      <c r="F14" s="50"/>
      <c r="G14" s="36"/>
      <c r="H14" s="37"/>
      <c r="I14" s="38"/>
      <c r="J14" s="39"/>
      <c r="K14" s="40"/>
      <c r="L14" s="41"/>
      <c r="M14" s="42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49"/>
      <c r="C15" s="45"/>
      <c r="D15" s="46"/>
      <c r="E15" s="47"/>
      <c r="F15" s="51"/>
      <c r="G15" s="36"/>
      <c r="H15" s="37"/>
      <c r="I15" s="38"/>
      <c r="J15" s="39"/>
      <c r="K15" s="40"/>
      <c r="L15" s="41"/>
      <c r="M15" s="42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52"/>
      <c r="B16" s="2"/>
      <c r="C16" s="2"/>
      <c r="D16" s="2"/>
      <c r="E16" s="3"/>
      <c r="F16" s="53">
        <f t="shared" ref="F16:J16" si="1">SUM(F4:F15)</f>
        <v>600</v>
      </c>
      <c r="G16" s="53">
        <f t="shared" si="1"/>
        <v>35800</v>
      </c>
      <c r="H16" s="53">
        <f t="shared" si="1"/>
        <v>0</v>
      </c>
      <c r="I16" s="53">
        <f t="shared" si="1"/>
        <v>0</v>
      </c>
      <c r="J16" s="53">
        <f t="shared" si="1"/>
        <v>212</v>
      </c>
      <c r="K16" s="54"/>
      <c r="L16" s="54"/>
      <c r="M16" s="55"/>
    </row>
    <row r="17" ht="48.0" customHeight="1">
      <c r="F17" s="56">
        <f>F16+G16+H16+I16+J16</f>
        <v>36612</v>
      </c>
      <c r="G17" s="2"/>
      <c r="H17" s="2"/>
      <c r="I17" s="2"/>
      <c r="J17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6:E16"/>
    <mergeCell ref="F17:J17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70">
        <v>45904.0</v>
      </c>
      <c r="C4" s="71" t="s">
        <v>171</v>
      </c>
      <c r="D4" s="72">
        <v>16390.0</v>
      </c>
      <c r="E4" s="73" t="s">
        <v>172</v>
      </c>
      <c r="F4" s="74"/>
      <c r="G4" s="78"/>
      <c r="H4" s="37"/>
      <c r="I4" s="38"/>
      <c r="J4" s="111">
        <v>70.0</v>
      </c>
      <c r="K4" s="75" t="s">
        <v>19</v>
      </c>
      <c r="L4" s="76" t="s">
        <v>173</v>
      </c>
      <c r="M4" s="77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70">
        <v>45904.0</v>
      </c>
      <c r="C5" s="71" t="s">
        <v>174</v>
      </c>
      <c r="D5" s="72">
        <v>64925.0</v>
      </c>
      <c r="E5" s="73" t="s">
        <v>175</v>
      </c>
      <c r="F5" s="79"/>
      <c r="G5" s="36"/>
      <c r="H5" s="37"/>
      <c r="I5" s="38"/>
      <c r="J5" s="111">
        <v>35.0</v>
      </c>
      <c r="K5" s="75" t="s">
        <v>19</v>
      </c>
      <c r="L5" s="76" t="s">
        <v>176</v>
      </c>
      <c r="M5" s="77" t="s">
        <v>91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70">
        <v>45904.0</v>
      </c>
      <c r="C6" s="71" t="s">
        <v>177</v>
      </c>
      <c r="D6" s="72">
        <v>18701.0</v>
      </c>
      <c r="E6" s="73" t="s">
        <v>178</v>
      </c>
      <c r="F6" s="79"/>
      <c r="G6" s="74"/>
      <c r="H6" s="37"/>
      <c r="I6" s="38"/>
      <c r="J6" s="111">
        <v>35.0</v>
      </c>
      <c r="K6" s="75" t="s">
        <v>19</v>
      </c>
      <c r="L6" s="76" t="s">
        <v>179</v>
      </c>
      <c r="M6" s="77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70">
        <v>45904.0</v>
      </c>
      <c r="C7" s="71" t="s">
        <v>180</v>
      </c>
      <c r="D7" s="72">
        <v>51166.0</v>
      </c>
      <c r="E7" s="73" t="s">
        <v>181</v>
      </c>
      <c r="F7" s="79"/>
      <c r="G7" s="74">
        <v>5100.0</v>
      </c>
      <c r="H7" s="37"/>
      <c r="I7" s="38"/>
      <c r="J7" s="39"/>
      <c r="K7" s="75" t="s">
        <v>19</v>
      </c>
      <c r="L7" s="76" t="s">
        <v>182</v>
      </c>
      <c r="M7" s="77" t="s">
        <v>153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70">
        <v>45904.0</v>
      </c>
      <c r="C8" s="71" t="s">
        <v>183</v>
      </c>
      <c r="D8" s="72">
        <v>50595.0</v>
      </c>
      <c r="E8" s="73" t="s">
        <v>59</v>
      </c>
      <c r="F8" s="79"/>
      <c r="G8" s="74">
        <v>5000.0</v>
      </c>
      <c r="H8" s="37"/>
      <c r="I8" s="38"/>
      <c r="J8" s="39"/>
      <c r="K8" s="75" t="s">
        <v>19</v>
      </c>
      <c r="L8" s="76" t="s">
        <v>184</v>
      </c>
      <c r="M8" s="77" t="s">
        <v>91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08"/>
      <c r="C9" s="45"/>
      <c r="D9" s="46"/>
      <c r="E9" s="109"/>
      <c r="F9" s="35"/>
      <c r="G9" s="74"/>
      <c r="H9" s="80"/>
      <c r="I9" s="38"/>
      <c r="J9" s="36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08"/>
      <c r="C10" s="45"/>
      <c r="D10" s="46"/>
      <c r="E10" s="109"/>
      <c r="F10" s="35"/>
      <c r="G10" s="74"/>
      <c r="H10" s="80"/>
      <c r="I10" s="38"/>
      <c r="J10" s="110"/>
      <c r="K10" s="75"/>
      <c r="L10" s="76"/>
      <c r="M10" s="7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49"/>
      <c r="C11" s="45"/>
      <c r="D11" s="46"/>
      <c r="E11" s="47"/>
      <c r="F11" s="51"/>
      <c r="G11" s="36"/>
      <c r="H11" s="37"/>
      <c r="I11" s="38"/>
      <c r="J11" s="39"/>
      <c r="K11" s="40"/>
      <c r="L11" s="41"/>
      <c r="M11" s="4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2"/>
      <c r="B12" s="2"/>
      <c r="C12" s="2"/>
      <c r="D12" s="2"/>
      <c r="E12" s="3"/>
      <c r="F12" s="53">
        <f t="shared" ref="F12:J12" si="1">SUM(F4:F11)</f>
        <v>0</v>
      </c>
      <c r="G12" s="53">
        <f t="shared" si="1"/>
        <v>10100</v>
      </c>
      <c r="H12" s="53">
        <f t="shared" si="1"/>
        <v>0</v>
      </c>
      <c r="I12" s="53">
        <f t="shared" si="1"/>
        <v>0</v>
      </c>
      <c r="J12" s="53">
        <f t="shared" si="1"/>
        <v>140</v>
      </c>
      <c r="K12" s="54"/>
      <c r="L12" s="54"/>
      <c r="M12" s="55"/>
    </row>
    <row r="13" ht="48.0" customHeight="1">
      <c r="F13" s="56">
        <f>F12+G12+H12+I12+J12</f>
        <v>10240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12">
        <v>45904.0</v>
      </c>
      <c r="C4" s="61" t="s">
        <v>186</v>
      </c>
      <c r="D4" s="62">
        <v>87820.0</v>
      </c>
      <c r="E4" s="63" t="s">
        <v>187</v>
      </c>
      <c r="F4" s="64">
        <v>5000.0</v>
      </c>
      <c r="G4" s="113"/>
      <c r="H4" s="23"/>
      <c r="I4" s="24"/>
      <c r="J4" s="114"/>
      <c r="K4" s="65" t="s">
        <v>19</v>
      </c>
      <c r="L4" s="66" t="s">
        <v>188</v>
      </c>
      <c r="M4" s="67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70">
        <v>45905.0</v>
      </c>
      <c r="C5" s="71" t="s">
        <v>189</v>
      </c>
      <c r="D5" s="72">
        <v>52669.0</v>
      </c>
      <c r="E5" s="73" t="s">
        <v>108</v>
      </c>
      <c r="F5" s="79"/>
      <c r="G5" s="74">
        <v>25200.0</v>
      </c>
      <c r="H5" s="37"/>
      <c r="I5" s="38"/>
      <c r="J5" s="111"/>
      <c r="K5" s="75" t="s">
        <v>19</v>
      </c>
      <c r="L5" s="76" t="s">
        <v>190</v>
      </c>
      <c r="M5" s="77" t="s">
        <v>153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70">
        <v>45905.0</v>
      </c>
      <c r="C6" s="71" t="s">
        <v>191</v>
      </c>
      <c r="D6" s="72">
        <v>72839.0</v>
      </c>
      <c r="E6" s="73" t="s">
        <v>152</v>
      </c>
      <c r="F6" s="79"/>
      <c r="G6" s="74">
        <v>10000.0</v>
      </c>
      <c r="H6" s="37"/>
      <c r="I6" s="38"/>
      <c r="J6" s="111"/>
      <c r="K6" s="75" t="s">
        <v>19</v>
      </c>
      <c r="L6" s="76" t="s">
        <v>192</v>
      </c>
      <c r="M6" s="77" t="s">
        <v>153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70">
        <v>45905.0</v>
      </c>
      <c r="C7" s="71" t="s">
        <v>193</v>
      </c>
      <c r="D7" s="72">
        <v>10008.0</v>
      </c>
      <c r="E7" s="73" t="s">
        <v>194</v>
      </c>
      <c r="F7" s="79"/>
      <c r="G7" s="74"/>
      <c r="H7" s="80">
        <v>900.0</v>
      </c>
      <c r="I7" s="38"/>
      <c r="J7" s="39"/>
      <c r="K7" s="75" t="s">
        <v>19</v>
      </c>
      <c r="L7" s="76" t="s">
        <v>195</v>
      </c>
      <c r="M7" s="77" t="s">
        <v>153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70">
        <v>45905.0</v>
      </c>
      <c r="C8" s="71" t="s">
        <v>196</v>
      </c>
      <c r="D8" s="72">
        <v>59244.0</v>
      </c>
      <c r="E8" s="73" t="s">
        <v>197</v>
      </c>
      <c r="F8" s="79"/>
      <c r="G8" s="74"/>
      <c r="H8" s="37"/>
      <c r="I8" s="38"/>
      <c r="J8" s="111">
        <v>140.0</v>
      </c>
      <c r="K8" s="75" t="s">
        <v>19</v>
      </c>
      <c r="L8" s="76" t="s">
        <v>198</v>
      </c>
      <c r="M8" s="77" t="s">
        <v>141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08"/>
      <c r="C9" s="45"/>
      <c r="D9" s="46"/>
      <c r="E9" s="109"/>
      <c r="F9" s="35"/>
      <c r="G9" s="74"/>
      <c r="H9" s="80"/>
      <c r="I9" s="38"/>
      <c r="J9" s="36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08"/>
      <c r="C10" s="45"/>
      <c r="D10" s="46"/>
      <c r="E10" s="109"/>
      <c r="F10" s="35"/>
      <c r="G10" s="74"/>
      <c r="H10" s="80"/>
      <c r="I10" s="38"/>
      <c r="J10" s="110"/>
      <c r="K10" s="75"/>
      <c r="L10" s="76"/>
      <c r="M10" s="7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49"/>
      <c r="C11" s="45"/>
      <c r="D11" s="46"/>
      <c r="E11" s="47"/>
      <c r="F11" s="51"/>
      <c r="G11" s="36"/>
      <c r="H11" s="37"/>
      <c r="I11" s="38"/>
      <c r="J11" s="39"/>
      <c r="K11" s="40"/>
      <c r="L11" s="41"/>
      <c r="M11" s="4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2"/>
      <c r="B12" s="2"/>
      <c r="C12" s="2"/>
      <c r="D12" s="2"/>
      <c r="E12" s="3"/>
      <c r="F12" s="53">
        <f t="shared" ref="F12:J12" si="1">SUM(F4:F11)</f>
        <v>5000</v>
      </c>
      <c r="G12" s="53">
        <f t="shared" si="1"/>
        <v>35200</v>
      </c>
      <c r="H12" s="53">
        <f t="shared" si="1"/>
        <v>900</v>
      </c>
      <c r="I12" s="53">
        <f t="shared" si="1"/>
        <v>0</v>
      </c>
      <c r="J12" s="53">
        <f t="shared" si="1"/>
        <v>140</v>
      </c>
      <c r="K12" s="54"/>
      <c r="L12" s="54"/>
      <c r="M12" s="55"/>
    </row>
    <row r="13" ht="48.0" customHeight="1">
      <c r="F13" s="56">
        <f>F12+G12+H12+I12+J12</f>
        <v>41240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70">
        <v>45905.0</v>
      </c>
      <c r="C4" s="71" t="s">
        <v>200</v>
      </c>
      <c r="D4" s="72">
        <v>45227.0</v>
      </c>
      <c r="E4" s="73" t="s">
        <v>119</v>
      </c>
      <c r="F4" s="74"/>
      <c r="G4" s="78">
        <v>8100.0</v>
      </c>
      <c r="H4" s="37"/>
      <c r="I4" s="38"/>
      <c r="J4" s="111"/>
      <c r="K4" s="75" t="s">
        <v>19</v>
      </c>
      <c r="L4" s="76" t="s">
        <v>201</v>
      </c>
      <c r="M4" s="77" t="s">
        <v>153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70">
        <v>45906.0</v>
      </c>
      <c r="C5" s="71" t="s">
        <v>202</v>
      </c>
      <c r="D5" s="72">
        <v>47787.0</v>
      </c>
      <c r="E5" s="73" t="s">
        <v>30</v>
      </c>
      <c r="F5" s="79"/>
      <c r="G5" s="74">
        <v>5000.0</v>
      </c>
      <c r="H5" s="37"/>
      <c r="I5" s="38"/>
      <c r="J5" s="111"/>
      <c r="K5" s="75" t="s">
        <v>19</v>
      </c>
      <c r="L5" s="76" t="s">
        <v>203</v>
      </c>
      <c r="M5" s="77" t="s">
        <v>204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70">
        <v>45906.0</v>
      </c>
      <c r="C6" s="71" t="s">
        <v>205</v>
      </c>
      <c r="D6" s="72">
        <v>54763.0</v>
      </c>
      <c r="E6" s="73" t="s">
        <v>206</v>
      </c>
      <c r="F6" s="79"/>
      <c r="G6" s="74"/>
      <c r="H6" s="37"/>
      <c r="I6" s="38"/>
      <c r="J6" s="111">
        <v>35.0</v>
      </c>
      <c r="K6" s="75" t="s">
        <v>19</v>
      </c>
      <c r="L6" s="76" t="s">
        <v>207</v>
      </c>
      <c r="M6" s="77" t="s">
        <v>204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70">
        <v>45906.0</v>
      </c>
      <c r="C7" s="71" t="s">
        <v>208</v>
      </c>
      <c r="D7" s="72">
        <v>54764.0</v>
      </c>
      <c r="E7" s="73" t="s">
        <v>209</v>
      </c>
      <c r="F7" s="79"/>
      <c r="G7" s="74"/>
      <c r="H7" s="80"/>
      <c r="I7" s="38"/>
      <c r="J7" s="111">
        <v>35.0</v>
      </c>
      <c r="K7" s="75" t="s">
        <v>19</v>
      </c>
      <c r="L7" s="76" t="s">
        <v>210</v>
      </c>
      <c r="M7" s="77" t="s">
        <v>204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70">
        <v>45906.0</v>
      </c>
      <c r="C8" s="71" t="s">
        <v>211</v>
      </c>
      <c r="D8" s="72">
        <v>36555.0</v>
      </c>
      <c r="E8" s="73" t="s">
        <v>212</v>
      </c>
      <c r="F8" s="79"/>
      <c r="G8" s="74">
        <v>2500.0</v>
      </c>
      <c r="H8" s="37"/>
      <c r="I8" s="38"/>
      <c r="J8" s="111"/>
      <c r="K8" s="75" t="s">
        <v>19</v>
      </c>
      <c r="L8" s="76" t="s">
        <v>68</v>
      </c>
      <c r="M8" s="77" t="s">
        <v>204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08"/>
      <c r="C9" s="45"/>
      <c r="D9" s="46"/>
      <c r="E9" s="109"/>
      <c r="F9" s="35"/>
      <c r="G9" s="74"/>
      <c r="H9" s="80"/>
      <c r="I9" s="38"/>
      <c r="J9" s="36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08"/>
      <c r="C10" s="45"/>
      <c r="D10" s="46"/>
      <c r="E10" s="109"/>
      <c r="F10" s="35"/>
      <c r="G10" s="74"/>
      <c r="H10" s="80"/>
      <c r="I10" s="38"/>
      <c r="J10" s="110"/>
      <c r="K10" s="75"/>
      <c r="L10" s="76"/>
      <c r="M10" s="7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49"/>
      <c r="C11" s="45"/>
      <c r="D11" s="46"/>
      <c r="E11" s="47"/>
      <c r="F11" s="51"/>
      <c r="G11" s="36"/>
      <c r="H11" s="37"/>
      <c r="I11" s="38"/>
      <c r="J11" s="39"/>
      <c r="K11" s="40"/>
      <c r="L11" s="41"/>
      <c r="M11" s="4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2"/>
      <c r="B12" s="2"/>
      <c r="C12" s="2"/>
      <c r="D12" s="2"/>
      <c r="E12" s="3"/>
      <c r="F12" s="53">
        <f t="shared" ref="F12:J12" si="1">SUM(F4:F11)</f>
        <v>0</v>
      </c>
      <c r="G12" s="53">
        <f t="shared" si="1"/>
        <v>15600</v>
      </c>
      <c r="H12" s="53">
        <f t="shared" si="1"/>
        <v>0</v>
      </c>
      <c r="I12" s="53">
        <f t="shared" si="1"/>
        <v>0</v>
      </c>
      <c r="J12" s="53">
        <f t="shared" si="1"/>
        <v>70</v>
      </c>
      <c r="K12" s="54"/>
      <c r="L12" s="54"/>
      <c r="M12" s="55"/>
    </row>
    <row r="13" ht="48.0" customHeight="1">
      <c r="F13" s="56">
        <f>F12+G12+H12+I12+J12</f>
        <v>15670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199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70">
        <v>45907.0</v>
      </c>
      <c r="C4" s="71" t="s">
        <v>213</v>
      </c>
      <c r="D4" s="72">
        <v>47787.0</v>
      </c>
      <c r="E4" s="73" t="s">
        <v>30</v>
      </c>
      <c r="F4" s="74"/>
      <c r="G4" s="78">
        <v>5000.0</v>
      </c>
      <c r="H4" s="37"/>
      <c r="I4" s="38"/>
      <c r="J4" s="111"/>
      <c r="K4" s="75" t="s">
        <v>19</v>
      </c>
      <c r="L4" s="76" t="s">
        <v>214</v>
      </c>
      <c r="M4" s="77" t="s">
        <v>204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70"/>
      <c r="C5" s="71"/>
      <c r="D5" s="72"/>
      <c r="E5" s="73"/>
      <c r="F5" s="79"/>
      <c r="G5" s="74"/>
      <c r="H5" s="37"/>
      <c r="I5" s="38"/>
      <c r="J5" s="111"/>
      <c r="K5" s="75" t="s">
        <v>19</v>
      </c>
      <c r="L5" s="76"/>
      <c r="M5" s="77" t="s">
        <v>204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70"/>
      <c r="C6" s="71"/>
      <c r="D6" s="72"/>
      <c r="E6" s="73"/>
      <c r="F6" s="79"/>
      <c r="G6" s="74"/>
      <c r="H6" s="37"/>
      <c r="I6" s="38"/>
      <c r="J6" s="111"/>
      <c r="K6" s="75" t="s">
        <v>19</v>
      </c>
      <c r="L6" s="76"/>
      <c r="M6" s="77" t="s">
        <v>204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70"/>
      <c r="C7" s="71"/>
      <c r="D7" s="72"/>
      <c r="E7" s="73"/>
      <c r="F7" s="79"/>
      <c r="G7" s="74"/>
      <c r="H7" s="80"/>
      <c r="I7" s="38"/>
      <c r="J7" s="111"/>
      <c r="K7" s="75" t="s">
        <v>19</v>
      </c>
      <c r="L7" s="76"/>
      <c r="M7" s="77" t="s">
        <v>204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70"/>
      <c r="C8" s="71"/>
      <c r="D8" s="72"/>
      <c r="E8" s="73"/>
      <c r="F8" s="79"/>
      <c r="G8" s="74"/>
      <c r="H8" s="37"/>
      <c r="I8" s="38"/>
      <c r="J8" s="111"/>
      <c r="K8" s="75" t="s">
        <v>19</v>
      </c>
      <c r="L8" s="76"/>
      <c r="M8" s="77" t="s">
        <v>204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08"/>
      <c r="C9" s="45"/>
      <c r="D9" s="46"/>
      <c r="E9" s="109"/>
      <c r="F9" s="35"/>
      <c r="G9" s="74"/>
      <c r="H9" s="80"/>
      <c r="I9" s="38"/>
      <c r="J9" s="36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08"/>
      <c r="C10" s="45"/>
      <c r="D10" s="46"/>
      <c r="E10" s="109"/>
      <c r="F10" s="35"/>
      <c r="G10" s="74"/>
      <c r="H10" s="80"/>
      <c r="I10" s="38"/>
      <c r="J10" s="110"/>
      <c r="K10" s="75"/>
      <c r="L10" s="76"/>
      <c r="M10" s="7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49"/>
      <c r="C11" s="45"/>
      <c r="D11" s="46"/>
      <c r="E11" s="47"/>
      <c r="F11" s="51"/>
      <c r="G11" s="36"/>
      <c r="H11" s="37"/>
      <c r="I11" s="38"/>
      <c r="J11" s="39"/>
      <c r="K11" s="40"/>
      <c r="L11" s="41"/>
      <c r="M11" s="4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52"/>
      <c r="B12" s="2"/>
      <c r="C12" s="2"/>
      <c r="D12" s="2"/>
      <c r="E12" s="3"/>
      <c r="F12" s="53">
        <f t="shared" ref="F12:J12" si="1">SUM(F4:F11)</f>
        <v>0</v>
      </c>
      <c r="G12" s="53">
        <f t="shared" si="1"/>
        <v>5000</v>
      </c>
      <c r="H12" s="53">
        <f t="shared" si="1"/>
        <v>0</v>
      </c>
      <c r="I12" s="53">
        <f t="shared" si="1"/>
        <v>0</v>
      </c>
      <c r="J12" s="53">
        <f t="shared" si="1"/>
        <v>0</v>
      </c>
      <c r="K12" s="54"/>
      <c r="L12" s="54"/>
      <c r="M12" s="55"/>
    </row>
    <row r="13" ht="48.0" customHeight="1">
      <c r="F13" s="56">
        <f>F12+G12+H12+I12+J12</f>
        <v>5000</v>
      </c>
      <c r="G13" s="2"/>
      <c r="H13" s="2"/>
      <c r="I13" s="2"/>
      <c r="J1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2">
    <mergeCell ref="K2:K3"/>
    <mergeCell ref="L2:L3"/>
    <mergeCell ref="E2:E3"/>
    <mergeCell ref="A12:E12"/>
    <mergeCell ref="F13:J13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215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70">
        <v>45878.0</v>
      </c>
      <c r="C4" s="71" t="s">
        <v>216</v>
      </c>
      <c r="D4" s="72">
        <v>96199.0</v>
      </c>
      <c r="E4" s="73" t="s">
        <v>217</v>
      </c>
      <c r="F4" s="74"/>
      <c r="G4" s="78">
        <v>2400.0</v>
      </c>
      <c r="H4" s="37"/>
      <c r="I4" s="38"/>
      <c r="J4" s="111"/>
      <c r="K4" s="75" t="s">
        <v>19</v>
      </c>
      <c r="L4" s="76" t="s">
        <v>218</v>
      </c>
      <c r="M4" s="77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70">
        <v>45878.0</v>
      </c>
      <c r="C5" s="71" t="s">
        <v>219</v>
      </c>
      <c r="D5" s="72">
        <v>43380.0</v>
      </c>
      <c r="E5" s="73" t="s">
        <v>46</v>
      </c>
      <c r="F5" s="79"/>
      <c r="G5" s="74">
        <v>25000.0</v>
      </c>
      <c r="H5" s="37"/>
      <c r="I5" s="38"/>
      <c r="J5" s="111"/>
      <c r="K5" s="75" t="s">
        <v>19</v>
      </c>
      <c r="L5" s="76" t="s">
        <v>220</v>
      </c>
      <c r="M5" s="77" t="s">
        <v>221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70">
        <v>45878.0</v>
      </c>
      <c r="C6" s="71" t="s">
        <v>222</v>
      </c>
      <c r="D6" s="72">
        <v>50342.0</v>
      </c>
      <c r="E6" s="73" t="s">
        <v>223</v>
      </c>
      <c r="F6" s="79"/>
      <c r="G6" s="74">
        <v>2500.0</v>
      </c>
      <c r="H6" s="37"/>
      <c r="I6" s="38"/>
      <c r="J6" s="111"/>
      <c r="K6" s="75" t="s">
        <v>31</v>
      </c>
      <c r="L6" s="76" t="s">
        <v>224</v>
      </c>
      <c r="M6" s="77" t="s">
        <v>33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70">
        <v>45878.0</v>
      </c>
      <c r="C7" s="71" t="s">
        <v>225</v>
      </c>
      <c r="D7" s="72">
        <v>52215.0</v>
      </c>
      <c r="E7" s="73" t="s">
        <v>226</v>
      </c>
      <c r="F7" s="79"/>
      <c r="G7" s="74">
        <v>9000.0</v>
      </c>
      <c r="H7" s="80"/>
      <c r="I7" s="38"/>
      <c r="J7" s="111"/>
      <c r="K7" s="75" t="s">
        <v>19</v>
      </c>
      <c r="L7" s="76" t="s">
        <v>227</v>
      </c>
      <c r="M7" s="77" t="s">
        <v>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70"/>
      <c r="C8" s="71"/>
      <c r="D8" s="72"/>
      <c r="E8" s="73"/>
      <c r="F8" s="79"/>
      <c r="G8" s="74"/>
      <c r="H8" s="37"/>
      <c r="I8" s="38"/>
      <c r="J8" s="111"/>
      <c r="K8" s="75"/>
      <c r="L8" s="76"/>
      <c r="M8" s="7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49"/>
      <c r="C9" s="45"/>
      <c r="D9" s="46"/>
      <c r="E9" s="47"/>
      <c r="F9" s="51"/>
      <c r="G9" s="36"/>
      <c r="H9" s="37"/>
      <c r="I9" s="38"/>
      <c r="J9" s="39"/>
      <c r="K9" s="40"/>
      <c r="L9" s="41"/>
      <c r="M9" s="4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52"/>
      <c r="B10" s="2"/>
      <c r="C10" s="2"/>
      <c r="D10" s="2"/>
      <c r="E10" s="3"/>
      <c r="F10" s="53">
        <f t="shared" ref="F10:J10" si="1">SUM(F4:F9)</f>
        <v>0</v>
      </c>
      <c r="G10" s="53">
        <f t="shared" si="1"/>
        <v>38900</v>
      </c>
      <c r="H10" s="53">
        <f t="shared" si="1"/>
        <v>0</v>
      </c>
      <c r="I10" s="53">
        <f t="shared" si="1"/>
        <v>0</v>
      </c>
      <c r="J10" s="53">
        <f t="shared" si="1"/>
        <v>0</v>
      </c>
      <c r="K10" s="54"/>
      <c r="L10" s="54"/>
      <c r="M10" s="55"/>
    </row>
    <row r="11" ht="48.0" customHeight="1">
      <c r="F11" s="56">
        <f>F10+G10+H10+I10+J10</f>
        <v>38900</v>
      </c>
      <c r="G11" s="2"/>
      <c r="H11" s="2"/>
      <c r="I11" s="2"/>
      <c r="J1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15">
        <v>45909.0</v>
      </c>
      <c r="C4" s="116" t="s">
        <v>229</v>
      </c>
      <c r="D4" s="117">
        <v>43380.0</v>
      </c>
      <c r="E4" s="118" t="s">
        <v>46</v>
      </c>
      <c r="F4" s="74"/>
      <c r="G4" s="78">
        <v>14900.0</v>
      </c>
      <c r="H4" s="37"/>
      <c r="I4" s="38"/>
      <c r="J4" s="111"/>
      <c r="K4" s="75" t="s">
        <v>19</v>
      </c>
      <c r="L4" s="76" t="s">
        <v>230</v>
      </c>
      <c r="M4" s="77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115">
        <v>45909.0</v>
      </c>
      <c r="C5" s="116" t="s">
        <v>231</v>
      </c>
      <c r="D5" s="117">
        <v>54426.0</v>
      </c>
      <c r="E5" s="118" t="s">
        <v>232</v>
      </c>
      <c r="F5" s="79"/>
      <c r="G5" s="74"/>
      <c r="H5" s="37"/>
      <c r="I5" s="38"/>
      <c r="J5" s="111">
        <v>210.0</v>
      </c>
      <c r="K5" s="75" t="s">
        <v>19</v>
      </c>
      <c r="L5" s="76" t="s">
        <v>233</v>
      </c>
      <c r="M5" s="77" t="s">
        <v>53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9" t="s">
        <v>28</v>
      </c>
      <c r="B6" s="115">
        <v>45909.0</v>
      </c>
      <c r="C6" s="116" t="s">
        <v>234</v>
      </c>
      <c r="D6" s="117">
        <v>47787.0</v>
      </c>
      <c r="E6" s="118" t="s">
        <v>30</v>
      </c>
      <c r="F6" s="79"/>
      <c r="G6" s="74">
        <v>10000.0</v>
      </c>
      <c r="H6" s="37"/>
      <c r="I6" s="38"/>
      <c r="J6" s="111"/>
      <c r="K6" s="75" t="s">
        <v>31</v>
      </c>
      <c r="L6" s="76" t="s">
        <v>235</v>
      </c>
      <c r="M6" s="77" t="s">
        <v>236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115">
        <v>45909.0</v>
      </c>
      <c r="C7" s="116" t="s">
        <v>237</v>
      </c>
      <c r="D7" s="117">
        <v>64461.0</v>
      </c>
      <c r="E7" s="118" t="s">
        <v>156</v>
      </c>
      <c r="F7" s="79"/>
      <c r="G7" s="74"/>
      <c r="H7" s="37"/>
      <c r="I7" s="38"/>
      <c r="J7" s="111">
        <v>210.0</v>
      </c>
      <c r="K7" s="75" t="s">
        <v>19</v>
      </c>
      <c r="L7" s="76" t="s">
        <v>238</v>
      </c>
      <c r="M7" s="77" t="s">
        <v>53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15">
        <v>45909.0</v>
      </c>
      <c r="C8" s="116" t="s">
        <v>239</v>
      </c>
      <c r="D8" s="117">
        <v>53460.0</v>
      </c>
      <c r="E8" s="118" t="s">
        <v>240</v>
      </c>
      <c r="F8" s="79"/>
      <c r="G8" s="74"/>
      <c r="H8" s="80">
        <v>140.0</v>
      </c>
      <c r="I8" s="38"/>
      <c r="J8" s="111"/>
      <c r="K8" s="75" t="s">
        <v>19</v>
      </c>
      <c r="L8" s="76" t="s">
        <v>241</v>
      </c>
      <c r="M8" s="77" t="s">
        <v>53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9" t="s">
        <v>54</v>
      </c>
      <c r="B9" s="115">
        <v>45909.0</v>
      </c>
      <c r="C9" s="116" t="s">
        <v>242</v>
      </c>
      <c r="D9" s="117">
        <v>10271.0</v>
      </c>
      <c r="E9" s="118" t="s">
        <v>243</v>
      </c>
      <c r="F9" s="79"/>
      <c r="G9" s="74">
        <v>3200.0</v>
      </c>
      <c r="H9" s="37"/>
      <c r="I9" s="38"/>
      <c r="J9" s="111"/>
      <c r="K9" s="75" t="s">
        <v>19</v>
      </c>
      <c r="L9" s="76" t="s">
        <v>244</v>
      </c>
      <c r="M9" s="77" t="s">
        <v>53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15">
        <v>45909.0</v>
      </c>
      <c r="C10" s="116" t="s">
        <v>245</v>
      </c>
      <c r="D10" s="117">
        <v>51782.0</v>
      </c>
      <c r="E10" s="118" t="s">
        <v>140</v>
      </c>
      <c r="F10" s="79"/>
      <c r="G10" s="74">
        <v>450.0</v>
      </c>
      <c r="H10" s="37"/>
      <c r="I10" s="38"/>
      <c r="J10" s="111"/>
      <c r="K10" s="75" t="s">
        <v>31</v>
      </c>
      <c r="L10" s="76" t="s">
        <v>246</v>
      </c>
      <c r="M10" s="77" t="s">
        <v>236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61</v>
      </c>
      <c r="B11" s="115">
        <v>45909.0</v>
      </c>
      <c r="C11" s="116" t="s">
        <v>247</v>
      </c>
      <c r="D11" s="117">
        <v>24368.0</v>
      </c>
      <c r="E11" s="118" t="s">
        <v>248</v>
      </c>
      <c r="F11" s="79"/>
      <c r="G11" s="74"/>
      <c r="H11" s="80"/>
      <c r="I11" s="38"/>
      <c r="J11" s="111">
        <v>800.0</v>
      </c>
      <c r="K11" s="75" t="s">
        <v>19</v>
      </c>
      <c r="L11" s="76" t="s">
        <v>249</v>
      </c>
      <c r="M11" s="77" t="s">
        <v>53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19" t="s">
        <v>65</v>
      </c>
      <c r="B12" s="115">
        <v>45909.0</v>
      </c>
      <c r="C12" s="116" t="s">
        <v>250</v>
      </c>
      <c r="D12" s="117">
        <v>10006.0</v>
      </c>
      <c r="E12" s="118" t="s">
        <v>25</v>
      </c>
      <c r="F12" s="79"/>
      <c r="G12" s="74">
        <v>3600.0</v>
      </c>
      <c r="H12" s="37"/>
      <c r="I12" s="38"/>
      <c r="J12" s="111"/>
      <c r="K12" s="75" t="s">
        <v>19</v>
      </c>
      <c r="L12" s="76" t="s">
        <v>251</v>
      </c>
      <c r="M12" s="77" t="s">
        <v>53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49"/>
      <c r="C13" s="45"/>
      <c r="D13" s="46"/>
      <c r="E13" s="47"/>
      <c r="F13" s="51"/>
      <c r="G13" s="36"/>
      <c r="H13" s="37"/>
      <c r="I13" s="38"/>
      <c r="J13" s="39"/>
      <c r="K13" s="40"/>
      <c r="L13" s="41"/>
      <c r="M13" s="42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52"/>
      <c r="B14" s="2"/>
      <c r="C14" s="2"/>
      <c r="D14" s="2"/>
      <c r="E14" s="3"/>
      <c r="F14" s="53">
        <f t="shared" ref="F14:J14" si="1">SUM(F4:F13)</f>
        <v>0</v>
      </c>
      <c r="G14" s="53">
        <f t="shared" si="1"/>
        <v>32150</v>
      </c>
      <c r="H14" s="53">
        <f t="shared" si="1"/>
        <v>140</v>
      </c>
      <c r="I14" s="53">
        <f t="shared" si="1"/>
        <v>0</v>
      </c>
      <c r="J14" s="53">
        <f t="shared" si="1"/>
        <v>1220</v>
      </c>
      <c r="K14" s="54"/>
      <c r="L14" s="54"/>
      <c r="M14" s="55"/>
    </row>
    <row r="15" ht="48.0" customHeight="1">
      <c r="F15" s="56">
        <f>F14+G14+H14+I14+J14</f>
        <v>33510</v>
      </c>
      <c r="G15" s="2"/>
      <c r="H15" s="2"/>
      <c r="I15" s="2"/>
      <c r="J1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5.6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20">
        <v>45939.0</v>
      </c>
      <c r="C4" s="121" t="s">
        <v>253</v>
      </c>
      <c r="D4" s="122">
        <v>96359.0</v>
      </c>
      <c r="E4" s="123" t="s">
        <v>254</v>
      </c>
      <c r="F4" s="74"/>
      <c r="G4" s="78"/>
      <c r="H4" s="80">
        <v>560.0</v>
      </c>
      <c r="I4" s="38"/>
      <c r="J4" s="111"/>
      <c r="K4" s="75" t="s">
        <v>19</v>
      </c>
      <c r="L4" s="76" t="s">
        <v>255</v>
      </c>
      <c r="M4" s="77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120">
        <v>45939.0</v>
      </c>
      <c r="C5" s="121" t="s">
        <v>256</v>
      </c>
      <c r="D5" s="122">
        <v>22341.0</v>
      </c>
      <c r="E5" s="123" t="s">
        <v>257</v>
      </c>
      <c r="F5" s="79"/>
      <c r="G5" s="74"/>
      <c r="H5" s="37"/>
      <c r="I5" s="38"/>
      <c r="J5" s="111">
        <v>23.0</v>
      </c>
      <c r="K5" s="75" t="s">
        <v>19</v>
      </c>
      <c r="L5" s="76" t="s">
        <v>258</v>
      </c>
      <c r="M5" s="77" t="s">
        <v>91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9"/>
      <c r="B6" s="120"/>
      <c r="C6" s="121"/>
      <c r="D6" s="122"/>
      <c r="E6" s="123"/>
      <c r="F6" s="79"/>
      <c r="G6" s="74"/>
      <c r="H6" s="37"/>
      <c r="I6" s="38"/>
      <c r="J6" s="111"/>
      <c r="K6" s="75"/>
      <c r="L6" s="76"/>
      <c r="M6" s="77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49"/>
      <c r="C7" s="45"/>
      <c r="D7" s="46"/>
      <c r="E7" s="47"/>
      <c r="F7" s="51"/>
      <c r="G7" s="36"/>
      <c r="H7" s="37"/>
      <c r="I7" s="38"/>
      <c r="J7" s="39"/>
      <c r="K7" s="40"/>
      <c r="L7" s="41"/>
      <c r="M7" s="42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52"/>
      <c r="B8" s="2"/>
      <c r="C8" s="2"/>
      <c r="D8" s="2"/>
      <c r="E8" s="3"/>
      <c r="F8" s="53">
        <f t="shared" ref="F8:J8" si="1">SUM(F4:F7)</f>
        <v>0</v>
      </c>
      <c r="G8" s="53">
        <f t="shared" si="1"/>
        <v>0</v>
      </c>
      <c r="H8" s="53">
        <f t="shared" si="1"/>
        <v>560</v>
      </c>
      <c r="I8" s="53">
        <f t="shared" si="1"/>
        <v>0</v>
      </c>
      <c r="J8" s="53">
        <f t="shared" si="1"/>
        <v>23</v>
      </c>
      <c r="K8" s="54"/>
      <c r="L8" s="54"/>
      <c r="M8" s="55"/>
    </row>
    <row r="9" ht="48.0" customHeight="1">
      <c r="F9" s="56">
        <f>F8+G8+H8+I8+J8</f>
        <v>583</v>
      </c>
      <c r="G9" s="2"/>
      <c r="H9" s="2"/>
      <c r="I9" s="2"/>
      <c r="J9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2">
    <mergeCell ref="K2:K3"/>
    <mergeCell ref="L2:L3"/>
    <mergeCell ref="E2:E3"/>
    <mergeCell ref="A8:E8"/>
    <mergeCell ref="F9:J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20">
        <v>45910.0</v>
      </c>
      <c r="C4" s="121" t="s">
        <v>260</v>
      </c>
      <c r="D4" s="122">
        <v>43380.0</v>
      </c>
      <c r="E4" s="123" t="s">
        <v>46</v>
      </c>
      <c r="F4" s="74"/>
      <c r="G4" s="78">
        <v>25000.0</v>
      </c>
      <c r="H4" s="80"/>
      <c r="I4" s="38"/>
      <c r="J4" s="111"/>
      <c r="K4" s="75" t="s">
        <v>19</v>
      </c>
      <c r="L4" s="76" t="s">
        <v>261</v>
      </c>
      <c r="M4" s="77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0">
        <v>45911.0</v>
      </c>
      <c r="C5" s="121" t="s">
        <v>262</v>
      </c>
      <c r="D5" s="122">
        <v>25541.0</v>
      </c>
      <c r="E5" s="123" t="s">
        <v>263</v>
      </c>
      <c r="F5" s="79"/>
      <c r="G5" s="74">
        <v>4500.0</v>
      </c>
      <c r="H5" s="37"/>
      <c r="I5" s="38"/>
      <c r="J5" s="111"/>
      <c r="K5" s="75" t="s">
        <v>19</v>
      </c>
      <c r="L5" s="76" t="s">
        <v>264</v>
      </c>
      <c r="M5" s="77" t="s">
        <v>158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9" t="s">
        <v>28</v>
      </c>
      <c r="B6" s="120">
        <v>45911.0</v>
      </c>
      <c r="C6" s="121" t="s">
        <v>265</v>
      </c>
      <c r="D6" s="122">
        <v>25541.0</v>
      </c>
      <c r="E6" s="123" t="s">
        <v>263</v>
      </c>
      <c r="F6" s="79"/>
      <c r="G6" s="74">
        <v>4500.0</v>
      </c>
      <c r="H6" s="37"/>
      <c r="I6" s="38"/>
      <c r="J6" s="111"/>
      <c r="K6" s="75" t="s">
        <v>19</v>
      </c>
      <c r="L6" s="76" t="s">
        <v>266</v>
      </c>
      <c r="M6" s="77" t="s">
        <v>158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120">
        <v>45911.0</v>
      </c>
      <c r="C7" s="121" t="s">
        <v>267</v>
      </c>
      <c r="D7" s="122">
        <v>71126.0</v>
      </c>
      <c r="E7" s="123" t="s">
        <v>268</v>
      </c>
      <c r="F7" s="79"/>
      <c r="G7" s="74">
        <v>31250.0</v>
      </c>
      <c r="H7" s="37"/>
      <c r="I7" s="38"/>
      <c r="J7" s="111"/>
      <c r="K7" s="75" t="s">
        <v>19</v>
      </c>
      <c r="L7" s="76" t="s">
        <v>269</v>
      </c>
      <c r="M7" s="77" t="s">
        <v>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20"/>
      <c r="C8" s="121"/>
      <c r="D8" s="122"/>
      <c r="E8" s="123"/>
      <c r="F8" s="79"/>
      <c r="G8" s="74"/>
      <c r="H8" s="37"/>
      <c r="I8" s="38"/>
      <c r="J8" s="111"/>
      <c r="K8" s="75"/>
      <c r="L8" s="76"/>
      <c r="M8" s="7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9" t="s">
        <v>54</v>
      </c>
      <c r="B9" s="120"/>
      <c r="C9" s="121"/>
      <c r="D9" s="122"/>
      <c r="E9" s="123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49"/>
      <c r="C10" s="45"/>
      <c r="D10" s="46"/>
      <c r="E10" s="47"/>
      <c r="F10" s="51"/>
      <c r="G10" s="36"/>
      <c r="H10" s="37"/>
      <c r="I10" s="38"/>
      <c r="J10" s="39"/>
      <c r="K10" s="40"/>
      <c r="L10" s="41"/>
      <c r="M10" s="4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2"/>
      <c r="B11" s="2"/>
      <c r="C11" s="2"/>
      <c r="D11" s="2"/>
      <c r="E11" s="3"/>
      <c r="F11" s="53">
        <f t="shared" ref="F11:J11" si="1">SUM(F4:F10)</f>
        <v>0</v>
      </c>
      <c r="G11" s="53">
        <f t="shared" si="1"/>
        <v>65250</v>
      </c>
      <c r="H11" s="53">
        <f t="shared" si="1"/>
        <v>0</v>
      </c>
      <c r="I11" s="53">
        <f t="shared" si="1"/>
        <v>0</v>
      </c>
      <c r="J11" s="53">
        <f t="shared" si="1"/>
        <v>0</v>
      </c>
      <c r="K11" s="54"/>
      <c r="L11" s="54"/>
      <c r="M11" s="55"/>
    </row>
    <row r="12" ht="48.0" customHeight="1">
      <c r="F12" s="56">
        <f>F11+G11+H11+I11+J11</f>
        <v>65250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20">
        <v>45911.0</v>
      </c>
      <c r="C4" s="121" t="s">
        <v>271</v>
      </c>
      <c r="D4" s="122">
        <v>23574.0</v>
      </c>
      <c r="E4" s="123" t="s">
        <v>272</v>
      </c>
      <c r="F4" s="74"/>
      <c r="G4" s="78"/>
      <c r="H4" s="80"/>
      <c r="I4" s="38"/>
      <c r="J4" s="111">
        <v>1200.0</v>
      </c>
      <c r="K4" s="75" t="s">
        <v>19</v>
      </c>
      <c r="L4" s="76">
        <v>21.3</v>
      </c>
      <c r="M4" s="77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0">
        <v>45912.0</v>
      </c>
      <c r="C5" s="121" t="s">
        <v>273</v>
      </c>
      <c r="D5" s="122">
        <v>52669.0</v>
      </c>
      <c r="E5" s="123" t="s">
        <v>108</v>
      </c>
      <c r="F5" s="79"/>
      <c r="G5" s="74">
        <v>25150.0</v>
      </c>
      <c r="H5" s="37"/>
      <c r="I5" s="38"/>
      <c r="J5" s="111"/>
      <c r="K5" s="75" t="s">
        <v>19</v>
      </c>
      <c r="L5" s="76">
        <v>9.28</v>
      </c>
      <c r="M5" s="77" t="s">
        <v>27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9" t="s">
        <v>28</v>
      </c>
      <c r="B6" s="120">
        <v>45912.0</v>
      </c>
      <c r="C6" s="121" t="s">
        <v>274</v>
      </c>
      <c r="D6" s="122">
        <v>47787.0</v>
      </c>
      <c r="E6" s="123" t="s">
        <v>30</v>
      </c>
      <c r="F6" s="79"/>
      <c r="G6" s="74">
        <v>10550.0</v>
      </c>
      <c r="H6" s="37"/>
      <c r="I6" s="38"/>
      <c r="J6" s="111"/>
      <c r="K6" s="75" t="s">
        <v>31</v>
      </c>
      <c r="L6" s="76">
        <v>10.16</v>
      </c>
      <c r="M6" s="77" t="s">
        <v>158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120">
        <v>45912.0</v>
      </c>
      <c r="C7" s="121" t="s">
        <v>275</v>
      </c>
      <c r="D7" s="122">
        <v>51017.0</v>
      </c>
      <c r="E7" s="123" t="s">
        <v>18</v>
      </c>
      <c r="F7" s="79"/>
      <c r="G7" s="74">
        <v>10900.0</v>
      </c>
      <c r="H7" s="37"/>
      <c r="I7" s="38"/>
      <c r="J7" s="111"/>
      <c r="K7" s="75" t="s">
        <v>19</v>
      </c>
      <c r="L7" s="76">
        <v>10.45</v>
      </c>
      <c r="M7" s="77" t="s">
        <v>158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20">
        <v>45912.0</v>
      </c>
      <c r="C8" s="121" t="s">
        <v>276</v>
      </c>
      <c r="D8" s="122">
        <v>50342.0</v>
      </c>
      <c r="E8" s="123" t="s">
        <v>223</v>
      </c>
      <c r="F8" s="79"/>
      <c r="G8" s="74">
        <v>450.0</v>
      </c>
      <c r="H8" s="37"/>
      <c r="I8" s="38"/>
      <c r="J8" s="111"/>
      <c r="K8" s="75" t="s">
        <v>31</v>
      </c>
      <c r="L8" s="76">
        <v>14.0</v>
      </c>
      <c r="M8" s="77" t="s">
        <v>158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9" t="s">
        <v>54</v>
      </c>
      <c r="B9" s="120"/>
      <c r="C9" s="121"/>
      <c r="D9" s="122"/>
      <c r="E9" s="123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49"/>
      <c r="C10" s="45"/>
      <c r="D10" s="46"/>
      <c r="E10" s="47"/>
      <c r="F10" s="51"/>
      <c r="G10" s="36"/>
      <c r="H10" s="37"/>
      <c r="I10" s="38"/>
      <c r="J10" s="39"/>
      <c r="K10" s="40"/>
      <c r="L10" s="41"/>
      <c r="M10" s="4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52"/>
      <c r="B11" s="2"/>
      <c r="C11" s="2"/>
      <c r="D11" s="2"/>
      <c r="E11" s="3"/>
      <c r="F11" s="53">
        <f t="shared" ref="F11:J11" si="1">SUM(F4:F10)</f>
        <v>0</v>
      </c>
      <c r="G11" s="53">
        <f t="shared" si="1"/>
        <v>47050</v>
      </c>
      <c r="H11" s="53">
        <f t="shared" si="1"/>
        <v>0</v>
      </c>
      <c r="I11" s="53">
        <f t="shared" si="1"/>
        <v>0</v>
      </c>
      <c r="J11" s="53">
        <f t="shared" si="1"/>
        <v>1200</v>
      </c>
      <c r="K11" s="54"/>
      <c r="L11" s="54"/>
      <c r="M11" s="55"/>
    </row>
    <row r="12" ht="48.0" customHeight="1">
      <c r="F12" s="56">
        <f>F11+G11+H11+I11+J11</f>
        <v>48250</v>
      </c>
      <c r="G12" s="2"/>
      <c r="H12" s="2"/>
      <c r="I12" s="2"/>
      <c r="J1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1:E11"/>
    <mergeCell ref="F12:J12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15">
        <v>45913.0</v>
      </c>
      <c r="C4" s="116" t="s">
        <v>278</v>
      </c>
      <c r="D4" s="117">
        <v>51017.0</v>
      </c>
      <c r="E4" s="118" t="s">
        <v>18</v>
      </c>
      <c r="F4" s="74"/>
      <c r="G4" s="78">
        <v>2500.0</v>
      </c>
      <c r="H4" s="37"/>
      <c r="I4" s="38"/>
      <c r="J4" s="111"/>
      <c r="K4" s="75" t="s">
        <v>19</v>
      </c>
      <c r="L4" s="76" t="s">
        <v>132</v>
      </c>
      <c r="M4" s="77" t="s">
        <v>53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115">
        <v>45913.0</v>
      </c>
      <c r="C5" s="116" t="s">
        <v>279</v>
      </c>
      <c r="D5" s="117">
        <v>22332.0</v>
      </c>
      <c r="E5" s="118" t="s">
        <v>280</v>
      </c>
      <c r="F5" s="79"/>
      <c r="G5" s="74"/>
      <c r="H5" s="37"/>
      <c r="I5" s="38"/>
      <c r="J5" s="111">
        <v>35.0</v>
      </c>
      <c r="K5" s="75" t="s">
        <v>19</v>
      </c>
      <c r="L5" s="76" t="s">
        <v>281</v>
      </c>
      <c r="M5" s="77" t="s">
        <v>53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9" t="s">
        <v>28</v>
      </c>
      <c r="B6" s="115">
        <v>45913.0</v>
      </c>
      <c r="C6" s="116" t="s">
        <v>282</v>
      </c>
      <c r="D6" s="117">
        <v>43380.0</v>
      </c>
      <c r="E6" s="118" t="s">
        <v>46</v>
      </c>
      <c r="F6" s="79"/>
      <c r="G6" s="74">
        <v>10300.0</v>
      </c>
      <c r="H6" s="37"/>
      <c r="I6" s="38"/>
      <c r="J6" s="111"/>
      <c r="K6" s="75" t="s">
        <v>19</v>
      </c>
      <c r="L6" s="76" t="s">
        <v>283</v>
      </c>
      <c r="M6" s="77" t="s">
        <v>284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115">
        <v>45913.0</v>
      </c>
      <c r="C7" s="116" t="s">
        <v>285</v>
      </c>
      <c r="D7" s="117">
        <v>72839.0</v>
      </c>
      <c r="E7" s="118" t="s">
        <v>152</v>
      </c>
      <c r="F7" s="79"/>
      <c r="G7" s="74">
        <v>10000.0</v>
      </c>
      <c r="H7" s="37"/>
      <c r="I7" s="38"/>
      <c r="J7" s="111"/>
      <c r="K7" s="75" t="s">
        <v>19</v>
      </c>
      <c r="L7" s="76" t="s">
        <v>255</v>
      </c>
      <c r="M7" s="77" t="s">
        <v>284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15">
        <v>45913.0</v>
      </c>
      <c r="C8" s="116" t="s">
        <v>286</v>
      </c>
      <c r="D8" s="117">
        <v>21828.0</v>
      </c>
      <c r="E8" s="118" t="s">
        <v>287</v>
      </c>
      <c r="F8" s="79"/>
      <c r="G8" s="74"/>
      <c r="H8" s="80">
        <v>2600.0</v>
      </c>
      <c r="I8" s="38"/>
      <c r="J8" s="111"/>
      <c r="K8" s="75" t="s">
        <v>19</v>
      </c>
      <c r="L8" s="76" t="s">
        <v>288</v>
      </c>
      <c r="M8" s="77" t="s">
        <v>284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9" t="s">
        <v>54</v>
      </c>
      <c r="B9" s="115">
        <v>45913.0</v>
      </c>
      <c r="C9" s="116" t="s">
        <v>289</v>
      </c>
      <c r="D9" s="117">
        <v>48738.0</v>
      </c>
      <c r="E9" s="118" t="s">
        <v>290</v>
      </c>
      <c r="F9" s="79"/>
      <c r="G9" s="74">
        <v>2800.0</v>
      </c>
      <c r="H9" s="37"/>
      <c r="I9" s="38"/>
      <c r="J9" s="111"/>
      <c r="K9" s="75" t="s">
        <v>19</v>
      </c>
      <c r="L9" s="76" t="s">
        <v>291</v>
      </c>
      <c r="M9" s="77" t="s">
        <v>284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15">
        <v>45913.0</v>
      </c>
      <c r="C10" s="116" t="s">
        <v>292</v>
      </c>
      <c r="D10" s="117">
        <v>30895.0</v>
      </c>
      <c r="E10" s="118" t="s">
        <v>293</v>
      </c>
      <c r="F10" s="79"/>
      <c r="G10" s="74">
        <v>5900.0</v>
      </c>
      <c r="H10" s="37"/>
      <c r="I10" s="38"/>
      <c r="J10" s="111"/>
      <c r="K10" s="75" t="s">
        <v>19</v>
      </c>
      <c r="L10" s="76" t="s">
        <v>294</v>
      </c>
      <c r="M10" s="77" t="s">
        <v>284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61</v>
      </c>
      <c r="B11" s="115">
        <v>45913.0</v>
      </c>
      <c r="C11" s="116" t="s">
        <v>295</v>
      </c>
      <c r="D11" s="117">
        <v>68284.0</v>
      </c>
      <c r="E11" s="118" t="s">
        <v>63</v>
      </c>
      <c r="F11" s="79"/>
      <c r="G11" s="74">
        <v>8470.0</v>
      </c>
      <c r="H11" s="80"/>
      <c r="I11" s="38"/>
      <c r="J11" s="111"/>
      <c r="K11" s="75" t="s">
        <v>19</v>
      </c>
      <c r="L11" s="76" t="s">
        <v>296</v>
      </c>
      <c r="M11" s="77" t="s">
        <v>284</v>
      </c>
    </row>
    <row r="12" ht="48.0" customHeight="1">
      <c r="A12" s="119" t="s">
        <v>65</v>
      </c>
      <c r="B12" s="115"/>
      <c r="C12" s="116"/>
      <c r="D12" s="117"/>
      <c r="E12" s="118"/>
      <c r="F12" s="79"/>
      <c r="G12" s="74"/>
      <c r="H12" s="37"/>
      <c r="I12" s="38"/>
      <c r="J12" s="111"/>
      <c r="K12" s="75" t="s">
        <v>19</v>
      </c>
      <c r="L12" s="76"/>
      <c r="M12" s="77" t="s">
        <v>53</v>
      </c>
    </row>
    <row r="13">
      <c r="A13" s="30"/>
      <c r="B13" s="49"/>
      <c r="C13" s="45"/>
      <c r="D13" s="46"/>
      <c r="E13" s="47"/>
      <c r="F13" s="51"/>
      <c r="G13" s="36"/>
      <c r="H13" s="37"/>
      <c r="I13" s="38"/>
      <c r="J13" s="39"/>
      <c r="K13" s="40"/>
      <c r="L13" s="41"/>
      <c r="M13" s="42"/>
    </row>
    <row r="14">
      <c r="A14" s="52"/>
      <c r="B14" s="2"/>
      <c r="C14" s="2"/>
      <c r="D14" s="2"/>
      <c r="E14" s="3"/>
      <c r="F14" s="53">
        <f t="shared" ref="F14:J14" si="1">SUM(F4:F13)</f>
        <v>0</v>
      </c>
      <c r="G14" s="53">
        <f t="shared" si="1"/>
        <v>39970</v>
      </c>
      <c r="H14" s="53">
        <f t="shared" si="1"/>
        <v>2600</v>
      </c>
      <c r="I14" s="53">
        <f t="shared" si="1"/>
        <v>0</v>
      </c>
      <c r="J14" s="53">
        <f t="shared" si="1"/>
        <v>35</v>
      </c>
      <c r="K14" s="54"/>
      <c r="L14" s="54"/>
      <c r="M14" s="55"/>
    </row>
    <row r="15">
      <c r="F15" s="56">
        <f>F14+G14+H14+I14+J14</f>
        <v>42605</v>
      </c>
      <c r="G15" s="2"/>
      <c r="H15" s="2"/>
      <c r="I15" s="2"/>
      <c r="J15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2">
    <mergeCell ref="K2:K3"/>
    <mergeCell ref="L2:L3"/>
    <mergeCell ref="E2:E3"/>
    <mergeCell ref="A14:E14"/>
    <mergeCell ref="F15:J15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15">
        <v>45914.0</v>
      </c>
      <c r="C4" s="116" t="s">
        <v>298</v>
      </c>
      <c r="D4" s="117">
        <v>87144.0</v>
      </c>
      <c r="E4" s="118" t="s">
        <v>67</v>
      </c>
      <c r="F4" s="74"/>
      <c r="G4" s="78"/>
      <c r="H4" s="80">
        <v>79760.0</v>
      </c>
      <c r="I4" s="38"/>
      <c r="J4" s="111"/>
      <c r="K4" s="75" t="s">
        <v>19</v>
      </c>
      <c r="L4" s="76" t="s">
        <v>299</v>
      </c>
      <c r="M4" s="77" t="s">
        <v>53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22</v>
      </c>
      <c r="B5" s="115">
        <v>45914.0</v>
      </c>
      <c r="C5" s="116" t="s">
        <v>300</v>
      </c>
      <c r="D5" s="117">
        <v>21971.0</v>
      </c>
      <c r="E5" s="118" t="s">
        <v>301</v>
      </c>
      <c r="F5" s="79"/>
      <c r="G5" s="74"/>
      <c r="H5" s="37"/>
      <c r="I5" s="38"/>
      <c r="J5" s="111">
        <v>13.0</v>
      </c>
      <c r="K5" s="75" t="s">
        <v>19</v>
      </c>
      <c r="L5" s="76" t="s">
        <v>302</v>
      </c>
      <c r="M5" s="77" t="s">
        <v>53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9" t="s">
        <v>28</v>
      </c>
      <c r="B6" s="115"/>
      <c r="C6" s="116"/>
      <c r="D6" s="117"/>
      <c r="E6" s="118"/>
      <c r="F6" s="79"/>
      <c r="G6" s="74"/>
      <c r="H6" s="37"/>
      <c r="I6" s="38"/>
      <c r="J6" s="111"/>
      <c r="K6" s="75" t="s">
        <v>19</v>
      </c>
      <c r="L6" s="76"/>
      <c r="M6" s="77" t="s">
        <v>284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34</v>
      </c>
      <c r="B7" s="115"/>
      <c r="C7" s="116"/>
      <c r="D7" s="117"/>
      <c r="E7" s="118"/>
      <c r="F7" s="79"/>
      <c r="G7" s="74"/>
      <c r="H7" s="37"/>
      <c r="I7" s="38"/>
      <c r="J7" s="111"/>
      <c r="K7" s="75" t="s">
        <v>19</v>
      </c>
      <c r="L7" s="76"/>
      <c r="M7" s="77" t="s">
        <v>284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/>
      <c r="B8" s="49"/>
      <c r="C8" s="45"/>
      <c r="D8" s="46"/>
      <c r="E8" s="47"/>
      <c r="F8" s="51"/>
      <c r="G8" s="36"/>
      <c r="H8" s="37"/>
      <c r="I8" s="38"/>
      <c r="J8" s="39"/>
      <c r="K8" s="40"/>
      <c r="L8" s="41"/>
      <c r="M8" s="42"/>
    </row>
    <row r="9">
      <c r="A9" s="52"/>
      <c r="B9" s="2"/>
      <c r="C9" s="2"/>
      <c r="D9" s="2"/>
      <c r="E9" s="3"/>
      <c r="F9" s="53">
        <f t="shared" ref="F9:J9" si="1">SUM(F4:F8)</f>
        <v>0</v>
      </c>
      <c r="G9" s="53">
        <f t="shared" si="1"/>
        <v>0</v>
      </c>
      <c r="H9" s="53">
        <f t="shared" si="1"/>
        <v>79760</v>
      </c>
      <c r="I9" s="53">
        <f t="shared" si="1"/>
        <v>0</v>
      </c>
      <c r="J9" s="53">
        <f t="shared" si="1"/>
        <v>13</v>
      </c>
      <c r="K9" s="54"/>
      <c r="L9" s="54"/>
      <c r="M9" s="55"/>
    </row>
    <row r="10">
      <c r="F10" s="56">
        <f>F9+G9+H9+I9+J9</f>
        <v>79773</v>
      </c>
      <c r="G10" s="2"/>
      <c r="H10" s="2"/>
      <c r="I10" s="2"/>
      <c r="J10" s="3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2">
    <mergeCell ref="K2:K3"/>
    <mergeCell ref="L2:L3"/>
    <mergeCell ref="E2:E3"/>
    <mergeCell ref="A9:E9"/>
    <mergeCell ref="F10:J1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24" t="s">
        <v>304</v>
      </c>
      <c r="C4" s="125" t="s">
        <v>305</v>
      </c>
      <c r="D4" s="126">
        <v>10249.0</v>
      </c>
      <c r="E4" s="124" t="s">
        <v>306</v>
      </c>
      <c r="F4" s="64">
        <v>300.0</v>
      </c>
      <c r="G4" s="113"/>
      <c r="H4" s="127"/>
      <c r="I4" s="24"/>
      <c r="J4" s="114"/>
      <c r="K4" s="65" t="s">
        <v>19</v>
      </c>
      <c r="L4" s="66" t="s">
        <v>307</v>
      </c>
      <c r="M4" s="67" t="s">
        <v>308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4" t="s">
        <v>304</v>
      </c>
      <c r="C5" s="125" t="s">
        <v>309</v>
      </c>
      <c r="D5" s="126">
        <v>10008.0</v>
      </c>
      <c r="E5" s="124" t="s">
        <v>194</v>
      </c>
      <c r="F5" s="68"/>
      <c r="G5" s="64"/>
      <c r="H5" s="127">
        <v>900.0</v>
      </c>
      <c r="I5" s="24"/>
      <c r="J5" s="114"/>
      <c r="K5" s="65" t="s">
        <v>19</v>
      </c>
      <c r="L5" s="66" t="s">
        <v>310</v>
      </c>
      <c r="M5" s="67" t="s">
        <v>91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24" t="s">
        <v>304</v>
      </c>
      <c r="C6" s="125" t="s">
        <v>311</v>
      </c>
      <c r="D6" s="126">
        <v>96854.0</v>
      </c>
      <c r="E6" s="124" t="s">
        <v>312</v>
      </c>
      <c r="F6" s="68"/>
      <c r="G6" s="64">
        <v>2950.0</v>
      </c>
      <c r="H6" s="23"/>
      <c r="I6" s="24"/>
      <c r="J6" s="114"/>
      <c r="K6" s="65" t="s">
        <v>19</v>
      </c>
      <c r="L6" s="66" t="s">
        <v>310</v>
      </c>
      <c r="M6" s="67" t="s">
        <v>27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9" t="s">
        <v>34</v>
      </c>
      <c r="B7" s="118" t="s">
        <v>313</v>
      </c>
      <c r="C7" s="116" t="s">
        <v>314</v>
      </c>
      <c r="D7" s="117">
        <v>10250.0</v>
      </c>
      <c r="E7" s="118" t="s">
        <v>36</v>
      </c>
      <c r="F7" s="79"/>
      <c r="G7" s="74">
        <v>19500.0</v>
      </c>
      <c r="H7" s="37"/>
      <c r="I7" s="38"/>
      <c r="J7" s="111"/>
      <c r="K7" s="75" t="s">
        <v>31</v>
      </c>
      <c r="L7" s="128" t="s">
        <v>315</v>
      </c>
      <c r="M7" s="77" t="s">
        <v>33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18" t="s">
        <v>313</v>
      </c>
      <c r="C8" s="116" t="s">
        <v>316</v>
      </c>
      <c r="D8" s="117">
        <v>52214.0</v>
      </c>
      <c r="E8" s="118" t="s">
        <v>317</v>
      </c>
      <c r="F8" s="79"/>
      <c r="G8" s="74">
        <v>2700.0</v>
      </c>
      <c r="H8" s="37"/>
      <c r="I8" s="38"/>
      <c r="J8" s="111"/>
      <c r="K8" s="75" t="s">
        <v>31</v>
      </c>
      <c r="L8" s="128" t="s">
        <v>318</v>
      </c>
      <c r="M8" s="77" t="s">
        <v>33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9" t="s">
        <v>54</v>
      </c>
      <c r="B9" s="118" t="s">
        <v>313</v>
      </c>
      <c r="C9" s="116" t="s">
        <v>319</v>
      </c>
      <c r="D9" s="117">
        <v>47787.0</v>
      </c>
      <c r="E9" s="118" t="s">
        <v>30</v>
      </c>
      <c r="F9" s="79"/>
      <c r="G9" s="74">
        <v>250.0</v>
      </c>
      <c r="H9" s="37"/>
      <c r="I9" s="38"/>
      <c r="J9" s="111"/>
      <c r="K9" s="75" t="s">
        <v>31</v>
      </c>
      <c r="L9" s="128" t="s">
        <v>320</v>
      </c>
      <c r="M9" s="77" t="s">
        <v>33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57</v>
      </c>
      <c r="B10" s="118" t="s">
        <v>313</v>
      </c>
      <c r="C10" s="116" t="s">
        <v>321</v>
      </c>
      <c r="D10" s="117">
        <v>49206.0</v>
      </c>
      <c r="E10" s="118" t="s">
        <v>322</v>
      </c>
      <c r="F10" s="79"/>
      <c r="G10" s="74"/>
      <c r="H10" s="80">
        <v>2950.0</v>
      </c>
      <c r="I10" s="38"/>
      <c r="J10" s="111"/>
      <c r="K10" s="75" t="s">
        <v>31</v>
      </c>
      <c r="L10" s="128" t="s">
        <v>318</v>
      </c>
      <c r="M10" s="77" t="s">
        <v>27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 t="s">
        <v>61</v>
      </c>
      <c r="B11" s="118" t="s">
        <v>313</v>
      </c>
      <c r="C11" s="116" t="s">
        <v>323</v>
      </c>
      <c r="D11" s="117">
        <v>49206.0</v>
      </c>
      <c r="E11" s="118" t="s">
        <v>322</v>
      </c>
      <c r="F11" s="79"/>
      <c r="G11" s="74"/>
      <c r="H11" s="80">
        <v>100.0</v>
      </c>
      <c r="I11" s="38"/>
      <c r="J11" s="111"/>
      <c r="K11" s="75" t="s">
        <v>19</v>
      </c>
      <c r="L11" s="128" t="s">
        <v>324</v>
      </c>
      <c r="M11" s="77" t="s">
        <v>325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65</v>
      </c>
      <c r="B12" s="118" t="s">
        <v>313</v>
      </c>
      <c r="C12" s="116" t="s">
        <v>326</v>
      </c>
      <c r="D12" s="117">
        <v>47787.0</v>
      </c>
      <c r="E12" s="118" t="s">
        <v>30</v>
      </c>
      <c r="F12" s="79"/>
      <c r="G12" s="74">
        <v>10000.0</v>
      </c>
      <c r="H12" s="37"/>
      <c r="I12" s="38"/>
      <c r="J12" s="111"/>
      <c r="K12" s="75" t="s">
        <v>31</v>
      </c>
      <c r="L12" s="128" t="s">
        <v>327</v>
      </c>
      <c r="M12" s="77" t="s">
        <v>328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19" t="s">
        <v>69</v>
      </c>
      <c r="B13" s="118" t="s">
        <v>313</v>
      </c>
      <c r="C13" s="116" t="s">
        <v>329</v>
      </c>
      <c r="D13" s="117">
        <v>96914.0</v>
      </c>
      <c r="E13" s="118" t="s">
        <v>330</v>
      </c>
      <c r="F13" s="79"/>
      <c r="G13" s="74">
        <v>2950.0</v>
      </c>
      <c r="H13" s="37"/>
      <c r="I13" s="38"/>
      <c r="J13" s="111"/>
      <c r="K13" s="75" t="s">
        <v>31</v>
      </c>
      <c r="L13" s="128" t="s">
        <v>331</v>
      </c>
      <c r="M13" s="77" t="s">
        <v>53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73</v>
      </c>
      <c r="B14" s="118" t="s">
        <v>313</v>
      </c>
      <c r="C14" s="116" t="s">
        <v>332</v>
      </c>
      <c r="D14" s="117">
        <v>10288.0</v>
      </c>
      <c r="E14" s="118" t="s">
        <v>333</v>
      </c>
      <c r="F14" s="79"/>
      <c r="G14" s="74"/>
      <c r="H14" s="37"/>
      <c r="I14" s="38"/>
      <c r="J14" s="111">
        <v>23.0</v>
      </c>
      <c r="K14" s="75" t="s">
        <v>19</v>
      </c>
      <c r="L14" s="128" t="s">
        <v>334</v>
      </c>
      <c r="M14" s="77" t="s">
        <v>27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119"/>
      <c r="B15" s="115"/>
      <c r="C15" s="116"/>
      <c r="D15" s="117"/>
      <c r="E15" s="118"/>
      <c r="F15" s="79"/>
      <c r="G15" s="74"/>
      <c r="H15" s="37"/>
      <c r="I15" s="38"/>
      <c r="J15" s="111"/>
      <c r="K15" s="7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30"/>
      <c r="B16" s="115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7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52"/>
      <c r="B17" s="2"/>
      <c r="C17" s="2"/>
      <c r="D17" s="2"/>
      <c r="E17" s="3"/>
      <c r="F17" s="53">
        <f t="shared" ref="F17:J17" si="1">SUM(F4:F16)</f>
        <v>300</v>
      </c>
      <c r="G17" s="53">
        <f t="shared" si="1"/>
        <v>38350</v>
      </c>
      <c r="H17" s="53">
        <f t="shared" si="1"/>
        <v>3950</v>
      </c>
      <c r="I17" s="53">
        <f t="shared" si="1"/>
        <v>0</v>
      </c>
      <c r="J17" s="53">
        <f t="shared" si="1"/>
        <v>23</v>
      </c>
      <c r="K17" s="54"/>
      <c r="L17" s="54"/>
      <c r="M17" s="55"/>
    </row>
    <row r="18">
      <c r="F18" s="56">
        <f>F17+G17+H17+I17+J17</f>
        <v>42623</v>
      </c>
      <c r="G18" s="2"/>
      <c r="H18" s="2"/>
      <c r="I18" s="2"/>
      <c r="J18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2">
    <mergeCell ref="K2:K3"/>
    <mergeCell ref="L2:L3"/>
    <mergeCell ref="E2:E3"/>
    <mergeCell ref="A17:E17"/>
    <mergeCell ref="F18:J18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29">
        <v>45915.0</v>
      </c>
      <c r="C4" s="130" t="s">
        <v>336</v>
      </c>
      <c r="D4" s="131">
        <v>87820.0</v>
      </c>
      <c r="E4" s="132" t="s">
        <v>187</v>
      </c>
      <c r="F4" s="74"/>
      <c r="G4" s="78"/>
      <c r="H4" s="80">
        <v>2500.0</v>
      </c>
      <c r="I4" s="38"/>
      <c r="J4" s="111"/>
      <c r="K4" s="75" t="s">
        <v>19</v>
      </c>
      <c r="L4" s="76" t="s">
        <v>337</v>
      </c>
      <c r="M4" s="77" t="s">
        <v>308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9">
        <v>45915.0</v>
      </c>
      <c r="C5" s="130" t="s">
        <v>338</v>
      </c>
      <c r="D5" s="131">
        <v>36555.0</v>
      </c>
      <c r="E5" s="132" t="s">
        <v>212</v>
      </c>
      <c r="F5" s="79"/>
      <c r="G5" s="74">
        <v>2500.0</v>
      </c>
      <c r="H5" s="80"/>
      <c r="I5" s="38"/>
      <c r="J5" s="111"/>
      <c r="K5" s="75" t="s">
        <v>19</v>
      </c>
      <c r="L5" s="76">
        <v>20.59</v>
      </c>
      <c r="M5" s="77" t="s">
        <v>91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29">
        <v>45916.0</v>
      </c>
      <c r="C6" s="130" t="s">
        <v>339</v>
      </c>
      <c r="D6" s="131">
        <v>10281.0</v>
      </c>
      <c r="E6" s="132" t="s">
        <v>75</v>
      </c>
      <c r="F6" s="79"/>
      <c r="G6" s="74">
        <v>5100.0</v>
      </c>
      <c r="H6" s="37"/>
      <c r="I6" s="38"/>
      <c r="J6" s="111"/>
      <c r="K6" s="75" t="s">
        <v>19</v>
      </c>
      <c r="L6" s="76">
        <v>11.41</v>
      </c>
      <c r="M6" s="77" t="s">
        <v>27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9" t="s">
        <v>34</v>
      </c>
      <c r="B7" s="118"/>
      <c r="C7" s="116"/>
      <c r="D7" s="117"/>
      <c r="E7" s="118"/>
      <c r="F7" s="79"/>
      <c r="G7" s="74"/>
      <c r="H7" s="37"/>
      <c r="I7" s="38"/>
      <c r="J7" s="111"/>
      <c r="K7" s="75"/>
      <c r="L7" s="128"/>
      <c r="M7" s="7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18"/>
      <c r="C8" s="116"/>
      <c r="D8" s="117"/>
      <c r="E8" s="118"/>
      <c r="F8" s="79"/>
      <c r="G8" s="74"/>
      <c r="H8" s="37"/>
      <c r="I8" s="38"/>
      <c r="J8" s="111"/>
      <c r="K8" s="75"/>
      <c r="L8" s="128"/>
      <c r="M8" s="7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115"/>
      <c r="C9" s="116"/>
      <c r="D9" s="117"/>
      <c r="E9" s="118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52"/>
      <c r="B10" s="2"/>
      <c r="C10" s="2"/>
      <c r="D10" s="2"/>
      <c r="E10" s="3"/>
      <c r="F10" s="53">
        <f t="shared" ref="F10:J10" si="1">SUM(F4:F9)</f>
        <v>0</v>
      </c>
      <c r="G10" s="53">
        <f t="shared" si="1"/>
        <v>7600</v>
      </c>
      <c r="H10" s="53">
        <f t="shared" si="1"/>
        <v>2500</v>
      </c>
      <c r="I10" s="53">
        <f t="shared" si="1"/>
        <v>0</v>
      </c>
      <c r="J10" s="53">
        <f t="shared" si="1"/>
        <v>0</v>
      </c>
      <c r="K10" s="54"/>
      <c r="L10" s="54"/>
      <c r="M10" s="55"/>
    </row>
    <row r="11">
      <c r="F11" s="56">
        <f>F10+G10+H10+I10+J10</f>
        <v>10100</v>
      </c>
      <c r="G11" s="2"/>
      <c r="H11" s="2"/>
      <c r="I11" s="2"/>
      <c r="J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33">
        <v>45916.0</v>
      </c>
      <c r="C4" s="125" t="s">
        <v>341</v>
      </c>
      <c r="D4" s="126">
        <v>51017.0</v>
      </c>
      <c r="E4" s="124" t="s">
        <v>18</v>
      </c>
      <c r="F4" s="64"/>
      <c r="G4" s="113">
        <v>10000.0</v>
      </c>
      <c r="H4" s="127"/>
      <c r="I4" s="24"/>
      <c r="J4" s="114"/>
      <c r="K4" s="65" t="s">
        <v>19</v>
      </c>
      <c r="L4" s="66" t="s">
        <v>103</v>
      </c>
      <c r="M4" s="67" t="s">
        <v>308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9">
        <v>45917.0</v>
      </c>
      <c r="C5" s="130" t="s">
        <v>342</v>
      </c>
      <c r="D5" s="131">
        <v>52669.0</v>
      </c>
      <c r="E5" s="132" t="s">
        <v>108</v>
      </c>
      <c r="F5" s="79"/>
      <c r="G5" s="74">
        <v>25000.0</v>
      </c>
      <c r="H5" s="80"/>
      <c r="I5" s="38"/>
      <c r="J5" s="111"/>
      <c r="K5" s="75" t="s">
        <v>19</v>
      </c>
      <c r="L5" s="76" t="s">
        <v>343</v>
      </c>
      <c r="M5" s="77" t="s">
        <v>308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29">
        <v>45917.0</v>
      </c>
      <c r="C6" s="130" t="s">
        <v>344</v>
      </c>
      <c r="D6" s="131">
        <v>10271.0</v>
      </c>
      <c r="E6" s="132" t="s">
        <v>243</v>
      </c>
      <c r="F6" s="79"/>
      <c r="G6" s="74">
        <v>4500.0</v>
      </c>
      <c r="H6" s="37"/>
      <c r="I6" s="38"/>
      <c r="J6" s="111"/>
      <c r="K6" s="75" t="s">
        <v>19</v>
      </c>
      <c r="L6" s="76" t="s">
        <v>345</v>
      </c>
      <c r="M6" s="77" t="s">
        <v>53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9" t="s">
        <v>34</v>
      </c>
      <c r="B7" s="118"/>
      <c r="C7" s="116"/>
      <c r="D7" s="117"/>
      <c r="E7" s="118"/>
      <c r="F7" s="79"/>
      <c r="G7" s="74"/>
      <c r="H7" s="37"/>
      <c r="I7" s="38"/>
      <c r="J7" s="111"/>
      <c r="K7" s="75"/>
      <c r="L7" s="128"/>
      <c r="M7" s="7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18"/>
      <c r="C8" s="116"/>
      <c r="D8" s="117"/>
      <c r="E8" s="118"/>
      <c r="F8" s="79"/>
      <c r="G8" s="74"/>
      <c r="H8" s="37"/>
      <c r="I8" s="38"/>
      <c r="J8" s="111"/>
      <c r="K8" s="75"/>
      <c r="L8" s="128"/>
      <c r="M8" s="7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115"/>
      <c r="C9" s="116"/>
      <c r="D9" s="117"/>
      <c r="E9" s="118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52"/>
      <c r="B10" s="2"/>
      <c r="C10" s="2"/>
      <c r="D10" s="2"/>
      <c r="E10" s="3"/>
      <c r="F10" s="53">
        <f t="shared" ref="F10:J10" si="1">SUM(F4:F9)</f>
        <v>0</v>
      </c>
      <c r="G10" s="53">
        <f t="shared" si="1"/>
        <v>39500</v>
      </c>
      <c r="H10" s="53">
        <f t="shared" si="1"/>
        <v>0</v>
      </c>
      <c r="I10" s="53">
        <f t="shared" si="1"/>
        <v>0</v>
      </c>
      <c r="J10" s="53">
        <f t="shared" si="1"/>
        <v>0</v>
      </c>
      <c r="K10" s="54"/>
      <c r="L10" s="54"/>
      <c r="M10" s="55"/>
    </row>
    <row r="11">
      <c r="F11" s="56">
        <f>F10+G10+H10+I10+J10</f>
        <v>39500</v>
      </c>
      <c r="G11" s="2"/>
      <c r="H11" s="2"/>
      <c r="I11" s="2"/>
      <c r="J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30" t="s">
        <v>15</v>
      </c>
      <c r="B4" s="129">
        <v>45918.0</v>
      </c>
      <c r="C4" s="130" t="s">
        <v>347</v>
      </c>
      <c r="D4" s="131">
        <v>43380.0</v>
      </c>
      <c r="E4" s="132" t="s">
        <v>46</v>
      </c>
      <c r="F4" s="74"/>
      <c r="G4" s="78">
        <v>10000.0</v>
      </c>
      <c r="H4" s="80"/>
      <c r="I4" s="38"/>
      <c r="J4" s="111"/>
      <c r="K4" s="75" t="s">
        <v>19</v>
      </c>
      <c r="L4" s="76" t="s">
        <v>348</v>
      </c>
      <c r="M4" s="77" t="s">
        <v>308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9">
        <v>45918.0</v>
      </c>
      <c r="C5" s="130" t="s">
        <v>349</v>
      </c>
      <c r="D5" s="131">
        <v>72839.0</v>
      </c>
      <c r="E5" s="132" t="s">
        <v>152</v>
      </c>
      <c r="F5" s="79"/>
      <c r="G5" s="74">
        <v>17000.0</v>
      </c>
      <c r="H5" s="80"/>
      <c r="I5" s="38"/>
      <c r="J5" s="111"/>
      <c r="K5" s="75" t="s">
        <v>19</v>
      </c>
      <c r="L5" s="76" t="s">
        <v>350</v>
      </c>
      <c r="M5" s="77" t="s">
        <v>308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29">
        <v>45918.0</v>
      </c>
      <c r="C6" s="130" t="s">
        <v>351</v>
      </c>
      <c r="D6" s="131">
        <v>51660.0</v>
      </c>
      <c r="E6" s="132" t="s">
        <v>352</v>
      </c>
      <c r="F6" s="79"/>
      <c r="G6" s="74">
        <v>4500.0</v>
      </c>
      <c r="H6" s="37"/>
      <c r="I6" s="38"/>
      <c r="J6" s="111"/>
      <c r="K6" s="75" t="s">
        <v>19</v>
      </c>
      <c r="L6" s="76" t="s">
        <v>353</v>
      </c>
      <c r="M6" s="77" t="s">
        <v>53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9" t="s">
        <v>34</v>
      </c>
      <c r="B7" s="118"/>
      <c r="C7" s="116"/>
      <c r="D7" s="117"/>
      <c r="E7" s="118"/>
      <c r="F7" s="79"/>
      <c r="G7" s="74"/>
      <c r="H7" s="37"/>
      <c r="I7" s="38"/>
      <c r="J7" s="111"/>
      <c r="K7" s="75"/>
      <c r="L7" s="128"/>
      <c r="M7" s="7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18"/>
      <c r="C8" s="116"/>
      <c r="D8" s="117"/>
      <c r="E8" s="118"/>
      <c r="F8" s="79"/>
      <c r="G8" s="74"/>
      <c r="H8" s="37"/>
      <c r="I8" s="38"/>
      <c r="J8" s="111"/>
      <c r="K8" s="75"/>
      <c r="L8" s="128"/>
      <c r="M8" s="7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115"/>
      <c r="C9" s="116"/>
      <c r="D9" s="117"/>
      <c r="E9" s="118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52"/>
      <c r="B10" s="2"/>
      <c r="C10" s="2"/>
      <c r="D10" s="2"/>
      <c r="E10" s="3"/>
      <c r="F10" s="53">
        <f t="shared" ref="F10:J10" si="1">SUM(F4:F9)</f>
        <v>0</v>
      </c>
      <c r="G10" s="53">
        <f t="shared" si="1"/>
        <v>31500</v>
      </c>
      <c r="H10" s="53">
        <f t="shared" si="1"/>
        <v>0</v>
      </c>
      <c r="I10" s="53">
        <f t="shared" si="1"/>
        <v>0</v>
      </c>
      <c r="J10" s="53">
        <f t="shared" si="1"/>
        <v>0</v>
      </c>
      <c r="K10" s="54"/>
      <c r="L10" s="54"/>
      <c r="M10" s="55"/>
    </row>
    <row r="11">
      <c r="F11" s="56">
        <f>F10+G10+H10+I10+J10</f>
        <v>31500</v>
      </c>
      <c r="G11" s="2"/>
      <c r="H11" s="2"/>
      <c r="I11" s="2"/>
      <c r="J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3">
        <v>45918.0</v>
      </c>
      <c r="C4" s="125" t="s">
        <v>355</v>
      </c>
      <c r="D4" s="126">
        <v>51017.0</v>
      </c>
      <c r="E4" s="124" t="s">
        <v>356</v>
      </c>
      <c r="F4" s="64"/>
      <c r="G4" s="113">
        <v>5000.0</v>
      </c>
      <c r="H4" s="127"/>
      <c r="I4" s="24"/>
      <c r="J4" s="114"/>
      <c r="K4" s="65" t="s">
        <v>19</v>
      </c>
      <c r="L4" s="76" t="s">
        <v>357</v>
      </c>
      <c r="M4" s="67" t="s">
        <v>358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9">
        <v>45920.0</v>
      </c>
      <c r="C5" s="130" t="s">
        <v>359</v>
      </c>
      <c r="D5" s="131">
        <v>47787.0</v>
      </c>
      <c r="E5" s="132" t="s">
        <v>30</v>
      </c>
      <c r="F5" s="79"/>
      <c r="G5" s="74">
        <v>10000.0</v>
      </c>
      <c r="H5" s="80"/>
      <c r="I5" s="38"/>
      <c r="J5" s="111"/>
      <c r="K5" s="75" t="s">
        <v>31</v>
      </c>
      <c r="L5" s="76" t="s">
        <v>360</v>
      </c>
      <c r="M5" s="77" t="s">
        <v>361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29">
        <v>45920.0</v>
      </c>
      <c r="C6" s="130" t="s">
        <v>362</v>
      </c>
      <c r="D6" s="131">
        <v>51782.0</v>
      </c>
      <c r="E6" s="132" t="s">
        <v>363</v>
      </c>
      <c r="F6" s="79"/>
      <c r="G6" s="74">
        <v>7350.0</v>
      </c>
      <c r="H6" s="37"/>
      <c r="I6" s="38"/>
      <c r="J6" s="111"/>
      <c r="K6" s="75" t="s">
        <v>31</v>
      </c>
      <c r="L6" s="76" t="s">
        <v>364</v>
      </c>
      <c r="M6" s="77" t="s">
        <v>361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9" t="s">
        <v>34</v>
      </c>
      <c r="B7" s="129">
        <v>45919.0</v>
      </c>
      <c r="C7" s="116" t="s">
        <v>365</v>
      </c>
      <c r="D7" s="117">
        <v>50342.0</v>
      </c>
      <c r="E7" s="118" t="s">
        <v>223</v>
      </c>
      <c r="F7" s="79"/>
      <c r="G7" s="74">
        <v>5000.0</v>
      </c>
      <c r="H7" s="37"/>
      <c r="I7" s="38"/>
      <c r="J7" s="111"/>
      <c r="K7" s="75" t="s">
        <v>31</v>
      </c>
      <c r="L7" s="76" t="s">
        <v>366</v>
      </c>
      <c r="M7" s="77" t="s">
        <v>361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29">
        <v>45919.0</v>
      </c>
      <c r="C8" s="116" t="s">
        <v>367</v>
      </c>
      <c r="D8" s="117">
        <v>51017.0</v>
      </c>
      <c r="E8" s="118" t="s">
        <v>356</v>
      </c>
      <c r="F8" s="79"/>
      <c r="G8" s="74">
        <v>8400.0</v>
      </c>
      <c r="H8" s="37"/>
      <c r="I8" s="38"/>
      <c r="J8" s="111"/>
      <c r="K8" s="75" t="s">
        <v>19</v>
      </c>
      <c r="L8" s="76" t="s">
        <v>368</v>
      </c>
      <c r="M8" s="134" t="s">
        <v>358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115"/>
      <c r="C9" s="116"/>
      <c r="D9" s="117"/>
      <c r="E9" s="118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52"/>
      <c r="B10" s="2"/>
      <c r="C10" s="2"/>
      <c r="D10" s="2"/>
      <c r="E10" s="3"/>
      <c r="F10" s="53">
        <f t="shared" ref="F10:J10" si="1">SUM(F4:F9)</f>
        <v>0</v>
      </c>
      <c r="G10" s="53">
        <f t="shared" si="1"/>
        <v>35750</v>
      </c>
      <c r="H10" s="53">
        <f t="shared" si="1"/>
        <v>0</v>
      </c>
      <c r="I10" s="53">
        <f t="shared" si="1"/>
        <v>0</v>
      </c>
      <c r="J10" s="53">
        <f t="shared" si="1"/>
        <v>0</v>
      </c>
      <c r="K10" s="54"/>
      <c r="L10" s="54"/>
      <c r="M10" s="55"/>
    </row>
    <row r="11">
      <c r="F11" s="56">
        <f>F10+G10+H10+I10+J10</f>
        <v>35750</v>
      </c>
      <c r="G11" s="2"/>
      <c r="H11" s="2"/>
      <c r="I11" s="2"/>
      <c r="J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36">
        <v>45920.0</v>
      </c>
      <c r="C4" s="137" t="s">
        <v>370</v>
      </c>
      <c r="D4" s="138">
        <v>54763.0</v>
      </c>
      <c r="E4" s="139" t="s">
        <v>206</v>
      </c>
      <c r="F4" s="140">
        <v>300.0</v>
      </c>
      <c r="G4" s="141"/>
      <c r="H4" s="142"/>
      <c r="I4" s="143"/>
      <c r="J4" s="144"/>
      <c r="K4" s="145" t="s">
        <v>19</v>
      </c>
      <c r="L4" s="128" t="s">
        <v>371</v>
      </c>
      <c r="M4" s="134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29">
        <v>45921.0</v>
      </c>
      <c r="C5" s="130" t="s">
        <v>372</v>
      </c>
      <c r="D5" s="131">
        <v>10008.0</v>
      </c>
      <c r="E5" s="132" t="s">
        <v>194</v>
      </c>
      <c r="F5" s="79"/>
      <c r="G5" s="74">
        <v>1500.0</v>
      </c>
      <c r="H5" s="80"/>
      <c r="I5" s="38"/>
      <c r="J5" s="111"/>
      <c r="K5" s="145" t="s">
        <v>19</v>
      </c>
      <c r="L5" s="76" t="s">
        <v>373</v>
      </c>
      <c r="M5" s="77" t="s">
        <v>91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29">
        <v>45921.0</v>
      </c>
      <c r="C6" s="130" t="s">
        <v>374</v>
      </c>
      <c r="D6" s="131">
        <v>43380.0</v>
      </c>
      <c r="E6" s="132" t="s">
        <v>46</v>
      </c>
      <c r="F6" s="79"/>
      <c r="G6" s="74">
        <v>25000.0</v>
      </c>
      <c r="H6" s="37"/>
      <c r="I6" s="38"/>
      <c r="J6" s="111"/>
      <c r="K6" s="145" t="s">
        <v>19</v>
      </c>
      <c r="L6" s="76" t="s">
        <v>375</v>
      </c>
      <c r="M6" s="77" t="s">
        <v>27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9" t="s">
        <v>34</v>
      </c>
      <c r="B7" s="129">
        <v>45921.0</v>
      </c>
      <c r="C7" s="116" t="s">
        <v>376</v>
      </c>
      <c r="D7" s="117">
        <v>43380.0</v>
      </c>
      <c r="E7" s="118" t="s">
        <v>46</v>
      </c>
      <c r="F7" s="79"/>
      <c r="G7" s="74">
        <v>200.0</v>
      </c>
      <c r="H7" s="37"/>
      <c r="I7" s="38"/>
      <c r="J7" s="111"/>
      <c r="K7" s="145" t="s">
        <v>19</v>
      </c>
      <c r="L7" s="76" t="s">
        <v>377</v>
      </c>
      <c r="M7" s="77" t="s">
        <v>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50</v>
      </c>
      <c r="B8" s="129">
        <v>45921.0</v>
      </c>
      <c r="C8" s="116" t="s">
        <v>378</v>
      </c>
      <c r="D8" s="117">
        <v>10006.0</v>
      </c>
      <c r="E8" s="118" t="s">
        <v>25</v>
      </c>
      <c r="F8" s="79"/>
      <c r="G8" s="74">
        <v>7400.0</v>
      </c>
      <c r="H8" s="37"/>
      <c r="I8" s="38"/>
      <c r="J8" s="111"/>
      <c r="K8" s="75" t="s">
        <v>19</v>
      </c>
      <c r="L8" s="76" t="s">
        <v>379</v>
      </c>
      <c r="M8" s="134" t="s">
        <v>380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115"/>
      <c r="C9" s="116"/>
      <c r="D9" s="117"/>
      <c r="E9" s="118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52"/>
      <c r="B10" s="2"/>
      <c r="C10" s="2"/>
      <c r="D10" s="2"/>
      <c r="E10" s="3"/>
      <c r="F10" s="53">
        <f t="shared" ref="F10:J10" si="1">SUM(F4:F9)</f>
        <v>300</v>
      </c>
      <c r="G10" s="53">
        <f t="shared" si="1"/>
        <v>34100</v>
      </c>
      <c r="H10" s="53">
        <f t="shared" si="1"/>
        <v>0</v>
      </c>
      <c r="I10" s="53">
        <f t="shared" si="1"/>
        <v>0</v>
      </c>
      <c r="J10" s="53">
        <f t="shared" si="1"/>
        <v>0</v>
      </c>
      <c r="K10" s="54"/>
      <c r="L10" s="54"/>
      <c r="M10" s="55"/>
    </row>
    <row r="11">
      <c r="F11" s="56">
        <f>F10+G10+H10+I10+J10</f>
        <v>34400</v>
      </c>
      <c r="G11" s="2"/>
      <c r="H11" s="2"/>
      <c r="I11" s="2"/>
      <c r="J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36">
        <v>45921.0</v>
      </c>
      <c r="C4" s="146" t="s">
        <v>382</v>
      </c>
      <c r="D4" s="147">
        <v>51017.0</v>
      </c>
      <c r="E4" s="148" t="s">
        <v>356</v>
      </c>
      <c r="F4" s="149">
        <v>9500.0</v>
      </c>
      <c r="G4" s="150"/>
      <c r="H4" s="150"/>
      <c r="I4" s="151"/>
      <c r="J4" s="152"/>
      <c r="K4" s="145" t="s">
        <v>19</v>
      </c>
      <c r="L4" s="153" t="s">
        <v>383</v>
      </c>
      <c r="M4" s="154" t="s">
        <v>384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36">
        <v>45921.0</v>
      </c>
      <c r="C5" s="146" t="s">
        <v>385</v>
      </c>
      <c r="D5" s="147">
        <v>47787.0</v>
      </c>
      <c r="E5" s="148" t="s">
        <v>30</v>
      </c>
      <c r="F5" s="149">
        <v>10000.0</v>
      </c>
      <c r="G5" s="150"/>
      <c r="H5" s="150"/>
      <c r="I5" s="151"/>
      <c r="J5" s="152"/>
      <c r="K5" s="75" t="s">
        <v>31</v>
      </c>
      <c r="L5" s="153" t="s">
        <v>386</v>
      </c>
      <c r="M5" s="154" t="s">
        <v>33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36">
        <v>45921.0</v>
      </c>
      <c r="C6" s="146" t="s">
        <v>387</v>
      </c>
      <c r="D6" s="147">
        <v>97540.0</v>
      </c>
      <c r="E6" s="148" t="s">
        <v>388</v>
      </c>
      <c r="F6" s="149">
        <v>300.0</v>
      </c>
      <c r="G6" s="150"/>
      <c r="H6" s="150"/>
      <c r="I6" s="151"/>
      <c r="J6" s="152"/>
      <c r="K6" s="145" t="s">
        <v>19</v>
      </c>
      <c r="L6" s="153" t="s">
        <v>389</v>
      </c>
      <c r="M6" s="154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19"/>
      <c r="B7" s="129"/>
      <c r="C7" s="116"/>
      <c r="D7" s="117"/>
      <c r="E7" s="118"/>
      <c r="F7" s="79"/>
      <c r="G7" s="74"/>
      <c r="H7" s="37"/>
      <c r="I7" s="38"/>
      <c r="J7" s="111"/>
      <c r="K7" s="145"/>
      <c r="L7" s="76"/>
      <c r="M7" s="7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/>
      <c r="B8" s="129"/>
      <c r="C8" s="116"/>
      <c r="D8" s="117"/>
      <c r="E8" s="118"/>
      <c r="F8" s="79"/>
      <c r="G8" s="74"/>
      <c r="H8" s="37"/>
      <c r="I8" s="38"/>
      <c r="J8" s="111"/>
      <c r="K8" s="75"/>
      <c r="L8" s="76"/>
      <c r="M8" s="134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115"/>
      <c r="C9" s="116"/>
      <c r="D9" s="117"/>
      <c r="E9" s="118"/>
      <c r="F9" s="79"/>
      <c r="G9" s="74"/>
      <c r="H9" s="37"/>
      <c r="I9" s="38"/>
      <c r="J9" s="111"/>
      <c r="K9" s="75"/>
      <c r="L9" s="76"/>
      <c r="M9" s="7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52"/>
      <c r="B10" s="2"/>
      <c r="C10" s="2"/>
      <c r="D10" s="2"/>
      <c r="E10" s="3"/>
      <c r="F10" s="53">
        <f t="shared" ref="F10:J10" si="1">SUM(F4:F9)</f>
        <v>19800</v>
      </c>
      <c r="G10" s="53">
        <f t="shared" si="1"/>
        <v>0</v>
      </c>
      <c r="H10" s="53">
        <f t="shared" si="1"/>
        <v>0</v>
      </c>
      <c r="I10" s="53">
        <f t="shared" si="1"/>
        <v>0</v>
      </c>
      <c r="J10" s="53">
        <f t="shared" si="1"/>
        <v>0</v>
      </c>
      <c r="K10" s="54"/>
      <c r="L10" s="54"/>
      <c r="M10" s="55"/>
    </row>
    <row r="11">
      <c r="F11" s="56">
        <f>F10+G10+H10+I10+J10</f>
        <v>19800</v>
      </c>
      <c r="G11" s="2"/>
      <c r="H11" s="2"/>
      <c r="I11" s="2"/>
      <c r="J11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K2:K3"/>
    <mergeCell ref="L2:L3"/>
    <mergeCell ref="E2:E3"/>
    <mergeCell ref="A10:E10"/>
    <mergeCell ref="F11:J11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390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08">
        <v>45923.0</v>
      </c>
      <c r="C4" s="45" t="s">
        <v>391</v>
      </c>
      <c r="D4" s="46">
        <v>52669.0</v>
      </c>
      <c r="E4" s="109" t="s">
        <v>108</v>
      </c>
      <c r="F4" s="155"/>
      <c r="G4" s="36">
        <v>25450.0</v>
      </c>
      <c r="H4" s="150"/>
      <c r="I4" s="151"/>
      <c r="J4" s="152"/>
      <c r="K4" s="145" t="s">
        <v>19</v>
      </c>
      <c r="L4" s="153"/>
      <c r="M4" s="156" t="s">
        <v>392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08">
        <v>45923.0</v>
      </c>
      <c r="C5" s="45" t="s">
        <v>393</v>
      </c>
      <c r="D5" s="46">
        <v>77283.0</v>
      </c>
      <c r="E5" s="109" t="s">
        <v>40</v>
      </c>
      <c r="F5" s="36">
        <v>10000.0</v>
      </c>
      <c r="G5" s="155"/>
      <c r="H5" s="150"/>
      <c r="I5" s="151"/>
      <c r="J5" s="152"/>
      <c r="K5" s="75" t="s">
        <v>31</v>
      </c>
      <c r="L5" s="153"/>
      <c r="M5" s="156" t="s">
        <v>27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08">
        <v>45923.0</v>
      </c>
      <c r="C6" s="45" t="s">
        <v>394</v>
      </c>
      <c r="D6" s="46">
        <v>25541.0</v>
      </c>
      <c r="E6" s="109" t="s">
        <v>263</v>
      </c>
      <c r="F6" s="155"/>
      <c r="G6" s="36">
        <v>4500.0</v>
      </c>
      <c r="H6" s="150"/>
      <c r="I6" s="151"/>
      <c r="J6" s="152"/>
      <c r="K6" s="145" t="s">
        <v>19</v>
      </c>
      <c r="L6" s="153"/>
      <c r="M6" s="156" t="s">
        <v>27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35" t="s">
        <v>34</v>
      </c>
      <c r="B7" s="108">
        <v>45923.0</v>
      </c>
      <c r="C7" s="45" t="s">
        <v>395</v>
      </c>
      <c r="D7" s="46">
        <v>25541.0</v>
      </c>
      <c r="E7" s="109" t="s">
        <v>263</v>
      </c>
      <c r="F7" s="155"/>
      <c r="G7" s="36">
        <v>4500.0</v>
      </c>
      <c r="H7" s="37"/>
      <c r="I7" s="38"/>
      <c r="J7" s="111"/>
      <c r="K7" s="145" t="s">
        <v>19</v>
      </c>
      <c r="L7" s="76"/>
      <c r="M7" s="156" t="s">
        <v>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08">
        <v>45923.0</v>
      </c>
      <c r="C8" s="45" t="s">
        <v>396</v>
      </c>
      <c r="D8" s="46">
        <v>10288.0</v>
      </c>
      <c r="E8" s="109" t="s">
        <v>333</v>
      </c>
      <c r="F8" s="155"/>
      <c r="G8" s="36">
        <v>600.0</v>
      </c>
      <c r="H8" s="37"/>
      <c r="I8" s="38"/>
      <c r="J8" s="111"/>
      <c r="K8" s="145" t="s">
        <v>19</v>
      </c>
      <c r="L8" s="76"/>
      <c r="M8" s="157" t="s">
        <v>91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08">
        <v>45923.0</v>
      </c>
      <c r="C9" s="45" t="s">
        <v>397</v>
      </c>
      <c r="D9" s="46">
        <v>10288.0</v>
      </c>
      <c r="E9" s="109" t="s">
        <v>333</v>
      </c>
      <c r="F9" s="155"/>
      <c r="G9" s="36">
        <v>600.0</v>
      </c>
      <c r="H9" s="37"/>
      <c r="I9" s="38"/>
      <c r="J9" s="111"/>
      <c r="K9" s="145" t="s">
        <v>19</v>
      </c>
      <c r="L9" s="76"/>
      <c r="M9" s="157" t="s">
        <v>91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35" t="s">
        <v>57</v>
      </c>
      <c r="B10" s="108">
        <v>45923.0</v>
      </c>
      <c r="C10" s="45" t="s">
        <v>398</v>
      </c>
      <c r="D10" s="46">
        <v>10288.0</v>
      </c>
      <c r="E10" s="109" t="s">
        <v>333</v>
      </c>
      <c r="F10" s="155"/>
      <c r="G10" s="36">
        <v>600.0</v>
      </c>
      <c r="H10" s="37"/>
      <c r="I10" s="38"/>
      <c r="J10" s="111"/>
      <c r="K10" s="145" t="s">
        <v>19</v>
      </c>
      <c r="L10" s="76"/>
      <c r="M10" s="157" t="s">
        <v>91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 t="s">
        <v>61</v>
      </c>
      <c r="B11" s="108">
        <v>45923.0</v>
      </c>
      <c r="C11" s="45" t="s">
        <v>399</v>
      </c>
      <c r="D11" s="46">
        <v>10288.0</v>
      </c>
      <c r="E11" s="109" t="s">
        <v>333</v>
      </c>
      <c r="F11" s="155"/>
      <c r="G11" s="36">
        <v>600.0</v>
      </c>
      <c r="H11" s="37"/>
      <c r="I11" s="38"/>
      <c r="J11" s="111"/>
      <c r="K11" s="145" t="s">
        <v>19</v>
      </c>
      <c r="L11" s="76"/>
      <c r="M11" s="157" t="s">
        <v>91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65</v>
      </c>
      <c r="B12" s="108">
        <v>45923.0</v>
      </c>
      <c r="C12" s="45" t="s">
        <v>400</v>
      </c>
      <c r="D12" s="46">
        <v>97727.0</v>
      </c>
      <c r="E12" s="109" t="s">
        <v>401</v>
      </c>
      <c r="F12" s="155"/>
      <c r="G12" s="36">
        <v>4500.0</v>
      </c>
      <c r="H12" s="37"/>
      <c r="I12" s="38"/>
      <c r="J12" s="111"/>
      <c r="K12" s="145" t="s">
        <v>19</v>
      </c>
      <c r="L12" s="76"/>
      <c r="M12" s="157" t="s">
        <v>392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35" t="s">
        <v>69</v>
      </c>
      <c r="B13" s="108">
        <v>45923.0</v>
      </c>
      <c r="C13" s="45" t="s">
        <v>402</v>
      </c>
      <c r="D13" s="46">
        <v>59793.0</v>
      </c>
      <c r="E13" s="109" t="s">
        <v>102</v>
      </c>
      <c r="F13" s="155"/>
      <c r="G13" s="36">
        <v>2500.0</v>
      </c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19" t="s">
        <v>73</v>
      </c>
      <c r="B14" s="108">
        <v>45923.0</v>
      </c>
      <c r="C14" s="45" t="s">
        <v>403</v>
      </c>
      <c r="D14" s="46">
        <v>74493.0</v>
      </c>
      <c r="E14" s="109" t="s">
        <v>404</v>
      </c>
      <c r="F14" s="155"/>
      <c r="G14" s="36">
        <v>10000.0</v>
      </c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77</v>
      </c>
      <c r="B15" s="108">
        <v>45923.0</v>
      </c>
      <c r="C15" s="45" t="s">
        <v>405</v>
      </c>
      <c r="D15" s="46">
        <v>97113.0</v>
      </c>
      <c r="E15" s="109" t="s">
        <v>406</v>
      </c>
      <c r="F15" s="155"/>
      <c r="G15" s="36">
        <v>5000.0</v>
      </c>
      <c r="H15" s="37"/>
      <c r="I15" s="38"/>
      <c r="J15" s="111"/>
      <c r="K15" s="145" t="s">
        <v>19</v>
      </c>
      <c r="L15" s="76"/>
      <c r="M15" s="157" t="s">
        <v>392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135"/>
      <c r="B16" s="129"/>
      <c r="C16" s="116"/>
      <c r="D16" s="117"/>
      <c r="E16" s="118"/>
      <c r="F16" s="79"/>
      <c r="G16" s="74"/>
      <c r="H16" s="37"/>
      <c r="I16" s="38"/>
      <c r="J16" s="111"/>
      <c r="K16" s="145"/>
      <c r="L16" s="76"/>
      <c r="M16" s="7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119"/>
      <c r="B17" s="129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134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30"/>
      <c r="B18" s="115"/>
      <c r="C18" s="116"/>
      <c r="D18" s="117"/>
      <c r="E18" s="118"/>
      <c r="F18" s="79"/>
      <c r="G18" s="74"/>
      <c r="H18" s="37"/>
      <c r="I18" s="38"/>
      <c r="J18" s="111"/>
      <c r="K18" s="75"/>
      <c r="L18" s="76"/>
      <c r="M18" s="7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52"/>
      <c r="B19" s="2"/>
      <c r="C19" s="2"/>
      <c r="D19" s="2"/>
      <c r="E19" s="3"/>
      <c r="F19" s="53">
        <f t="shared" ref="F19:J19" si="1">SUM(F4:F18)</f>
        <v>10000</v>
      </c>
      <c r="G19" s="53">
        <f t="shared" si="1"/>
        <v>58850</v>
      </c>
      <c r="H19" s="53">
        <f t="shared" si="1"/>
        <v>0</v>
      </c>
      <c r="I19" s="53">
        <f t="shared" si="1"/>
        <v>0</v>
      </c>
      <c r="J19" s="53">
        <f t="shared" si="1"/>
        <v>0</v>
      </c>
      <c r="K19" s="54"/>
      <c r="L19" s="54"/>
      <c r="M19" s="55"/>
    </row>
    <row r="20">
      <c r="F20" s="56">
        <f>F19+G19+H19+I19+J19</f>
        <v>68850</v>
      </c>
      <c r="G20" s="2"/>
      <c r="H20" s="2"/>
      <c r="I20" s="2"/>
      <c r="J20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9:E19"/>
    <mergeCell ref="F20:J2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58" t="s">
        <v>408</v>
      </c>
      <c r="C4" s="159" t="s">
        <v>409</v>
      </c>
      <c r="D4" s="160">
        <v>47787.0</v>
      </c>
      <c r="E4" s="161" t="s">
        <v>30</v>
      </c>
      <c r="F4" s="155"/>
      <c r="G4" s="74">
        <v>10000.0</v>
      </c>
      <c r="H4" s="150"/>
      <c r="I4" s="151"/>
      <c r="J4" s="152"/>
      <c r="K4" s="145" t="s">
        <v>19</v>
      </c>
      <c r="L4" s="162" t="s">
        <v>410</v>
      </c>
      <c r="M4" s="156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58" t="s">
        <v>411</v>
      </c>
      <c r="C5" s="159" t="s">
        <v>412</v>
      </c>
      <c r="D5" s="160">
        <v>83404.0</v>
      </c>
      <c r="E5" s="161" t="s">
        <v>413</v>
      </c>
      <c r="F5" s="36"/>
      <c r="G5" s="163">
        <v>5100.0</v>
      </c>
      <c r="H5" s="150"/>
      <c r="I5" s="151"/>
      <c r="J5" s="152"/>
      <c r="K5" s="75" t="s">
        <v>31</v>
      </c>
      <c r="L5" s="162" t="s">
        <v>414</v>
      </c>
      <c r="M5" s="156" t="s">
        <v>27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58" t="s">
        <v>411</v>
      </c>
      <c r="C6" s="159" t="s">
        <v>415</v>
      </c>
      <c r="D6" s="160">
        <v>51017.0</v>
      </c>
      <c r="E6" s="161" t="s">
        <v>18</v>
      </c>
      <c r="F6" s="155"/>
      <c r="G6" s="74">
        <v>2500.0</v>
      </c>
      <c r="H6" s="150"/>
      <c r="I6" s="151"/>
      <c r="J6" s="152"/>
      <c r="K6" s="145" t="s">
        <v>19</v>
      </c>
      <c r="L6" s="162" t="s">
        <v>416</v>
      </c>
      <c r="M6" s="156" t="s">
        <v>358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35" t="s">
        <v>34</v>
      </c>
      <c r="B7" s="158" t="s">
        <v>411</v>
      </c>
      <c r="C7" s="159" t="s">
        <v>417</v>
      </c>
      <c r="D7" s="160">
        <v>47787.0</v>
      </c>
      <c r="E7" s="161" t="s">
        <v>30</v>
      </c>
      <c r="F7" s="155"/>
      <c r="G7" s="74">
        <v>400.0</v>
      </c>
      <c r="H7" s="37"/>
      <c r="I7" s="38"/>
      <c r="J7" s="111"/>
      <c r="K7" s="145" t="s">
        <v>19</v>
      </c>
      <c r="L7" s="164" t="s">
        <v>418</v>
      </c>
      <c r="M7" s="156" t="s">
        <v>33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58" t="s">
        <v>411</v>
      </c>
      <c r="C8" s="159" t="s">
        <v>419</v>
      </c>
      <c r="D8" s="160">
        <v>48072.0</v>
      </c>
      <c r="E8" s="161" t="s">
        <v>420</v>
      </c>
      <c r="F8" s="155"/>
      <c r="G8" s="74">
        <v>2600.0</v>
      </c>
      <c r="H8" s="37"/>
      <c r="I8" s="38"/>
      <c r="J8" s="111"/>
      <c r="K8" s="145" t="s">
        <v>19</v>
      </c>
      <c r="L8" s="164" t="s">
        <v>421</v>
      </c>
      <c r="M8" s="157" t="s">
        <v>27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58" t="s">
        <v>411</v>
      </c>
      <c r="C9" s="159" t="s">
        <v>422</v>
      </c>
      <c r="D9" s="160">
        <v>50342.0</v>
      </c>
      <c r="E9" s="161" t="s">
        <v>223</v>
      </c>
      <c r="F9" s="155"/>
      <c r="G9" s="74">
        <v>2500.0</v>
      </c>
      <c r="H9" s="37"/>
      <c r="I9" s="38"/>
      <c r="J9" s="111"/>
      <c r="K9" s="145" t="s">
        <v>19</v>
      </c>
      <c r="L9" s="164" t="s">
        <v>423</v>
      </c>
      <c r="M9" s="157" t="s">
        <v>33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35" t="s">
        <v>57</v>
      </c>
      <c r="B10" s="158" t="s">
        <v>411</v>
      </c>
      <c r="C10" s="159" t="s">
        <v>424</v>
      </c>
      <c r="D10" s="160">
        <v>49206.0</v>
      </c>
      <c r="E10" s="161" t="s">
        <v>322</v>
      </c>
      <c r="F10" s="155"/>
      <c r="G10" s="36"/>
      <c r="H10" s="165">
        <v>3850.0</v>
      </c>
      <c r="I10" s="38"/>
      <c r="J10" s="111"/>
      <c r="K10" s="145" t="s">
        <v>19</v>
      </c>
      <c r="L10" s="164" t="s">
        <v>425</v>
      </c>
      <c r="M10" s="157" t="s">
        <v>27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 t="s">
        <v>61</v>
      </c>
      <c r="B11" s="158" t="s">
        <v>411</v>
      </c>
      <c r="C11" s="159" t="s">
        <v>426</v>
      </c>
      <c r="D11" s="160">
        <v>59137.0</v>
      </c>
      <c r="E11" s="161" t="s">
        <v>427</v>
      </c>
      <c r="F11" s="155"/>
      <c r="G11" s="74">
        <v>2800.0</v>
      </c>
      <c r="H11" s="37"/>
      <c r="I11" s="38"/>
      <c r="J11" s="111"/>
      <c r="K11" s="145" t="s">
        <v>19</v>
      </c>
      <c r="L11" s="164" t="s">
        <v>428</v>
      </c>
      <c r="M11" s="157" t="s">
        <v>358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65</v>
      </c>
      <c r="B12" s="158" t="s">
        <v>411</v>
      </c>
      <c r="C12" s="159" t="s">
        <v>429</v>
      </c>
      <c r="D12" s="160">
        <v>59137.0</v>
      </c>
      <c r="E12" s="161" t="s">
        <v>427</v>
      </c>
      <c r="F12" s="155"/>
      <c r="G12" s="74">
        <v>4500.0</v>
      </c>
      <c r="H12" s="37"/>
      <c r="I12" s="38"/>
      <c r="J12" s="111"/>
      <c r="K12" s="145" t="s">
        <v>19</v>
      </c>
      <c r="L12" s="164" t="s">
        <v>430</v>
      </c>
      <c r="M12" s="157" t="s">
        <v>358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35" t="s">
        <v>69</v>
      </c>
      <c r="B13" s="108"/>
      <c r="C13" s="45"/>
      <c r="D13" s="46"/>
      <c r="E13" s="109"/>
      <c r="F13" s="155"/>
      <c r="G13" s="36"/>
      <c r="H13" s="37"/>
      <c r="I13" s="38"/>
      <c r="J13" s="111"/>
      <c r="K13" s="145"/>
      <c r="L13" s="76"/>
      <c r="M13" s="157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9" t="s">
        <v>73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77</v>
      </c>
      <c r="B15" s="108"/>
      <c r="C15" s="45"/>
      <c r="D15" s="46"/>
      <c r="E15" s="109"/>
      <c r="F15" s="155"/>
      <c r="G15" s="36"/>
      <c r="H15" s="37"/>
      <c r="I15" s="38"/>
      <c r="J15" s="111"/>
      <c r="K15" s="145" t="s">
        <v>19</v>
      </c>
      <c r="L15" s="76"/>
      <c r="M15" s="157" t="s">
        <v>392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35"/>
      <c r="B16" s="129"/>
      <c r="C16" s="116"/>
      <c r="D16" s="117"/>
      <c r="E16" s="118"/>
      <c r="F16" s="79"/>
      <c r="G16" s="74"/>
      <c r="H16" s="37"/>
      <c r="I16" s="38"/>
      <c r="J16" s="111"/>
      <c r="K16" s="145"/>
      <c r="L16" s="76"/>
      <c r="M16" s="7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19"/>
      <c r="B17" s="129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134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30"/>
      <c r="B18" s="115"/>
      <c r="C18" s="116"/>
      <c r="D18" s="117"/>
      <c r="E18" s="118"/>
      <c r="F18" s="79"/>
      <c r="G18" s="74"/>
      <c r="H18" s="37"/>
      <c r="I18" s="38"/>
      <c r="J18" s="111"/>
      <c r="K18" s="75"/>
      <c r="L18" s="76"/>
      <c r="M18" s="7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52"/>
      <c r="B19" s="2"/>
      <c r="C19" s="2"/>
      <c r="D19" s="2"/>
      <c r="E19" s="3"/>
      <c r="F19" s="53">
        <f t="shared" ref="F19:J19" si="1">SUM(F4:F18)</f>
        <v>0</v>
      </c>
      <c r="G19" s="53">
        <f t="shared" si="1"/>
        <v>30400</v>
      </c>
      <c r="H19" s="53">
        <f t="shared" si="1"/>
        <v>3850</v>
      </c>
      <c r="I19" s="53">
        <f t="shared" si="1"/>
        <v>0</v>
      </c>
      <c r="J19" s="53">
        <f t="shared" si="1"/>
        <v>0</v>
      </c>
      <c r="K19" s="54"/>
      <c r="L19" s="54"/>
      <c r="M19" s="55"/>
    </row>
    <row r="20">
      <c r="F20" s="56">
        <f>F19+G19+H19+I19+J19</f>
        <v>34250</v>
      </c>
      <c r="G20" s="2"/>
      <c r="H20" s="2"/>
      <c r="I20" s="2"/>
      <c r="J20" s="3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2">
    <mergeCell ref="K2:K3"/>
    <mergeCell ref="L2:L3"/>
    <mergeCell ref="E2:E3"/>
    <mergeCell ref="A19:E19"/>
    <mergeCell ref="F20:J20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407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66">
        <v>45924.0</v>
      </c>
      <c r="C4" s="159" t="s">
        <v>431</v>
      </c>
      <c r="D4" s="160">
        <v>97885.0</v>
      </c>
      <c r="E4" s="161" t="s">
        <v>432</v>
      </c>
      <c r="F4" s="167">
        <v>2400.0</v>
      </c>
      <c r="G4" s="74"/>
      <c r="H4" s="150"/>
      <c r="I4" s="151"/>
      <c r="J4" s="152"/>
      <c r="K4" s="145" t="s">
        <v>19</v>
      </c>
      <c r="L4" s="162"/>
      <c r="M4" s="156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66">
        <v>45925.0</v>
      </c>
      <c r="C5" s="159" t="s">
        <v>433</v>
      </c>
      <c r="D5" s="160">
        <v>47787.0</v>
      </c>
      <c r="E5" s="161" t="s">
        <v>30</v>
      </c>
      <c r="F5" s="168">
        <v>10000.0</v>
      </c>
      <c r="G5" s="163"/>
      <c r="H5" s="150"/>
      <c r="I5" s="151"/>
      <c r="J5" s="152"/>
      <c r="K5" s="75" t="s">
        <v>31</v>
      </c>
      <c r="L5" s="162"/>
      <c r="M5" s="156" t="s">
        <v>33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66">
        <v>45925.0</v>
      </c>
      <c r="C6" s="159" t="s">
        <v>434</v>
      </c>
      <c r="D6" s="160">
        <v>42095.0</v>
      </c>
      <c r="E6" s="161" t="s">
        <v>435</v>
      </c>
      <c r="F6" s="169"/>
      <c r="G6" s="74">
        <v>4500.0</v>
      </c>
      <c r="H6" s="150"/>
      <c r="I6" s="151"/>
      <c r="J6" s="152"/>
      <c r="K6" s="145" t="s">
        <v>19</v>
      </c>
      <c r="L6" s="162"/>
      <c r="M6" s="156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35" t="s">
        <v>34</v>
      </c>
      <c r="B7" s="166">
        <v>45925.0</v>
      </c>
      <c r="C7" s="159" t="s">
        <v>436</v>
      </c>
      <c r="D7" s="160">
        <v>43380.0</v>
      </c>
      <c r="E7" s="161" t="s">
        <v>46</v>
      </c>
      <c r="F7" s="167">
        <v>29700.0</v>
      </c>
      <c r="G7" s="74"/>
      <c r="H7" s="37"/>
      <c r="I7" s="38"/>
      <c r="J7" s="111"/>
      <c r="K7" s="145" t="s">
        <v>19</v>
      </c>
      <c r="L7" s="164"/>
      <c r="M7" s="156" t="s">
        <v>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66">
        <v>45925.0</v>
      </c>
      <c r="C8" s="159" t="s">
        <v>437</v>
      </c>
      <c r="D8" s="160">
        <v>47787.0</v>
      </c>
      <c r="E8" s="161" t="s">
        <v>30</v>
      </c>
      <c r="F8" s="167">
        <v>450.0</v>
      </c>
      <c r="G8" s="74"/>
      <c r="H8" s="37"/>
      <c r="I8" s="38"/>
      <c r="J8" s="111"/>
      <c r="K8" s="145" t="s">
        <v>31</v>
      </c>
      <c r="L8" s="164"/>
      <c r="M8" s="157" t="s">
        <v>33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66">
        <v>45925.0</v>
      </c>
      <c r="C9" s="159" t="s">
        <v>438</v>
      </c>
      <c r="D9" s="160">
        <v>51017.0</v>
      </c>
      <c r="E9" s="161" t="s">
        <v>356</v>
      </c>
      <c r="F9" s="167">
        <v>10000.0</v>
      </c>
      <c r="G9" s="74"/>
      <c r="H9" s="37"/>
      <c r="I9" s="38"/>
      <c r="J9" s="111"/>
      <c r="K9" s="145" t="s">
        <v>19</v>
      </c>
      <c r="L9" s="164"/>
      <c r="M9" s="157" t="s">
        <v>358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35" t="s">
        <v>57</v>
      </c>
      <c r="B10" s="166">
        <v>45925.0</v>
      </c>
      <c r="C10" s="159" t="s">
        <v>439</v>
      </c>
      <c r="D10" s="160">
        <v>50342.0</v>
      </c>
      <c r="E10" s="161" t="s">
        <v>223</v>
      </c>
      <c r="F10" s="167">
        <v>10000.0</v>
      </c>
      <c r="G10" s="36"/>
      <c r="H10" s="165"/>
      <c r="I10" s="38"/>
      <c r="J10" s="111"/>
      <c r="K10" s="145" t="s">
        <v>31</v>
      </c>
      <c r="L10" s="164"/>
      <c r="M10" s="157" t="s">
        <v>440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/>
      <c r="B11" s="158"/>
      <c r="C11" s="159"/>
      <c r="D11" s="160"/>
      <c r="E11" s="161"/>
      <c r="F11" s="155"/>
      <c r="G11" s="74"/>
      <c r="H11" s="37"/>
      <c r="I11" s="38"/>
      <c r="J11" s="111"/>
      <c r="K11" s="145"/>
      <c r="L11" s="164"/>
      <c r="M11" s="15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35"/>
      <c r="B12" s="108"/>
      <c r="C12" s="45"/>
      <c r="D12" s="46"/>
      <c r="E12" s="109"/>
      <c r="F12" s="155"/>
      <c r="G12" s="36"/>
      <c r="H12" s="37"/>
      <c r="I12" s="38"/>
      <c r="J12" s="111"/>
      <c r="K12" s="145"/>
      <c r="L12" s="76"/>
      <c r="M12" s="15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2"/>
      <c r="B18" s="2"/>
      <c r="C18" s="2"/>
      <c r="D18" s="2"/>
      <c r="E18" s="3"/>
      <c r="F18" s="53">
        <f t="shared" ref="F18:J18" si="1">SUM(F4:F17)</f>
        <v>62550</v>
      </c>
      <c r="G18" s="53">
        <f t="shared" si="1"/>
        <v>4500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67050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66">
        <v>45926.0</v>
      </c>
      <c r="C4" s="159" t="s">
        <v>442</v>
      </c>
      <c r="D4" s="160">
        <v>10006.0</v>
      </c>
      <c r="E4" s="161" t="s">
        <v>25</v>
      </c>
      <c r="F4" s="167">
        <v>900.0</v>
      </c>
      <c r="G4" s="74"/>
      <c r="H4" s="150"/>
      <c r="I4" s="151"/>
      <c r="J4" s="152"/>
      <c r="K4" s="145" t="s">
        <v>19</v>
      </c>
      <c r="L4" s="162"/>
      <c r="M4" s="156" t="s">
        <v>91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66"/>
      <c r="C5" s="159"/>
      <c r="D5" s="160"/>
      <c r="E5" s="161"/>
      <c r="F5" s="168"/>
      <c r="G5" s="163"/>
      <c r="H5" s="150"/>
      <c r="I5" s="151"/>
      <c r="J5" s="152"/>
      <c r="K5" s="75" t="s">
        <v>31</v>
      </c>
      <c r="L5" s="162"/>
      <c r="M5" s="156" t="s">
        <v>33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66"/>
      <c r="C6" s="159"/>
      <c r="D6" s="160"/>
      <c r="E6" s="161"/>
      <c r="F6" s="169"/>
      <c r="G6" s="74"/>
      <c r="H6" s="150"/>
      <c r="I6" s="151"/>
      <c r="J6" s="152"/>
      <c r="K6" s="145" t="s">
        <v>19</v>
      </c>
      <c r="L6" s="162"/>
      <c r="M6" s="156" t="s">
        <v>91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35" t="s">
        <v>34</v>
      </c>
      <c r="B7" s="166"/>
      <c r="C7" s="159"/>
      <c r="D7" s="160"/>
      <c r="E7" s="161"/>
      <c r="F7" s="167"/>
      <c r="G7" s="74"/>
      <c r="H7" s="37"/>
      <c r="I7" s="38"/>
      <c r="J7" s="111"/>
      <c r="K7" s="145" t="s">
        <v>19</v>
      </c>
      <c r="L7" s="164"/>
      <c r="M7" s="156" t="s">
        <v>27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66"/>
      <c r="C8" s="159"/>
      <c r="D8" s="160"/>
      <c r="E8" s="161"/>
      <c r="F8" s="167"/>
      <c r="G8" s="74"/>
      <c r="H8" s="37"/>
      <c r="I8" s="38"/>
      <c r="J8" s="111"/>
      <c r="K8" s="145" t="s">
        <v>31</v>
      </c>
      <c r="L8" s="164"/>
      <c r="M8" s="157" t="s">
        <v>33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66"/>
      <c r="C9" s="159"/>
      <c r="D9" s="160"/>
      <c r="E9" s="161"/>
      <c r="F9" s="167"/>
      <c r="G9" s="74"/>
      <c r="H9" s="37"/>
      <c r="I9" s="38"/>
      <c r="J9" s="111"/>
      <c r="K9" s="145" t="s">
        <v>19</v>
      </c>
      <c r="L9" s="164"/>
      <c r="M9" s="157" t="s">
        <v>358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35" t="s">
        <v>57</v>
      </c>
      <c r="B10" s="166"/>
      <c r="C10" s="159"/>
      <c r="D10" s="160"/>
      <c r="E10" s="161"/>
      <c r="F10" s="167"/>
      <c r="G10" s="36"/>
      <c r="H10" s="165"/>
      <c r="I10" s="38"/>
      <c r="J10" s="111"/>
      <c r="K10" s="145" t="s">
        <v>31</v>
      </c>
      <c r="L10" s="164"/>
      <c r="M10" s="157" t="s">
        <v>440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/>
      <c r="B11" s="158"/>
      <c r="C11" s="159"/>
      <c r="D11" s="160"/>
      <c r="E11" s="161"/>
      <c r="F11" s="155"/>
      <c r="G11" s="74"/>
      <c r="H11" s="37"/>
      <c r="I11" s="38"/>
      <c r="J11" s="111"/>
      <c r="K11" s="145"/>
      <c r="L11" s="164"/>
      <c r="M11" s="15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35"/>
      <c r="B12" s="108"/>
      <c r="C12" s="45"/>
      <c r="D12" s="46"/>
      <c r="E12" s="109"/>
      <c r="F12" s="155"/>
      <c r="G12" s="36"/>
      <c r="H12" s="37"/>
      <c r="I12" s="38"/>
      <c r="J12" s="111"/>
      <c r="K12" s="145"/>
      <c r="L12" s="76"/>
      <c r="M12" s="15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2"/>
      <c r="B18" s="2"/>
      <c r="C18" s="2"/>
      <c r="D18" s="2"/>
      <c r="E18" s="3"/>
      <c r="F18" s="53">
        <f t="shared" ref="F18:J18" si="1">SUM(F4:F17)</f>
        <v>900</v>
      </c>
      <c r="G18" s="53">
        <f t="shared" si="1"/>
        <v>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900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443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66">
        <v>45927.0</v>
      </c>
      <c r="C4" s="159" t="s">
        <v>444</v>
      </c>
      <c r="D4" s="160">
        <v>45227.0</v>
      </c>
      <c r="E4" s="161" t="s">
        <v>445</v>
      </c>
      <c r="F4" s="167"/>
      <c r="G4" s="74">
        <v>5100.0</v>
      </c>
      <c r="H4" s="150"/>
      <c r="I4" s="151"/>
      <c r="J4" s="152"/>
      <c r="K4" s="145" t="s">
        <v>19</v>
      </c>
      <c r="L4" s="161" t="s">
        <v>446</v>
      </c>
      <c r="M4" s="156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66"/>
      <c r="C5" s="159"/>
      <c r="D5" s="160"/>
      <c r="E5" s="161"/>
      <c r="F5" s="168"/>
      <c r="G5" s="163"/>
      <c r="H5" s="150"/>
      <c r="I5" s="151"/>
      <c r="J5" s="152"/>
      <c r="K5" s="75" t="s">
        <v>31</v>
      </c>
      <c r="L5" s="162"/>
      <c r="M5" s="15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66"/>
      <c r="C6" s="159"/>
      <c r="D6" s="160"/>
      <c r="E6" s="161"/>
      <c r="F6" s="169"/>
      <c r="G6" s="74"/>
      <c r="H6" s="150"/>
      <c r="I6" s="151"/>
      <c r="J6" s="152"/>
      <c r="K6" s="145"/>
      <c r="L6" s="162"/>
      <c r="M6" s="156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35" t="s">
        <v>34</v>
      </c>
      <c r="B7" s="166"/>
      <c r="C7" s="159"/>
      <c r="D7" s="160"/>
      <c r="E7" s="161"/>
      <c r="F7" s="167"/>
      <c r="G7" s="74"/>
      <c r="H7" s="37"/>
      <c r="I7" s="38"/>
      <c r="J7" s="111"/>
      <c r="K7" s="145"/>
      <c r="L7" s="164"/>
      <c r="M7" s="156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66"/>
      <c r="C8" s="159"/>
      <c r="D8" s="160"/>
      <c r="E8" s="161"/>
      <c r="F8" s="167"/>
      <c r="G8" s="74"/>
      <c r="H8" s="37"/>
      <c r="I8" s="38"/>
      <c r="J8" s="111"/>
      <c r="K8" s="145"/>
      <c r="L8" s="164"/>
      <c r="M8" s="15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66"/>
      <c r="C9" s="159"/>
      <c r="D9" s="160"/>
      <c r="E9" s="161"/>
      <c r="F9" s="167"/>
      <c r="G9" s="74"/>
      <c r="H9" s="37"/>
      <c r="I9" s="38"/>
      <c r="J9" s="111"/>
      <c r="K9" s="145"/>
      <c r="L9" s="164"/>
      <c r="M9" s="15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35" t="s">
        <v>57</v>
      </c>
      <c r="B10" s="166"/>
      <c r="C10" s="159"/>
      <c r="D10" s="160"/>
      <c r="E10" s="161"/>
      <c r="F10" s="167"/>
      <c r="G10" s="36"/>
      <c r="H10" s="165"/>
      <c r="I10" s="38"/>
      <c r="J10" s="111"/>
      <c r="K10" s="145"/>
      <c r="L10" s="164"/>
      <c r="M10" s="15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/>
      <c r="B11" s="158"/>
      <c r="C11" s="159"/>
      <c r="D11" s="160"/>
      <c r="E11" s="161"/>
      <c r="F11" s="155"/>
      <c r="G11" s="74"/>
      <c r="H11" s="37"/>
      <c r="I11" s="38"/>
      <c r="J11" s="111"/>
      <c r="K11" s="145"/>
      <c r="L11" s="164"/>
      <c r="M11" s="15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35"/>
      <c r="B12" s="108"/>
      <c r="C12" s="45"/>
      <c r="D12" s="46"/>
      <c r="E12" s="109"/>
      <c r="F12" s="155"/>
      <c r="G12" s="36"/>
      <c r="H12" s="37"/>
      <c r="I12" s="38"/>
      <c r="J12" s="111"/>
      <c r="K12" s="145"/>
      <c r="L12" s="76"/>
      <c r="M12" s="15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2"/>
      <c r="B18" s="2"/>
      <c r="C18" s="2"/>
      <c r="D18" s="2"/>
      <c r="E18" s="3"/>
      <c r="F18" s="53">
        <f t="shared" ref="F18:J18" si="1">SUM(F4:F17)</f>
        <v>0</v>
      </c>
      <c r="G18" s="53">
        <f t="shared" si="1"/>
        <v>5100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5100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447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66"/>
      <c r="C4" s="159"/>
      <c r="D4" s="160"/>
      <c r="E4" s="161"/>
      <c r="F4" s="167"/>
      <c r="G4" s="74"/>
      <c r="H4" s="150"/>
      <c r="I4" s="151"/>
      <c r="J4" s="152"/>
      <c r="K4" s="145" t="s">
        <v>19</v>
      </c>
      <c r="L4" s="161"/>
      <c r="M4" s="156" t="s">
        <v>27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66"/>
      <c r="C5" s="159"/>
      <c r="D5" s="160"/>
      <c r="E5" s="161"/>
      <c r="F5" s="168"/>
      <c r="G5" s="163"/>
      <c r="H5" s="150"/>
      <c r="I5" s="151"/>
      <c r="J5" s="152"/>
      <c r="K5" s="75" t="s">
        <v>31</v>
      </c>
      <c r="L5" s="162"/>
      <c r="M5" s="15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66"/>
      <c r="C6" s="159"/>
      <c r="D6" s="160"/>
      <c r="E6" s="161" t="s">
        <v>448</v>
      </c>
      <c r="F6" s="169"/>
      <c r="G6" s="74"/>
      <c r="H6" s="150"/>
      <c r="I6" s="151"/>
      <c r="J6" s="152"/>
      <c r="K6" s="145"/>
      <c r="L6" s="162"/>
      <c r="M6" s="156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35" t="s">
        <v>34</v>
      </c>
      <c r="B7" s="166"/>
      <c r="C7" s="159"/>
      <c r="D7" s="160"/>
      <c r="E7" s="161"/>
      <c r="F7" s="167"/>
      <c r="G7" s="74"/>
      <c r="H7" s="37"/>
      <c r="I7" s="38"/>
      <c r="J7" s="111"/>
      <c r="K7" s="145"/>
      <c r="L7" s="164"/>
      <c r="M7" s="156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66"/>
      <c r="C8" s="159"/>
      <c r="D8" s="160"/>
      <c r="E8" s="161"/>
      <c r="F8" s="167"/>
      <c r="G8" s="74"/>
      <c r="H8" s="37"/>
      <c r="I8" s="38"/>
      <c r="J8" s="111"/>
      <c r="K8" s="145"/>
      <c r="L8" s="164"/>
      <c r="M8" s="15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66"/>
      <c r="C9" s="159"/>
      <c r="D9" s="160"/>
      <c r="E9" s="161"/>
      <c r="F9" s="167"/>
      <c r="G9" s="74"/>
      <c r="H9" s="37"/>
      <c r="I9" s="38"/>
      <c r="J9" s="111"/>
      <c r="K9" s="145"/>
      <c r="L9" s="164"/>
      <c r="M9" s="15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35" t="s">
        <v>57</v>
      </c>
      <c r="B10" s="166"/>
      <c r="C10" s="159"/>
      <c r="D10" s="160"/>
      <c r="E10" s="161"/>
      <c r="F10" s="167"/>
      <c r="G10" s="36"/>
      <c r="H10" s="165"/>
      <c r="I10" s="38"/>
      <c r="J10" s="111"/>
      <c r="K10" s="145"/>
      <c r="L10" s="164"/>
      <c r="M10" s="15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/>
      <c r="B11" s="158"/>
      <c r="C11" s="159"/>
      <c r="D11" s="160"/>
      <c r="E11" s="161"/>
      <c r="F11" s="155"/>
      <c r="G11" s="74"/>
      <c r="H11" s="37"/>
      <c r="I11" s="38"/>
      <c r="J11" s="111"/>
      <c r="K11" s="145"/>
      <c r="L11" s="164"/>
      <c r="M11" s="15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35"/>
      <c r="B12" s="108"/>
      <c r="C12" s="45"/>
      <c r="D12" s="46"/>
      <c r="E12" s="109"/>
      <c r="F12" s="155"/>
      <c r="G12" s="36"/>
      <c r="H12" s="37"/>
      <c r="I12" s="38"/>
      <c r="J12" s="111"/>
      <c r="K12" s="145"/>
      <c r="L12" s="76"/>
      <c r="M12" s="15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2"/>
      <c r="B18" s="2"/>
      <c r="C18" s="2"/>
      <c r="D18" s="2"/>
      <c r="E18" s="3"/>
      <c r="F18" s="53">
        <f t="shared" ref="F18:J18" si="1">SUM(F4:F17)</f>
        <v>0</v>
      </c>
      <c r="G18" s="53">
        <f t="shared" si="1"/>
        <v>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59" t="s">
        <v>449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66">
        <v>45928.0</v>
      </c>
      <c r="C4" s="159" t="s">
        <v>450</v>
      </c>
      <c r="D4" s="160">
        <v>10288.0</v>
      </c>
      <c r="E4" s="161" t="s">
        <v>333</v>
      </c>
      <c r="F4" s="167">
        <v>10000.0</v>
      </c>
      <c r="G4" s="74"/>
      <c r="H4" s="170"/>
      <c r="I4" s="151"/>
      <c r="J4" s="152"/>
      <c r="K4" s="145" t="s">
        <v>451</v>
      </c>
      <c r="L4" s="171">
        <v>17.33</v>
      </c>
      <c r="M4" s="156" t="s">
        <v>284</v>
      </c>
      <c r="N4" s="29"/>
      <c r="O4" s="29"/>
      <c r="P4" s="172">
        <v>10000.0</v>
      </c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19" t="s">
        <v>22</v>
      </c>
      <c r="B5" s="166">
        <v>45928.0</v>
      </c>
      <c r="C5" s="159" t="s">
        <v>452</v>
      </c>
      <c r="D5" s="160">
        <v>59793.0</v>
      </c>
      <c r="E5" s="161" t="s">
        <v>102</v>
      </c>
      <c r="F5" s="168">
        <v>5000.0</v>
      </c>
      <c r="G5" s="163"/>
      <c r="H5" s="170"/>
      <c r="I5" s="151"/>
      <c r="J5" s="152"/>
      <c r="K5" s="145" t="s">
        <v>451</v>
      </c>
      <c r="L5" s="162">
        <v>17.04</v>
      </c>
      <c r="M5" s="156" t="s">
        <v>158</v>
      </c>
      <c r="N5" s="29"/>
      <c r="O5" s="29"/>
      <c r="P5" s="172">
        <v>5000.0</v>
      </c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28</v>
      </c>
      <c r="B6" s="166">
        <v>45928.0</v>
      </c>
      <c r="C6" s="159" t="s">
        <v>453</v>
      </c>
      <c r="D6" s="160">
        <v>10250.0</v>
      </c>
      <c r="E6" s="161" t="s">
        <v>36</v>
      </c>
      <c r="F6" s="167">
        <v>14500.0</v>
      </c>
      <c r="G6" s="74"/>
      <c r="H6" s="170"/>
      <c r="I6" s="151"/>
      <c r="J6" s="152"/>
      <c r="K6" s="145" t="s">
        <v>31</v>
      </c>
      <c r="L6" s="162">
        <v>18.26</v>
      </c>
      <c r="M6" s="156" t="s">
        <v>44</v>
      </c>
      <c r="N6" s="29"/>
      <c r="O6" s="29"/>
      <c r="P6" s="172">
        <v>14500.0</v>
      </c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35" t="s">
        <v>34</v>
      </c>
      <c r="B7" s="166">
        <v>45929.0</v>
      </c>
      <c r="C7" s="159" t="s">
        <v>454</v>
      </c>
      <c r="D7" s="160">
        <v>52669.0</v>
      </c>
      <c r="E7" s="161" t="s">
        <v>108</v>
      </c>
      <c r="F7" s="167">
        <v>14500.0</v>
      </c>
      <c r="G7" s="74"/>
      <c r="H7" s="80"/>
      <c r="I7" s="38"/>
      <c r="J7" s="111"/>
      <c r="K7" s="145" t="s">
        <v>451</v>
      </c>
      <c r="L7" s="164">
        <v>6.32</v>
      </c>
      <c r="M7" s="156" t="s">
        <v>158</v>
      </c>
      <c r="N7" s="29"/>
      <c r="O7" s="29"/>
      <c r="P7" s="172">
        <v>14500.0</v>
      </c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9" t="s">
        <v>50</v>
      </c>
      <c r="B8" s="166">
        <v>45929.0</v>
      </c>
      <c r="C8" s="159" t="s">
        <v>455</v>
      </c>
      <c r="D8" s="160">
        <v>43380.0</v>
      </c>
      <c r="E8" s="161" t="s">
        <v>46</v>
      </c>
      <c r="F8" s="167">
        <v>10000.0</v>
      </c>
      <c r="G8" s="74"/>
      <c r="H8" s="80"/>
      <c r="I8" s="38"/>
      <c r="J8" s="111"/>
      <c r="K8" s="145" t="s">
        <v>451</v>
      </c>
      <c r="L8" s="164">
        <v>10.17</v>
      </c>
      <c r="M8" s="156" t="s">
        <v>284</v>
      </c>
      <c r="N8" s="29"/>
      <c r="O8" s="29"/>
      <c r="P8" s="172">
        <v>10000.0</v>
      </c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54</v>
      </c>
      <c r="B9" s="166">
        <v>45929.0</v>
      </c>
      <c r="C9" s="159" t="s">
        <v>456</v>
      </c>
      <c r="D9" s="160">
        <v>80066.0</v>
      </c>
      <c r="E9" s="161" t="s">
        <v>457</v>
      </c>
      <c r="F9" s="167">
        <v>2600.0</v>
      </c>
      <c r="G9" s="74"/>
      <c r="H9" s="37"/>
      <c r="I9" s="38"/>
      <c r="J9" s="111"/>
      <c r="K9" s="145" t="s">
        <v>451</v>
      </c>
      <c r="L9" s="164">
        <v>12.17</v>
      </c>
      <c r="M9" s="156" t="s">
        <v>284</v>
      </c>
      <c r="N9" s="29"/>
      <c r="O9" s="29"/>
      <c r="P9" s="172">
        <v>2600.0</v>
      </c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35" t="s">
        <v>57</v>
      </c>
      <c r="B10" s="166"/>
      <c r="C10" s="159"/>
      <c r="D10" s="160"/>
      <c r="E10" s="161"/>
      <c r="F10" s="167"/>
      <c r="G10" s="36"/>
      <c r="H10" s="165"/>
      <c r="I10" s="38"/>
      <c r="J10" s="111"/>
      <c r="K10" s="145"/>
      <c r="L10" s="164"/>
      <c r="M10" s="15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9"/>
      <c r="B11" s="158"/>
      <c r="C11" s="159"/>
      <c r="D11" s="160"/>
      <c r="E11" s="161"/>
      <c r="F11" s="155"/>
      <c r="G11" s="74"/>
      <c r="H11" s="37"/>
      <c r="I11" s="38"/>
      <c r="J11" s="111"/>
      <c r="K11" s="145"/>
      <c r="L11" s="164"/>
      <c r="M11" s="15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35"/>
      <c r="B12" s="108"/>
      <c r="C12" s="45"/>
      <c r="D12" s="46"/>
      <c r="E12" s="109"/>
      <c r="F12" s="155"/>
      <c r="G12" s="36"/>
      <c r="H12" s="37"/>
      <c r="I12" s="38"/>
      <c r="J12" s="111"/>
      <c r="K12" s="145"/>
      <c r="L12" s="76"/>
      <c r="M12" s="15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2"/>
      <c r="B18" s="2"/>
      <c r="C18" s="2"/>
      <c r="D18" s="2"/>
      <c r="E18" s="3"/>
      <c r="F18" s="53">
        <f t="shared" ref="F18:J18" si="1">SUM(F4:F17)</f>
        <v>56600</v>
      </c>
      <c r="G18" s="53">
        <f t="shared" si="1"/>
        <v>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56600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5" width="8.13"/>
  </cols>
  <sheetData>
    <row r="1" ht="67.5" customHeight="1">
      <c r="A1" s="59" t="s">
        <v>458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58" t="s">
        <v>459</v>
      </c>
      <c r="C4" s="159" t="s">
        <v>460</v>
      </c>
      <c r="D4" s="160">
        <v>10006.0</v>
      </c>
      <c r="E4" s="161" t="s">
        <v>25</v>
      </c>
      <c r="F4" s="167"/>
      <c r="G4" s="74">
        <v>4800.0</v>
      </c>
      <c r="H4" s="170"/>
      <c r="I4" s="151"/>
      <c r="J4" s="152"/>
      <c r="K4" s="145" t="s">
        <v>451</v>
      </c>
      <c r="L4" s="171"/>
      <c r="M4" s="156" t="s">
        <v>158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ht="49.5" customHeight="1">
      <c r="A5" s="119" t="s">
        <v>22</v>
      </c>
      <c r="B5" s="158" t="s">
        <v>461</v>
      </c>
      <c r="C5" s="159" t="s">
        <v>462</v>
      </c>
      <c r="D5" s="160">
        <v>57201.0</v>
      </c>
      <c r="E5" s="161" t="s">
        <v>463</v>
      </c>
      <c r="F5" s="168"/>
      <c r="G5" s="163">
        <v>17400.0</v>
      </c>
      <c r="H5" s="170"/>
      <c r="I5" s="151"/>
      <c r="J5" s="152"/>
      <c r="K5" s="145" t="s">
        <v>31</v>
      </c>
      <c r="L5" s="162"/>
      <c r="M5" s="156" t="s">
        <v>158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ht="49.5" customHeight="1">
      <c r="A6" s="30" t="s">
        <v>28</v>
      </c>
      <c r="B6" s="158" t="s">
        <v>461</v>
      </c>
      <c r="C6" s="159" t="s">
        <v>464</v>
      </c>
      <c r="D6" s="160">
        <v>57201.0</v>
      </c>
      <c r="E6" s="161" t="s">
        <v>463</v>
      </c>
      <c r="F6" s="167"/>
      <c r="G6" s="74">
        <v>2850.0</v>
      </c>
      <c r="H6" s="170"/>
      <c r="I6" s="151"/>
      <c r="J6" s="152"/>
      <c r="K6" s="145" t="s">
        <v>31</v>
      </c>
      <c r="L6" s="162"/>
      <c r="M6" s="156" t="s">
        <v>158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ht="49.5" customHeight="1">
      <c r="A7" s="135" t="s">
        <v>34</v>
      </c>
      <c r="B7" s="158" t="s">
        <v>461</v>
      </c>
      <c r="C7" s="159" t="s">
        <v>465</v>
      </c>
      <c r="D7" s="160">
        <v>47787.0</v>
      </c>
      <c r="E7" s="161" t="s">
        <v>30</v>
      </c>
      <c r="F7" s="167"/>
      <c r="G7" s="74">
        <v>10000.0</v>
      </c>
      <c r="H7" s="80"/>
      <c r="I7" s="38"/>
      <c r="J7" s="111"/>
      <c r="K7" s="145" t="s">
        <v>451</v>
      </c>
      <c r="L7" s="164"/>
      <c r="M7" s="156" t="s">
        <v>158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ht="49.5" customHeight="1">
      <c r="A8" s="119" t="s">
        <v>50</v>
      </c>
      <c r="B8" s="158" t="s">
        <v>461</v>
      </c>
      <c r="C8" s="159" t="s">
        <v>466</v>
      </c>
      <c r="D8" s="160">
        <v>55864.0</v>
      </c>
      <c r="E8" s="161" t="s">
        <v>467</v>
      </c>
      <c r="F8" s="167">
        <v>3050.0</v>
      </c>
      <c r="G8" s="74"/>
      <c r="H8" s="80"/>
      <c r="I8" s="38"/>
      <c r="J8" s="111"/>
      <c r="K8" s="145" t="s">
        <v>451</v>
      </c>
      <c r="L8" s="164"/>
      <c r="M8" s="156" t="s">
        <v>468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49.5" customHeight="1">
      <c r="A9" s="30" t="s">
        <v>54</v>
      </c>
      <c r="B9" s="158" t="s">
        <v>461</v>
      </c>
      <c r="C9" s="159" t="s">
        <v>469</v>
      </c>
      <c r="D9" s="160">
        <v>10357.0</v>
      </c>
      <c r="E9" s="161" t="s">
        <v>71</v>
      </c>
      <c r="F9" s="167"/>
      <c r="G9" s="74">
        <v>5600.0</v>
      </c>
      <c r="H9" s="37"/>
      <c r="I9" s="38"/>
      <c r="J9" s="111"/>
      <c r="K9" s="145" t="s">
        <v>451</v>
      </c>
      <c r="L9" s="164"/>
      <c r="M9" s="156" t="s">
        <v>158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49.5" customHeight="1">
      <c r="A10" s="135" t="s">
        <v>57</v>
      </c>
      <c r="B10" s="158" t="s">
        <v>461</v>
      </c>
      <c r="C10" s="159" t="s">
        <v>470</v>
      </c>
      <c r="D10" s="160">
        <v>58633.0</v>
      </c>
      <c r="E10" s="161" t="s">
        <v>471</v>
      </c>
      <c r="F10" s="167"/>
      <c r="G10" s="36"/>
      <c r="H10" s="165">
        <v>3700.0</v>
      </c>
      <c r="I10" s="38"/>
      <c r="J10" s="111"/>
      <c r="K10" s="145" t="s">
        <v>451</v>
      </c>
      <c r="L10" s="164"/>
      <c r="M10" s="156" t="s">
        <v>468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49.5" customHeight="1">
      <c r="A11" s="135" t="s">
        <v>61</v>
      </c>
      <c r="B11" s="158" t="s">
        <v>461</v>
      </c>
      <c r="C11" s="159" t="s">
        <v>472</v>
      </c>
      <c r="D11" s="160">
        <v>98619.0</v>
      </c>
      <c r="E11" s="161" t="s">
        <v>473</v>
      </c>
      <c r="F11" s="173">
        <v>300.0</v>
      </c>
      <c r="G11" s="74"/>
      <c r="H11" s="37"/>
      <c r="I11" s="38"/>
      <c r="J11" s="111"/>
      <c r="K11" s="145" t="s">
        <v>451</v>
      </c>
      <c r="L11" s="164"/>
      <c r="M11" s="156" t="s">
        <v>158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49.5" customHeight="1">
      <c r="A12" s="119" t="s">
        <v>65</v>
      </c>
      <c r="B12" s="158" t="s">
        <v>461</v>
      </c>
      <c r="C12" s="159" t="s">
        <v>474</v>
      </c>
      <c r="D12" s="160">
        <v>65611.0</v>
      </c>
      <c r="E12" s="161" t="s">
        <v>475</v>
      </c>
      <c r="F12" s="155"/>
      <c r="G12" s="74">
        <v>4550.0</v>
      </c>
      <c r="H12" s="37"/>
      <c r="I12" s="38"/>
      <c r="J12" s="111"/>
      <c r="K12" s="145" t="s">
        <v>451</v>
      </c>
      <c r="L12" s="76"/>
      <c r="M12" s="156" t="s">
        <v>158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52"/>
      <c r="B18" s="2"/>
      <c r="C18" s="2"/>
      <c r="D18" s="2"/>
      <c r="E18" s="3"/>
      <c r="F18" s="53">
        <f t="shared" ref="F18:J18" si="1">SUM(F4:F17)</f>
        <v>3350</v>
      </c>
      <c r="G18" s="53">
        <f t="shared" si="1"/>
        <v>45200</v>
      </c>
      <c r="H18" s="53">
        <f t="shared" si="1"/>
        <v>3700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52250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K2:K3"/>
    <mergeCell ref="L2:L3"/>
    <mergeCell ref="E2:E3"/>
    <mergeCell ref="A18:E18"/>
    <mergeCell ref="F19:J19"/>
    <mergeCell ref="A1:M1"/>
    <mergeCell ref="A2:A3"/>
    <mergeCell ref="B2:B3"/>
    <mergeCell ref="C2:C3"/>
    <mergeCell ref="D2:D3"/>
    <mergeCell ref="F2:J2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5" width="8.13"/>
  </cols>
  <sheetData>
    <row r="1" ht="67.5" customHeight="1">
      <c r="A1" s="59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58"/>
      <c r="C4" s="159"/>
      <c r="D4" s="160"/>
      <c r="E4" s="161"/>
      <c r="F4" s="167"/>
      <c r="G4" s="74"/>
      <c r="H4" s="170"/>
      <c r="I4" s="151"/>
      <c r="J4" s="152"/>
      <c r="K4" s="145"/>
      <c r="L4" s="171"/>
      <c r="M4" s="156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ht="49.5" customHeight="1">
      <c r="A5" s="119" t="s">
        <v>22</v>
      </c>
      <c r="B5" s="158"/>
      <c r="C5" s="159"/>
      <c r="D5" s="160"/>
      <c r="E5" s="161" t="s">
        <v>477</v>
      </c>
      <c r="F5" s="168"/>
      <c r="G5" s="163"/>
      <c r="H5" s="170"/>
      <c r="I5" s="151"/>
      <c r="J5" s="152"/>
      <c r="K5" s="145"/>
      <c r="L5" s="162"/>
      <c r="M5" s="15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ht="49.5" customHeight="1">
      <c r="A6" s="30" t="s">
        <v>28</v>
      </c>
      <c r="B6" s="158"/>
      <c r="C6" s="159"/>
      <c r="D6" s="160"/>
      <c r="E6" s="161"/>
      <c r="F6" s="167"/>
      <c r="G6" s="74"/>
      <c r="H6" s="170"/>
      <c r="I6" s="151"/>
      <c r="J6" s="152"/>
      <c r="K6" s="145"/>
      <c r="L6" s="162"/>
      <c r="M6" s="156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ht="49.5" customHeight="1">
      <c r="A7" s="135" t="s">
        <v>34</v>
      </c>
      <c r="B7" s="158"/>
      <c r="C7" s="159"/>
      <c r="D7" s="160"/>
      <c r="E7" s="161"/>
      <c r="F7" s="167"/>
      <c r="G7" s="74"/>
      <c r="H7" s="80"/>
      <c r="I7" s="38"/>
      <c r="J7" s="111"/>
      <c r="K7" s="145"/>
      <c r="L7" s="164"/>
      <c r="M7" s="156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ht="49.5" customHeight="1">
      <c r="A8" s="119" t="s">
        <v>50</v>
      </c>
      <c r="B8" s="158"/>
      <c r="C8" s="159"/>
      <c r="D8" s="160"/>
      <c r="E8" s="161"/>
      <c r="F8" s="167"/>
      <c r="G8" s="74"/>
      <c r="H8" s="80"/>
      <c r="I8" s="38"/>
      <c r="J8" s="111"/>
      <c r="K8" s="145"/>
      <c r="L8" s="164"/>
      <c r="M8" s="156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49.5" customHeight="1">
      <c r="A9" s="30" t="s">
        <v>54</v>
      </c>
      <c r="B9" s="158"/>
      <c r="C9" s="159"/>
      <c r="D9" s="160"/>
      <c r="E9" s="161"/>
      <c r="F9" s="167"/>
      <c r="G9" s="74"/>
      <c r="H9" s="37"/>
      <c r="I9" s="38"/>
      <c r="J9" s="111"/>
      <c r="K9" s="145"/>
      <c r="L9" s="164"/>
      <c r="M9" s="156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49.5" customHeight="1">
      <c r="A10" s="135" t="s">
        <v>57</v>
      </c>
      <c r="B10" s="158"/>
      <c r="C10" s="159"/>
      <c r="D10" s="160"/>
      <c r="E10" s="161"/>
      <c r="F10" s="167"/>
      <c r="G10" s="36"/>
      <c r="H10" s="165"/>
      <c r="I10" s="38"/>
      <c r="J10" s="111"/>
      <c r="K10" s="145"/>
      <c r="L10" s="164"/>
      <c r="M10" s="156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49.5" customHeight="1">
      <c r="A11" s="135" t="s">
        <v>61</v>
      </c>
      <c r="B11" s="158"/>
      <c r="C11" s="159"/>
      <c r="D11" s="160"/>
      <c r="E11" s="161"/>
      <c r="F11" s="173"/>
      <c r="G11" s="74"/>
      <c r="H11" s="37"/>
      <c r="I11" s="38"/>
      <c r="J11" s="111"/>
      <c r="K11" s="145"/>
      <c r="L11" s="164"/>
      <c r="M11" s="156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49.5" customHeight="1">
      <c r="A12" s="119" t="s">
        <v>65</v>
      </c>
      <c r="B12" s="158"/>
      <c r="C12" s="159"/>
      <c r="D12" s="160"/>
      <c r="E12" s="161"/>
      <c r="F12" s="155"/>
      <c r="G12" s="74"/>
      <c r="H12" s="37"/>
      <c r="I12" s="38"/>
      <c r="J12" s="111"/>
      <c r="K12" s="145"/>
      <c r="L12" s="76"/>
      <c r="M12" s="156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52"/>
      <c r="B18" s="2"/>
      <c r="C18" s="2"/>
      <c r="D18" s="2"/>
      <c r="E18" s="3"/>
      <c r="F18" s="53">
        <f t="shared" ref="F18:J18" si="1">SUM(F4:F17)</f>
        <v>0</v>
      </c>
      <c r="G18" s="53">
        <f t="shared" si="1"/>
        <v>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B2:B3"/>
    <mergeCell ref="C2:C3"/>
    <mergeCell ref="E2:E3"/>
    <mergeCell ref="F2:J2"/>
    <mergeCell ref="K2:K3"/>
    <mergeCell ref="L2:L3"/>
    <mergeCell ref="A18:E18"/>
    <mergeCell ref="F19:J19"/>
    <mergeCell ref="A1:M1"/>
    <mergeCell ref="A2:A3"/>
    <mergeCell ref="D2:D3"/>
    <mergeCell ref="M2:M3"/>
  </mergeCells>
  <printOptions/>
  <pageMargins bottom="0.75" footer="0.0" header="0.0" left="0.7" right="0.7" top="0.75"/>
  <pageSetup paperSize="9" scale="35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7.63"/>
    <col customWidth="1" min="4" max="4" width="17.75"/>
    <col customWidth="1" min="5" max="5" width="92.38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5" width="8.13"/>
  </cols>
  <sheetData>
    <row r="1" ht="67.5" customHeight="1">
      <c r="A1" s="59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35" t="s">
        <v>15</v>
      </c>
      <c r="B4" s="158"/>
      <c r="C4" s="159"/>
      <c r="D4" s="160"/>
      <c r="E4" s="161"/>
      <c r="F4" s="167"/>
      <c r="G4" s="74"/>
      <c r="H4" s="170"/>
      <c r="I4" s="151"/>
      <c r="J4" s="152"/>
      <c r="K4" s="145"/>
      <c r="L4" s="171"/>
      <c r="M4" s="156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 ht="49.5" customHeight="1">
      <c r="A5" s="119" t="s">
        <v>22</v>
      </c>
      <c r="B5" s="158"/>
      <c r="C5" s="159"/>
      <c r="D5" s="160"/>
      <c r="E5" s="161"/>
      <c r="F5" s="168"/>
      <c r="G5" s="163"/>
      <c r="H5" s="170"/>
      <c r="I5" s="151"/>
      <c r="J5" s="152"/>
      <c r="K5" s="145"/>
      <c r="L5" s="162"/>
      <c r="M5" s="15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ht="49.5" customHeight="1">
      <c r="A6" s="30" t="s">
        <v>28</v>
      </c>
      <c r="B6" s="158"/>
      <c r="C6" s="159"/>
      <c r="D6" s="160"/>
      <c r="E6" s="161"/>
      <c r="F6" s="167"/>
      <c r="G6" s="74"/>
      <c r="H6" s="170"/>
      <c r="I6" s="151"/>
      <c r="J6" s="152"/>
      <c r="K6" s="145"/>
      <c r="L6" s="162"/>
      <c r="M6" s="156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ht="49.5" customHeight="1">
      <c r="A7" s="135" t="s">
        <v>34</v>
      </c>
      <c r="B7" s="158"/>
      <c r="C7" s="159"/>
      <c r="D7" s="160"/>
      <c r="E7" s="161"/>
      <c r="F7" s="167"/>
      <c r="G7" s="74"/>
      <c r="H7" s="80"/>
      <c r="I7" s="38"/>
      <c r="J7" s="111"/>
      <c r="K7" s="145"/>
      <c r="L7" s="164"/>
      <c r="M7" s="156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ht="49.5" customHeight="1">
      <c r="A8" s="119" t="s">
        <v>50</v>
      </c>
      <c r="B8" s="158"/>
      <c r="C8" s="159"/>
      <c r="D8" s="160"/>
      <c r="E8" s="161"/>
      <c r="F8" s="167"/>
      <c r="G8" s="74"/>
      <c r="H8" s="80"/>
      <c r="I8" s="38"/>
      <c r="J8" s="111"/>
      <c r="K8" s="145"/>
      <c r="L8" s="164"/>
      <c r="M8" s="156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49.5" customHeight="1">
      <c r="A9" s="30" t="s">
        <v>54</v>
      </c>
      <c r="B9" s="158"/>
      <c r="C9" s="159"/>
      <c r="D9" s="160"/>
      <c r="E9" s="161"/>
      <c r="F9" s="167"/>
      <c r="G9" s="74"/>
      <c r="H9" s="37"/>
      <c r="I9" s="38"/>
      <c r="J9" s="111"/>
      <c r="K9" s="145"/>
      <c r="L9" s="164"/>
      <c r="M9" s="156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49.5" customHeight="1">
      <c r="A10" s="135" t="s">
        <v>57</v>
      </c>
      <c r="B10" s="158"/>
      <c r="C10" s="159"/>
      <c r="D10" s="160"/>
      <c r="E10" s="161"/>
      <c r="F10" s="167"/>
      <c r="G10" s="36"/>
      <c r="H10" s="165"/>
      <c r="I10" s="38"/>
      <c r="J10" s="111"/>
      <c r="K10" s="145"/>
      <c r="L10" s="164"/>
      <c r="M10" s="156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49.5" customHeight="1">
      <c r="A11" s="135" t="s">
        <v>61</v>
      </c>
      <c r="B11" s="158"/>
      <c r="C11" s="159"/>
      <c r="D11" s="160"/>
      <c r="E11" s="161"/>
      <c r="F11" s="173"/>
      <c r="G11" s="74"/>
      <c r="H11" s="37"/>
      <c r="I11" s="38"/>
      <c r="J11" s="111"/>
      <c r="K11" s="145"/>
      <c r="L11" s="164"/>
      <c r="M11" s="156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49.5" customHeight="1">
      <c r="A12" s="119" t="s">
        <v>65</v>
      </c>
      <c r="B12" s="158"/>
      <c r="C12" s="159"/>
      <c r="D12" s="160"/>
      <c r="E12" s="161"/>
      <c r="F12" s="155"/>
      <c r="G12" s="74"/>
      <c r="H12" s="37"/>
      <c r="I12" s="38"/>
      <c r="J12" s="111"/>
      <c r="K12" s="145"/>
      <c r="L12" s="76"/>
      <c r="M12" s="156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ht="49.5" hidden="1" customHeight="1">
      <c r="A13" s="119" t="s">
        <v>73</v>
      </c>
      <c r="B13" s="108"/>
      <c r="C13" s="45"/>
      <c r="D13" s="46"/>
      <c r="E13" s="109"/>
      <c r="F13" s="155"/>
      <c r="G13" s="36"/>
      <c r="H13" s="37"/>
      <c r="I13" s="38"/>
      <c r="J13" s="111"/>
      <c r="K13" s="145" t="s">
        <v>19</v>
      </c>
      <c r="L13" s="76"/>
      <c r="M13" s="157" t="s">
        <v>392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49.5" hidden="1" customHeight="1">
      <c r="A14" s="30" t="s">
        <v>77</v>
      </c>
      <c r="B14" s="108"/>
      <c r="C14" s="45"/>
      <c r="D14" s="46"/>
      <c r="E14" s="109"/>
      <c r="F14" s="155"/>
      <c r="G14" s="36"/>
      <c r="H14" s="37"/>
      <c r="I14" s="38"/>
      <c r="J14" s="111"/>
      <c r="K14" s="145" t="s">
        <v>19</v>
      </c>
      <c r="L14" s="76"/>
      <c r="M14" s="157" t="s">
        <v>392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t="49.5" hidden="1" customHeight="1">
      <c r="A15" s="135"/>
      <c r="B15" s="129"/>
      <c r="C15" s="116"/>
      <c r="D15" s="117"/>
      <c r="E15" s="118"/>
      <c r="F15" s="79"/>
      <c r="G15" s="74"/>
      <c r="H15" s="37"/>
      <c r="I15" s="38"/>
      <c r="J15" s="111"/>
      <c r="K15" s="145"/>
      <c r="L15" s="76"/>
      <c r="M15" s="7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49.5" hidden="1" customHeight="1">
      <c r="A16" s="119"/>
      <c r="B16" s="129"/>
      <c r="C16" s="116"/>
      <c r="D16" s="117"/>
      <c r="E16" s="118"/>
      <c r="F16" s="79"/>
      <c r="G16" s="74"/>
      <c r="H16" s="37"/>
      <c r="I16" s="38"/>
      <c r="J16" s="111"/>
      <c r="K16" s="75"/>
      <c r="L16" s="76"/>
      <c r="M16" s="13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ht="49.5" customHeight="1">
      <c r="A17" s="30"/>
      <c r="B17" s="115"/>
      <c r="C17" s="116"/>
      <c r="D17" s="117"/>
      <c r="E17" s="118"/>
      <c r="F17" s="79"/>
      <c r="G17" s="74"/>
      <c r="H17" s="37"/>
      <c r="I17" s="38"/>
      <c r="J17" s="111"/>
      <c r="K17" s="75"/>
      <c r="L17" s="76"/>
      <c r="M17" s="7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52"/>
      <c r="B18" s="2"/>
      <c r="C18" s="2"/>
      <c r="D18" s="2"/>
      <c r="E18" s="3"/>
      <c r="F18" s="53">
        <f t="shared" ref="F18:J18" si="1">SUM(F4:F17)</f>
        <v>0</v>
      </c>
      <c r="G18" s="53">
        <f t="shared" si="1"/>
        <v>0</v>
      </c>
      <c r="H18" s="53">
        <f t="shared" si="1"/>
        <v>0</v>
      </c>
      <c r="I18" s="53">
        <f t="shared" si="1"/>
        <v>0</v>
      </c>
      <c r="J18" s="53">
        <f t="shared" si="1"/>
        <v>0</v>
      </c>
      <c r="K18" s="54"/>
      <c r="L18" s="54"/>
      <c r="M18" s="55"/>
    </row>
    <row r="19">
      <c r="F19" s="56">
        <f>F18+G18+H18+I18+J18</f>
        <v>0</v>
      </c>
      <c r="G19" s="2"/>
      <c r="H19" s="2"/>
      <c r="I19" s="2"/>
      <c r="J19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2">
    <mergeCell ref="F2:J2"/>
    <mergeCell ref="A1:M1"/>
    <mergeCell ref="M2:M3"/>
    <mergeCell ref="E2:E3"/>
    <mergeCell ref="D2:D3"/>
    <mergeCell ref="B2:B3"/>
    <mergeCell ref="C2:C3"/>
    <mergeCell ref="K2:K3"/>
    <mergeCell ref="L2:L3"/>
    <mergeCell ref="A18:E18"/>
    <mergeCell ref="F19:J19"/>
    <mergeCell ref="A2:A3"/>
  </mergeCell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
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 ธ.ค 67.- 3  ม.ค. 68" sheetId="1" r:id="rId4"/>
    <sheet state="visible" name="4  ธ.ค. 68" sheetId="2" r:id="rId5"/>
    <sheet state="visible" name="5 ม.ค.68" sheetId="3" r:id="rId6"/>
    <sheet state="visible" name="6 ม.ค.68" sheetId="4" r:id="rId7"/>
    <sheet state="visible" name="7 ม.ค.68" sheetId="5" r:id="rId8"/>
    <sheet state="visible" name="8 ม.ค.68" sheetId="6" r:id="rId9"/>
    <sheet state="visible" name="9 ม.ค.68" sheetId="7" r:id="rId10"/>
    <sheet state="visible" name="10  ม.ค.68" sheetId="8" r:id="rId11"/>
    <sheet state="visible" name="11  ม.ค.68" sheetId="9" r:id="rId12"/>
    <sheet state="visible" name="12  ม.ค.68" sheetId="10" r:id="rId13"/>
    <sheet state="visible" name="13  ม.ค.68" sheetId="11" r:id="rId14"/>
    <sheet state="visible" name="14 ม.ค.68" sheetId="12" r:id="rId15"/>
    <sheet state="visible" name="15 ม.ค.68" sheetId="13" r:id="rId16"/>
    <sheet state="visible" name="16 ม.ค.68" sheetId="14" r:id="rId17"/>
    <sheet state="visible" name="17  ม.ค.68" sheetId="15" r:id="rId18"/>
    <sheet state="visible" name="18 ม.ค.68" sheetId="16" r:id="rId19"/>
    <sheet state="visible" name=" 19  ม.ค.68" sheetId="17" r:id="rId20"/>
    <sheet state="visible" name="20  ม.ค.68" sheetId="18" r:id="rId21"/>
    <sheet state="visible" name="21  ม.ค.68" sheetId="19" r:id="rId22"/>
    <sheet state="visible" name="22 ม.ค.68" sheetId="20" r:id="rId23"/>
    <sheet state="visible" name="23 ม.ค.68" sheetId="21" r:id="rId24"/>
    <sheet state="visible" name="24 ม.ค.68" sheetId="22" r:id="rId25"/>
    <sheet state="visible" name="25 ม.ค.68" sheetId="23" r:id="rId26"/>
    <sheet state="visible" name="26  ม.ค.68" sheetId="24" r:id="rId27"/>
    <sheet state="visible" name="27 ม.ค.68" sheetId="25" r:id="rId28"/>
    <sheet state="visible" name="28  ม.ค.68" sheetId="26" r:id="rId29"/>
    <sheet state="visible" name="29  ม.ค.68" sheetId="27" r:id="rId30"/>
    <sheet state="visible" name="30  ม.ค.68" sheetId="28" r:id="rId31"/>
    <sheet state="visible" name="31  ม.ค.68" sheetId="29" r:id="rId32"/>
  </sheets>
  <definedNames/>
  <calcPr/>
  <extLst>
    <ext uri="GoogleSheetsCustomDataVersion2">
      <go:sheetsCustomData xmlns:go="http://customooxmlschemas.google.com/" r:id="rId33" roundtripDataChecksum="QEWNOwMMlkgO3yQGk7P2HYJSDO0uQgdOxyICFjxn+3k="/>
    </ext>
  </extLst>
</workbook>
</file>

<file path=xl/sharedStrings.xml><?xml version="1.0" encoding="utf-8"?>
<sst xmlns="http://schemas.openxmlformats.org/spreadsheetml/2006/main" count="4063" uniqueCount="1306">
  <si>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ธ.ค 67  - 3 ม.ค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</si>
  <si>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</si>
  <si>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</si>
  <si>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</si>
  <si>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</si>
  <si>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</si>
  <si>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</si>
  <si>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</si>
  <si>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</si>
  <si>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</si>
  <si>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</si>
  <si>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</si>
  <si>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</si>
  <si>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</si>
  <si>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</si>
  <si>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</si>
  <si>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</si>
  <si>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</si>
  <si>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</si>
  <si>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</si>
  <si>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</si>
  <si>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</si>
  <si>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</si>
  <si>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STHBKK012412000849</t>
  </si>
  <si>
    <t>นาย บูชาติ หาดสร้อย</t>
  </si>
  <si>
    <t>TOYBKK</t>
  </si>
  <si>
    <t>STHBKK012412000850</t>
  </si>
  <si>
    <t>นาย บุญเสริม  สุขจิตต์</t>
  </si>
  <si>
    <t>bkk-aoeng</t>
  </si>
  <si>
    <t>STHBKK012501000001</t>
  </si>
  <si>
    <t>นาย พัฒนชัย สุนทรหิรัญวงศ์</t>
  </si>
  <si>
    <t>NEWBKK</t>
  </si>
  <si>
    <t>STHBKK012501000002</t>
  </si>
  <si>
    <t>นาง ประสงค์ เราะหะนะ</t>
  </si>
  <si>
    <t>STHBKK012501000003</t>
  </si>
  <si>
    <t>นาย ณฐพนธ์ ศรีศักดา</t>
  </si>
  <si>
    <t>STHBKK012501000004</t>
  </si>
  <si>
    <t>นางสาว แสงมณี บุญทวี</t>
  </si>
  <si>
    <t>STHBKK012501000005</t>
  </si>
  <si>
    <t>นาย วัฒนา รอดวรรณโน</t>
  </si>
  <si>
    <t>STHBKK012501000007</t>
  </si>
  <si>
    <t>นางสาว กุลทรัพย์  จันทะโมโส</t>
  </si>
  <si>
    <t>STHBKK012501000008</t>
  </si>
  <si>
    <t>นาย นพดล พวงศรี</t>
  </si>
  <si>
    <t>STHBKK012501000009</t>
  </si>
  <si>
    <t>นาย เสกสรร ดุสดี</t>
  </si>
  <si>
    <t>Ketbkk</t>
  </si>
  <si>
    <t>STHBKK012501000010</t>
  </si>
  <si>
    <t>นางสาว รุ้งลาวรรณ ศรีศักดา</t>
  </si>
  <si>
    <t>STHBKK012501000011</t>
  </si>
  <si>
    <t xml:space="preserve">นาย ทนงศักดิ์ รัตนบุรี		</t>
  </si>
  <si>
    <t>STHBKK012501000012</t>
  </si>
  <si>
    <t>นาย ๋KBUBAKAR ADAMU NASAFE</t>
  </si>
  <si>
    <t>STHBKK012501000014</t>
  </si>
  <si>
    <t>นาย เพ็ง ทองหนัก</t>
  </si>
  <si>
    <t>STHBKK012501000015</t>
  </si>
  <si>
    <t>นาย พิชิต ผิวสุข</t>
  </si>
  <si>
    <t>STHBKK012501000016</t>
  </si>
  <si>
    <t>นาย อนุศิษฎ์  อนันตะ</t>
  </si>
  <si>
    <t>STHBKK012501000017</t>
  </si>
  <si>
    <t>นางสาว กัญญาภัค กำเหนิดผล</t>
  </si>
  <si>
    <t>STHBKK012501000018</t>
  </si>
  <si>
    <t>นาย พิเชษฐ์ มีสิริ</t>
  </si>
  <si>
    <t>STHBKK012501000019</t>
  </si>
  <si>
    <t>STHBKK012501000020</t>
  </si>
  <si>
    <t>ห้างหุ้นส่วน ไดม่อนอันดามัน เน็ตเวิร์ค  (สำนักงานใหญ่)</t>
  </si>
  <si>
    <t>STHBKK012501000021</t>
  </si>
  <si>
    <t>บริษัท สวนสุข จำกัด(สำนักงานใหญ่)</t>
  </si>
  <si>
    <t>STHBKK012501000022</t>
  </si>
  <si>
    <t>STHBKK012501000024</t>
  </si>
  <si>
    <t>นาง กานดา วงศ์เทพนิวัติ</t>
  </si>
  <si>
    <t>STHBKK012501000025</t>
  </si>
  <si>
    <t>นาย อาทิตย์ ชาวนาราช</t>
  </si>
  <si>
    <t>บิลนี้ มาจาก STHBKK012501000026 เนื่องจากระบบ ขึ้นยอดซ้ำ</t>
  </si>
  <si>
    <t>STHBKK012501000026</t>
  </si>
  <si>
    <t>STHBKK012501000027</t>
  </si>
  <si>
    <t>นาย สุรวัฒน์ ตั้งพงศ์ศิรประภา</t>
  </si>
  <si>
    <t>STHBKK012501000028</t>
  </si>
  <si>
    <t>นาง ณัฎฐณันธ์ วงวันดี</t>
  </si>
  <si>
    <t>STHBKK012501000029</t>
  </si>
  <si>
    <t>นาย ธนบูลย์ แสงฐิตาพันธุ์</t>
  </si>
  <si>
    <t>STHBKK012501000030</t>
  </si>
  <si>
    <t>STHBKK012501000031</t>
  </si>
  <si>
    <t>นาย เสรี ประสิทธิ์</t>
  </si>
  <si>
    <t>STHBKK012501000032</t>
  </si>
  <si>
    <t>นาย ภัทรพล ชัยมโนภิรมย์</t>
  </si>
  <si>
    <t>STHBKK012501000033</t>
  </si>
  <si>
    <t>นางสาว นริศสรา ศรีมูลชัย</t>
  </si>
  <si>
    <t>STHBKK012501000034</t>
  </si>
  <si>
    <t>นางสาว ณิชารีย์ บุญญารัตน์สถาพร</t>
  </si>
  <si>
    <t>STHBKK012501000035</t>
  </si>
  <si>
    <t>นาง นารินี กมลสุวรรณ</t>
  </si>
  <si>
    <t>STHBKK012501000036</t>
  </si>
  <si>
    <t>นาง สมบูรณ์ สุ่มประเสริฐ</t>
  </si>
  <si>
    <t>STHBKK012501000037</t>
  </si>
  <si>
    <t>นางสาว ปรียานุช  กรัดเฟื่อง</t>
  </si>
  <si>
    <t>STHBKK012501000039</t>
  </si>
  <si>
    <t>STHBKK012501000041</t>
  </si>
  <si>
    <t>นางสาว สุพรรณษา ไพศาล</t>
  </si>
  <si>
    <t>STHBKK012501000043</t>
  </si>
  <si>
    <t>Mr. IDRIS ZUBAIR</t>
  </si>
  <si>
    <t>STHBKK012501000044</t>
  </si>
  <si>
    <t>Mr. RABIU MUHAMMAD MAHI</t>
  </si>
  <si>
    <t>STHONLIN2501000006</t>
  </si>
  <si>
    <t>นาง ทิพยาภรณ์ ฆ้องวงษ์</t>
  </si>
  <si>
    <t>STHONLIN2501000007</t>
  </si>
  <si>
    <t>บริษัท เศรษฐกวี จำกัด ( สำนักงานใหญ่ )</t>
  </si>
  <si>
    <t>STHONLIN2501000008</t>
  </si>
  <si>
    <t>บริษัท เอ.ซี.พี.เค จำกัด (สำนักงานใหญ่)</t>
  </si>
  <si>
    <t>STHONLIN2501000010</t>
  </si>
  <si>
    <t>นาย ธีราศรณ์ พิสุทธิ์รัตน์</t>
  </si>
  <si>
    <t>STHONLIN2501000011</t>
  </si>
  <si>
    <t>นาย สุเมธ กลิ่นเย็น</t>
  </si>
  <si>
    <t>STHONLIN2501000012</t>
  </si>
  <si>
    <t>นาย ไกรวินทก์ วิทวัสกุลวงศ์</t>
  </si>
  <si>
    <t xml:space="preserve"> </t>
  </si>
  <si>
    <t xml:space="preserve">ผู้ดึงบิลทางบ้าน  </t>
  </si>
  <si>
    <t>-----</t>
  </si>
  <si>
    <t xml:space="preserve">ผู้เรียงบิล     </t>
  </si>
  <si>
    <t>เอิง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</si>
  <si>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</si>
  <si>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</si>
  <si>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</si>
  <si>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</si>
  <si>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</si>
  <si>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เกษ/นิ้ว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</si>
  <si>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</si>
  <si>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</si>
  <si>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4  ม.ค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</si>
  <si>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STHBKK012501000045</t>
  </si>
  <si>
    <t>นาย สนั่นศักดิ์  สมทอง</t>
  </si>
  <si>
    <t>STHBKK012501000046</t>
  </si>
  <si>
    <t>นาย สรรณ สินธุรัตน์</t>
  </si>
  <si>
    <t>STHBKK012501000047</t>
  </si>
  <si>
    <t>นางสาว นิภาพรรณ  ภูลาด</t>
  </si>
  <si>
    <t>STHBKK012501000048</t>
  </si>
  <si>
    <t>นางสาว วณัฐกมล  วิไลลักษณ์</t>
  </si>
  <si>
    <t>STHBKK012501000049</t>
  </si>
  <si>
    <t>นางสาว นพรัตน์  ศุจิภานันท์</t>
  </si>
  <si>
    <t>STHBKK012501000050</t>
  </si>
  <si>
    <t>นางสาว ภัคชัญญา เทพวรรณ์</t>
  </si>
  <si>
    <t>STHBKK012501000051</t>
  </si>
  <si>
    <t>Mr. UMAR HUSSAINI SULEIMAN</t>
  </si>
  <si>
    <t>STHBKK012501000052</t>
  </si>
  <si>
    <t>นางสาว ลฎาภา ปภาชนานันท์</t>
  </si>
  <si>
    <t>STHBKK012501000053</t>
  </si>
  <si>
    <t>นาย เอกชัย เดือนแจ่ม</t>
  </si>
  <si>
    <t>STHBKK012501000054</t>
  </si>
  <si>
    <t>บริษัท สยามทวีทิพย์ จำกัด(สำนักงานใหญ่)</t>
  </si>
  <si>
    <t>STHBKK012501000055</t>
  </si>
  <si>
    <t>นางสาว เกศร วงษ์วิภาค</t>
  </si>
  <si>
    <t>STHBKK012501000056</t>
  </si>
  <si>
    <t>นาง ชนิดา สามารถ</t>
  </si>
  <si>
    <t>STHBKK012501000057</t>
  </si>
  <si>
    <t>นางสาว พิชาวีร์ บวรธีราเศรษฐ์</t>
  </si>
  <si>
    <t>STHBKK012501000058</t>
  </si>
  <si>
    <t>นางสาว ธิดารัตน์ ทิพย์เหรียญ</t>
  </si>
  <si>
    <t>STHBKK012501000059</t>
  </si>
  <si>
    <t>ห้างหุ้นส่วน โกรท โกลเบิล เน็ตเวิร์ก (สำนักงานใหญ่)</t>
  </si>
  <si>
    <t>STHBKK012501000060</t>
  </si>
  <si>
    <t>นาย ไทคูณ ไพรบึง</t>
  </si>
  <si>
    <t>STHBKK012501000061</t>
  </si>
  <si>
    <t>Mr. GWANBOBMUGA JEMIA BRANDON</t>
  </si>
  <si>
    <t>STHBKK012501000063</t>
  </si>
  <si>
    <t>นาย ทรงชัย    ชื่นวงศ์</t>
  </si>
  <si>
    <t>STHBKK012501000064</t>
  </si>
  <si>
    <t>STHONLIN2501000013</t>
  </si>
  <si>
    <t>บริษัท  ต.ศรีโสภณ จำกัด (สำนักงานใหญ่)</t>
  </si>
  <si>
    <t>STHONLIN2501000014</t>
  </si>
  <si>
    <t>บริษัท โคบาราเอฟโวลูชั่น (ประเทศไทย)จำกัด ( สำนักงานใหญ่ )</t>
  </si>
  <si>
    <t>นิ้ว</t>
  </si>
  <si>
    <t>เกษ</t>
  </si>
  <si>
    <t>นิ้ิ้ว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</si>
  <si>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</si>
  <si>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5  ม.ค 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</si>
  <si>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STHBKK012501000065</t>
  </si>
  <si>
    <t>STHBKK012501000066</t>
  </si>
  <si>
    <t>STHBKK012501000067</t>
  </si>
  <si>
    <t>นาย สามารถ ถมเถื่อน</t>
  </si>
  <si>
    <t>STHBKK012501000068</t>
  </si>
  <si>
    <t>นางสาว จิราภรณ์ เขาทอง</t>
  </si>
  <si>
    <t>STHBKK012501000069</t>
  </si>
  <si>
    <t>นาย ยงยุทธ แก้วสม</t>
  </si>
  <si>
    <t>STHBKK012501000070</t>
  </si>
  <si>
    <t>STHBKK012501000073</t>
  </si>
  <si>
    <t>นางสาว สายชล    แก้วศรีงาม</t>
  </si>
  <si>
    <t>STHBKK012501000074</t>
  </si>
  <si>
    <t>นางสาว กุลฑีรา   อิ่นคำ</t>
  </si>
  <si>
    <t>STHBKK012501000075</t>
  </si>
  <si>
    <t>STHBKK012501000076</t>
  </si>
  <si>
    <t>นาย อพิรุณ  คชสิทธิ์</t>
  </si>
  <si>
    <t>STHBKK012501000077</t>
  </si>
  <si>
    <t>นางสาว ธัญวลัย ชัยวัชรเศรษฐี</t>
  </si>
  <si>
    <t>STHBKK012501000078</t>
  </si>
  <si>
    <t>STHBKK012501000080</t>
  </si>
  <si>
    <t>นาย ทูลโรย    มะลิแก้ว</t>
  </si>
  <si>
    <t>STHBKK012501000082</t>
  </si>
  <si>
    <t>STHBKK012501000083</t>
  </si>
  <si>
    <t>นางสาว พศิจาธิกาณ ธนัฐศิณีญา</t>
  </si>
  <si>
    <t>STHBKK012501000084</t>
  </si>
  <si>
    <t xml:space="preserve">นางสาว ภัทราณิษฐ์ พืชพันธ์วรเดชา	</t>
  </si>
  <si>
    <t>STHBKK012501000085</t>
  </si>
  <si>
    <t>นาง กมลวรรณ  จันทรศร</t>
  </si>
  <si>
    <t>STHONLIN2501000022</t>
  </si>
  <si>
    <t>นาย สุวิทย์  รองชูเพ็ง</t>
  </si>
  <si>
    <t>STHONLIN2501000025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</si>
  <si>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</si>
  <si>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6 ม.ค  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</si>
  <si>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STHBKK012501000086</t>
  </si>
  <si>
    <t>บริษัท สว่างทรัพย์ จำกัด (สำนักงานใหญ่)</t>
  </si>
  <si>
    <t>STHBKK012501000087</t>
  </si>
  <si>
    <t>นาย นิรันดร์ สันอัด</t>
  </si>
  <si>
    <t>STHBKK012501000088</t>
  </si>
  <si>
    <t>นางสาว กานต์พิชชา ไวว่อง</t>
  </si>
  <si>
    <t>STHBKK012501000089</t>
  </si>
  <si>
    <t>นาง ธันยพร  ไตรสูงเนิน</t>
  </si>
  <si>
    <t>STHBKK012501000091</t>
  </si>
  <si>
    <t>นาง ภัคภร ทองประสม</t>
  </si>
  <si>
    <t>STHBKK012501000092</t>
  </si>
  <si>
    <t>นาย พีรพงศ์ ภรประเสริฐศรี</t>
  </si>
  <si>
    <t>STHBKK012501000093</t>
  </si>
  <si>
    <t>นาย โกสินทร์ คณะกูล</t>
  </si>
  <si>
    <t>STHBKK012501000095</t>
  </si>
  <si>
    <t>STHBKK012501000096</t>
  </si>
  <si>
    <t>STHBKK012501000097</t>
  </si>
  <si>
    <t>นาย สมชาย โสภา</t>
  </si>
  <si>
    <t>STHBKK012501000099</t>
  </si>
  <si>
    <t>นางสาว ประกามาศ พุฒธรรม</t>
  </si>
  <si>
    <t>STHBKK012501000100</t>
  </si>
  <si>
    <t>นางสาว ณัฐธาวี เขมะชัยเวช</t>
  </si>
  <si>
    <t>STHBKK012501000101</t>
  </si>
  <si>
    <t>น้ำฝน เลี้ยงชั่งทอง</t>
  </si>
  <si>
    <t>STHBKK012501000102</t>
  </si>
  <si>
    <t>นางสาว สมหมาย คงเสมา</t>
  </si>
  <si>
    <t>STHBKK012501000103</t>
  </si>
  <si>
    <t>STHBKK012501000104</t>
  </si>
  <si>
    <t>นาง พรวน เดชบุญ</t>
  </si>
  <si>
    <t>STHBKK012501000105</t>
  </si>
  <si>
    <t>นาง อรพิน นางแสน</t>
  </si>
  <si>
    <t>STHBKK012501000106</t>
  </si>
  <si>
    <t>STHONLIN2501000031</t>
  </si>
  <si>
    <t>นาย ธนวรรธน์  ปราชญ์เรืองนนท์</t>
  </si>
  <si>
    <t>STHONLIN2501000032</t>
  </si>
  <si>
    <t>STHONLIN2501000033</t>
  </si>
  <si>
    <t>นาย ภูมิรพี โสภา</t>
  </si>
  <si>
    <t>STHONLIN2501000034</t>
  </si>
  <si>
    <t>นางสาว ธนิชชนันท์ สิริภาคยะประภา</t>
  </si>
  <si>
    <t>STHONLIN2501000038</t>
  </si>
  <si>
    <t>นางสาว ลริณธรณ์ รัตนาธานีสิทธิ์</t>
  </si>
  <si>
    <t>นิ้ว / 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</si>
  <si>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</si>
  <si>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DAILY  SALE   7 ม.ค  68                            </t>
  </si>
  <si>
    <t>Payment (THB)</t>
  </si>
  <si>
    <t>STHBKK012501000108</t>
  </si>
  <si>
    <t>คัชรินทร์ ผาอินทร์</t>
  </si>
  <si>
    <t>-</t>
  </si>
  <si>
    <t>STHBKK012501000113</t>
  </si>
  <si>
    <t>นาย เอกชลิต ธวัชกฤตยา</t>
  </si>
  <si>
    <t>STHBKK012501000114</t>
  </si>
  <si>
    <t>STHBKK012501000116</t>
  </si>
  <si>
    <t>STHBKK012501000117</t>
  </si>
  <si>
    <t>บริษัท พิมปรีชา จำกัด (สำนักงานใหญ่)</t>
  </si>
  <si>
    <t>STHBKK012501000118</t>
  </si>
  <si>
    <t>นาย อนันต์กฤช เต็มศิริพันธุ์</t>
  </si>
  <si>
    <t>STHBKK012501000121</t>
  </si>
  <si>
    <t>STHBKK012501000123</t>
  </si>
  <si>
    <t>STHBKK012501000124</t>
  </si>
  <si>
    <t>นางสาว ธารารัตน์ เผ่าพงศ์ษา</t>
  </si>
  <si>
    <t>STHBKK012501000125</t>
  </si>
  <si>
    <t>ห้างหุ้นส่วน ปูแดงพารวย ( สำนักงานใหญ่)</t>
  </si>
  <si>
    <t>STHBKK012501000126</t>
  </si>
  <si>
    <t>นาย สหชัย ม่วงกล่ำ</t>
  </si>
  <si>
    <t>STHBKK012501000127</t>
  </si>
  <si>
    <t>STHBKK012501000128</t>
  </si>
  <si>
    <t>STHBKK012501000129</t>
  </si>
  <si>
    <t>STHBKK012501000130</t>
  </si>
  <si>
    <t>lFrAmEl</t>
  </si>
  <si>
    <t>STHBKK012501000131</t>
  </si>
  <si>
    <t>นางสาว ธันย์ณิชา ชำนาญป่า</t>
  </si>
  <si>
    <t>STHBKK012501000132</t>
  </si>
  <si>
    <t>นาย วินัย   โพธิ์พันธุ์</t>
  </si>
  <si>
    <t>STHBKK012501000133</t>
  </si>
  <si>
    <t>นางสาว กรรณิการ์  ทองนุ่ม</t>
  </si>
  <si>
    <t>STHBKK012501000134</t>
  </si>
  <si>
    <t>นาย ทวิช นาคเจริญ</t>
  </si>
  <si>
    <t>STHBKK012501000135</t>
  </si>
  <si>
    <t>นาย ดุริยงค์ ถัทธะพร</t>
  </si>
  <si>
    <t>STHBKK012501000136</t>
  </si>
  <si>
    <t>นาง กรรณิการ์ อุดมดี</t>
  </si>
  <si>
    <t>STHBKK012501000137</t>
  </si>
  <si>
    <t>นาย บรรณวัฒน์ งามวงศ์สถิต</t>
  </si>
  <si>
    <t>STHBKK012501000140</t>
  </si>
  <si>
    <t>นาย สถาพร  พรหมเจียม</t>
  </si>
  <si>
    <t>STHBKK012501000141</t>
  </si>
  <si>
    <t>นาย วันชัย  แย้มพุชชง</t>
  </si>
  <si>
    <t>STHBKK012501000143</t>
  </si>
  <si>
    <t>นาง สุทิน  เตปินใจ</t>
  </si>
  <si>
    <t>STHBKK012501000144</t>
  </si>
  <si>
    <t>นาง กัญจนา ศุภศิษฏ์</t>
  </si>
  <si>
    <t>STHBKK012501000145</t>
  </si>
  <si>
    <t>นางสาว สมคิด ยิ้มสาระ</t>
  </si>
  <si>
    <t>STHBKK012501000146</t>
  </si>
  <si>
    <t>นางสาว มัลลิกา พลรัตน์</t>
  </si>
  <si>
    <t>STHBKK012501000147</t>
  </si>
  <si>
    <t>นางสาว วาสนา  คุ้มสุด</t>
  </si>
  <si>
    <t>STHBKK012501000148</t>
  </si>
  <si>
    <t>STHONLIN2501000043</t>
  </si>
  <si>
    <t>บริษัท เอส ซี โกรท โกลบอล จำกัด (สำนักงานใหญ่)</t>
  </si>
  <si>
    <t>STHONLIN2501000044</t>
  </si>
  <si>
    <r>
      <rPr>
        <rFont val="Arial"/>
        <b/>
        <color theme="1"/>
        <sz val="30.0"/>
      </rPr>
      <t>DAILY  SALE</t>
    </r>
    <r>
      <rPr>
        <rFont val="Arial"/>
        <b/>
        <color rgb="FFFF0000"/>
        <sz val="30.0"/>
      </rPr>
      <t xml:space="preserve">   ARP (USD)</t>
    </r>
    <r>
      <rPr>
        <rFont val="Arial"/>
        <b/>
        <color theme="1"/>
        <sz val="30.0"/>
      </rPr>
      <t xml:space="preserve">   7 ม.ค  68</t>
    </r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</si>
  <si>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</si>
  <si>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STHONLIN2501000045</t>
  </si>
  <si>
    <t>นาย สุรพล จันทรานุรักษ์</t>
  </si>
  <si>
    <t>STHONLIN2501000048</t>
  </si>
  <si>
    <t>นาย สุพจน์ ท้าวเคหะ</t>
  </si>
  <si>
    <t>STHONLIN2501000049</t>
  </si>
  <si>
    <t>นาย ศุภศิษฎ์ ภูชฎาภิรมย์</t>
  </si>
  <si>
    <t xml:space="preserve">เกษ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</si>
  <si>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</si>
  <si>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</si>
  <si>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DAILY  SALE   8 ม.ค  68                            </t>
  </si>
  <si>
    <t>STHBKK012501000149</t>
  </si>
  <si>
    <t>นาย ปัฐเมส  เอี่ยมตุ้มรัตน์</t>
  </si>
  <si>
    <t>STHBKK012501000150</t>
  </si>
  <si>
    <t>นาย สหะ แรงกสิวิทย์</t>
  </si>
  <si>
    <t>STHBKK012501000151</t>
  </si>
  <si>
    <t>นางสาว พนิตอนงค์ คงปราโมทย์</t>
  </si>
  <si>
    <t>STHBKK012501000152</t>
  </si>
  <si>
    <t>บริษัท ผักคะน้ากรอบ จำกัด(สำนักงานใหญ่)</t>
  </si>
  <si>
    <t>STHBKK012501000153</t>
  </si>
  <si>
    <t>STHBKK012501000154</t>
  </si>
  <si>
    <t>นาง กิตติลักษณ์ คณะกูล</t>
  </si>
  <si>
    <t>STHBKK012501000155</t>
  </si>
  <si>
    <t>นางสาว ธิภารัตน์ อินฉ่ำ</t>
  </si>
  <si>
    <t>STHBKK012501000156</t>
  </si>
  <si>
    <t>STHBKK012501000157</t>
  </si>
  <si>
    <t>นาย จักรกฤษณ์ ผิวเขียว</t>
  </si>
  <si>
    <t>STHBKK012501000158</t>
  </si>
  <si>
    <t>STHBKK012501000159</t>
  </si>
  <si>
    <t>สนั่น ปริมาณ</t>
  </si>
  <si>
    <t>STHBKK012501000160</t>
  </si>
  <si>
    <t>นาง แป้ง สืบสาย</t>
  </si>
  <si>
    <t>STHBKK012501000161</t>
  </si>
  <si>
    <t>STHBKK012501000163</t>
  </si>
  <si>
    <t>นางสาว เบญจมาศ  ฟอกสันเที๊ยะ</t>
  </si>
  <si>
    <t>STHBKK012501000164</t>
  </si>
  <si>
    <t>STHBKK012501000165</t>
  </si>
  <si>
    <t>STHBKK012501000166</t>
  </si>
  <si>
    <t>นางสาว ศิริกัลยา  วิบูลย์กุล</t>
  </si>
  <si>
    <t>STHBKK012501000171</t>
  </si>
  <si>
    <t>นางสาว คณาง ไพรบึง</t>
  </si>
  <si>
    <t>STHBKK012501000172</t>
  </si>
  <si>
    <t>นาย ทิวา เตียววิไล</t>
  </si>
  <si>
    <t>STHONLIN2501000053</t>
  </si>
  <si>
    <t>STHONLIN2501000054</t>
  </si>
  <si>
    <t>STHONLIN2501000056</t>
  </si>
  <si>
    <t>STHONLIN2501000060</t>
  </si>
  <si>
    <t>นาย ธนกร อภัยพงศ์</t>
  </si>
  <si>
    <t>STHONLIN2501000061</t>
  </si>
  <si>
    <t>STHONLIN2501000063</t>
  </si>
  <si>
    <t>นาย สมยศ อภิรัชนากุล</t>
  </si>
  <si>
    <t>STHONLIN2501000068</t>
  </si>
  <si>
    <t>นางสาว อรณิกร บุญเกษม</t>
  </si>
  <si>
    <t>STHONLIN2501000070</t>
  </si>
  <si>
    <t>นาง ทัศนา เลื่อมสำราญ</t>
  </si>
  <si>
    <t>STHONLIN2501000072</t>
  </si>
  <si>
    <t>นางสาว วาสนา บุญเกษม</t>
  </si>
  <si>
    <t>STHONLIN2501000076</t>
  </si>
  <si>
    <t>นาย ภูวภัทร วิทวัสกุลวงศ์</t>
  </si>
  <si>
    <t>STHONLIN2501000081</t>
  </si>
  <si>
    <r>
      <rPr>
        <rFont val="Arial"/>
        <b/>
        <color theme="1"/>
        <sz val="30.0"/>
      </rPr>
      <t>DAILY  SALE</t>
    </r>
    <r>
      <rPr>
        <rFont val="Arial"/>
        <b/>
        <color rgb="FFFF0000"/>
        <sz val="30.0"/>
      </rPr>
      <t xml:space="preserve">   ARP (USD)</t>
    </r>
    <r>
      <rPr>
        <rFont val="Arial"/>
        <b/>
        <color theme="1"/>
        <sz val="30.0"/>
      </rPr>
      <t xml:space="preserve">   8 ม.ค  68</t>
    </r>
  </si>
  <si>
    <t xml:space="preserve">Payment  (USD)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</si>
  <si>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</si>
  <si>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STHONLIN2501000064</t>
  </si>
  <si>
    <t>STHONLIN2501000065</t>
  </si>
  <si>
    <t>นางสาว ภัณฑิรา โพธิ์ทัย</t>
  </si>
  <si>
    <t>STHONLIN2501000066</t>
  </si>
  <si>
    <t>นาย สหชาติ ศรีสุขเจริญพร</t>
  </si>
  <si>
    <t>STHONLIN2501000080</t>
  </si>
  <si>
    <t>นาย สหชัย ศรีสุขเจริญพร</t>
  </si>
  <si>
    <t>E-WALLET  8 ม.ค 67  ARP (USD)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</si>
  <si>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</si>
  <si>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ARPTHBKK012501000003</t>
  </si>
  <si>
    <t>dummy  เติม arp</t>
  </si>
  <si>
    <t>ARPTHBKK012501000002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</si>
  <si>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</si>
  <si>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9 มกราคม 2568</t>
  </si>
  <si>
    <t xml:space="preserve">DAILY  SALE </t>
  </si>
  <si>
    <t>STHBKK012501000173</t>
  </si>
  <si>
    <t>นางสาว พิกุล กลิ่นฟุ้ง</t>
  </si>
  <si>
    <t>STHBKK012501000174</t>
  </si>
  <si>
    <t>STHBKK012501000176</t>
  </si>
  <si>
    <t>นาง จิราพร โพธิ์ไกร</t>
  </si>
  <si>
    <t>STHBKK012501000177</t>
  </si>
  <si>
    <t>นาย ปริญพัชร์ ศรีศุภณัฐธนากุล</t>
  </si>
  <si>
    <t>STHBKK012501000178</t>
  </si>
  <si>
    <t>นาง พรทิพย์ ฤทธิรณ</t>
  </si>
  <si>
    <t>STHBKK012501000179</t>
  </si>
  <si>
    <t>STHBKK012501000180</t>
  </si>
  <si>
    <t>นาย ทองแดง  มีทองเหลา</t>
  </si>
  <si>
    <t>STHBKK012501000181</t>
  </si>
  <si>
    <t>นาย สาธิต โตตรุชัย</t>
  </si>
  <si>
    <t>STHBKK012501000182</t>
  </si>
  <si>
    <t>นาง บัวลอย ประสงค์ผล</t>
  </si>
  <si>
    <t>STHBKK012501000183</t>
  </si>
  <si>
    <t>นาย ปรีชา  แก้วโกถม</t>
  </si>
  <si>
    <t>STHBKK012501000184</t>
  </si>
  <si>
    <t>บริษัท ฟองใหญ่ จำกัด (สำนักงานใหญ่)</t>
  </si>
  <si>
    <t>STHBKK012501000185</t>
  </si>
  <si>
    <t>นางสาว เจนจิรา เหลาทองคำ</t>
  </si>
  <si>
    <t>STHBKK012501000186</t>
  </si>
  <si>
    <t>นาย นันณัชพงศ์ จันทรคล</t>
  </si>
  <si>
    <t>STHBKK012501000187</t>
  </si>
  <si>
    <t>STHBKK012501000188</t>
  </si>
  <si>
    <t>นาย สกลวัฒน์ พงษ์พิทักษ์</t>
  </si>
  <si>
    <t>STHBKK012501000189</t>
  </si>
  <si>
    <t>นาย ชัยวัฒน์ ชมนา</t>
  </si>
  <si>
    <t>STHBKK012501000190</t>
  </si>
  <si>
    <t>STHBKK012501000192</t>
  </si>
  <si>
    <t>นาย ธนภัทร  อยู่คำ</t>
  </si>
  <si>
    <t>STHBKK012501000193</t>
  </si>
  <si>
    <t>นางสาว สุชานันท์ สะตะ</t>
  </si>
  <si>
    <t>STHBKK012501000194</t>
  </si>
  <si>
    <t>นาย ธนาศุภเดช ภุชพัชราธาดาณัช</t>
  </si>
  <si>
    <t>STHBKK012501000195</t>
  </si>
  <si>
    <t>นาย กมล   ตระทอง</t>
  </si>
  <si>
    <t>STHBKK012501000196</t>
  </si>
  <si>
    <t>Mr. JAWA GARBA GAMBO</t>
  </si>
  <si>
    <t>STHBKK012501000197</t>
  </si>
  <si>
    <t>นางสาว พิมพ์ชญา  สุริยปรีชาพงษ์</t>
  </si>
  <si>
    <t>STHBKK012501000199</t>
  </si>
  <si>
    <t>Mr.  U YAN NAING MOE    AUNG</t>
  </si>
  <si>
    <t>STHONLIN2501000085</t>
  </si>
  <si>
    <t>STHONLIN2501000088</t>
  </si>
  <si>
    <t>STHONLIN2501000094</t>
  </si>
  <si>
    <t>STHONLIN2501000102</t>
  </si>
  <si>
    <t>STHONLIN2501000103</t>
  </si>
  <si>
    <t>DAILY  SALE ARP (USD)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</si>
  <si>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</si>
  <si>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STHONLIN2501000084</t>
  </si>
  <si>
    <t>STHONLIN2501000089</t>
  </si>
  <si>
    <t>นาย จิรพันธ์ โสมสุข</t>
  </si>
  <si>
    <t>STHONLIN2501000091</t>
  </si>
  <si>
    <t>นางสาว ศศิววรรณ บุราณดี</t>
  </si>
  <si>
    <t>STHONLIN2501000093</t>
  </si>
  <si>
    <t xml:space="preserve">E-WALLET  (THB)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</si>
  <si>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</si>
  <si>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ETHBKK012501000005</t>
  </si>
  <si>
    <t>ETHBKK012501000006</t>
  </si>
  <si>
    <t>ห้างหุ้นส่วน รีลิกธีน (สำนักงานใหญ่)</t>
  </si>
  <si>
    <t xml:space="preserve">	NEWBKK	</t>
  </si>
  <si>
    <t>ETHBKK012501000007</t>
  </si>
  <si>
    <t>นาย ธนภัทร อยู่คำ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</si>
  <si>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</si>
  <si>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10 มกราคม 2568</t>
  </si>
  <si>
    <t>STHBKK012501000200</t>
  </si>
  <si>
    <t>STHBKK012501000201</t>
  </si>
  <si>
    <t>STHBKK012501000202</t>
  </si>
  <si>
    <t>STHBKK012501000203</t>
  </si>
  <si>
    <t>นาง ณัตฐนันท์ วิทวัสกุลวงศ์</t>
  </si>
  <si>
    <t>STHBKK012501000204</t>
  </si>
  <si>
    <t>นาย ทวีชัย รัตนะธรรม</t>
  </si>
  <si>
    <t>STHBKK012501000205</t>
  </si>
  <si>
    <t>นาย ยืนยง ชินมิตโต</t>
  </si>
  <si>
    <t>STHBKK012501000206</t>
  </si>
  <si>
    <t>นาย ดิลก แผ่ทอง</t>
  </si>
  <si>
    <t>STHBKK012501000207</t>
  </si>
  <si>
    <t>STHBKK012501000208</t>
  </si>
  <si>
    <t>นาย บำรุง  คูณเขตนคร</t>
  </si>
  <si>
    <t>STHBKK012501000209</t>
  </si>
  <si>
    <t>STHBKK012501000210</t>
  </si>
  <si>
    <t>นางสาว ดอกรัก  ชุมพล</t>
  </si>
  <si>
    <t>STHBKK012501000214</t>
  </si>
  <si>
    <t>ห้างหุ้นส่วน เครือข่ายปิยธนา ( สำนักงานใหญ่ )</t>
  </si>
  <si>
    <t>STHBKK012501000215</t>
  </si>
  <si>
    <t>STHONLIN2501000104</t>
  </si>
  <si>
    <t>STHONLIN2501000106</t>
  </si>
  <si>
    <t>STHONLIN2501000117</t>
  </si>
  <si>
    <t>นาง วิมารัตน์ คชพันธิ์</t>
  </si>
  <si>
    <t>STHONLIN2501000118</t>
  </si>
  <si>
    <t>นาย ภูวนาถ วิทวัสกุลวงศ์</t>
  </si>
  <si>
    <t>STHONLIN2501000120</t>
  </si>
  <si>
    <t>นาย เก่งภพ ศุภาภพปภาส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</si>
  <si>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</si>
  <si>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STHONLIN2501000116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</si>
  <si>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</si>
  <si>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11 มกราคม 2568</t>
  </si>
  <si>
    <t>STHBKK012501000216</t>
  </si>
  <si>
    <t>STHBKK012501000217</t>
  </si>
  <si>
    <t>Mr. AOAMU IDRIS</t>
  </si>
  <si>
    <t>STHBKK012501000218</t>
  </si>
  <si>
    <t>นาย สรรเสริญ  จันทร์แดง</t>
  </si>
  <si>
    <t>STHBKK012501000219</t>
  </si>
  <si>
    <t>นางสาว สุปราณี เรืองพานิช</t>
  </si>
  <si>
    <t>STHBKK012501000220</t>
  </si>
  <si>
    <t>STHBKK012501000221</t>
  </si>
  <si>
    <t>STHBKK012501000222</t>
  </si>
  <si>
    <t>นาย สมศักดิ์ เจริญสุข</t>
  </si>
  <si>
    <t>STHBKK012501000224</t>
  </si>
  <si>
    <t>นาย ญาณวุฒิ  ตลุยปรีชาชาญ</t>
  </si>
  <si>
    <t>STHBKK012501000225</t>
  </si>
  <si>
    <t>นาย ศักดา ตำนาญ</t>
  </si>
  <si>
    <t>STHBKK012501000226</t>
  </si>
  <si>
    <t>นางสาว พรทิพย์  นาสวน</t>
  </si>
  <si>
    <t>STHBKK012501000227</t>
  </si>
  <si>
    <t>นาย อำนวย พุทธสกุล</t>
  </si>
  <si>
    <t>STHBKK012501000228</t>
  </si>
  <si>
    <t>STHBKK012501000229</t>
  </si>
  <si>
    <t>STHBKK012501000230</t>
  </si>
  <si>
    <t>นางสาว ยุพา ใจน้ำ</t>
  </si>
  <si>
    <t>STHBKK012501000232</t>
  </si>
  <si>
    <t>Mr. muhammad  ibrahim sani</t>
  </si>
  <si>
    <t>BKK-Neng</t>
  </si>
  <si>
    <t>STHBKK012501000233</t>
  </si>
  <si>
    <t>นางสาว จิรภาทิชา โคดมการภัทรารัช</t>
  </si>
  <si>
    <t>STHBKK012501000234</t>
  </si>
  <si>
    <t>STHBKK012501000235</t>
  </si>
  <si>
    <t>STHBKK012501000236</t>
  </si>
  <si>
    <t>นาย วิเชษฐ สกุลหอม</t>
  </si>
  <si>
    <t>STHBKK012501000237</t>
  </si>
  <si>
    <t>นาง คำนึง โกส้ม</t>
  </si>
  <si>
    <t>STHBKK012501000238</t>
  </si>
  <si>
    <t>นาง หทัยณัฐ สินธุวรโรจน์</t>
  </si>
  <si>
    <t>STHBKK012501000239</t>
  </si>
  <si>
    <t>นาย วิกรม ทองพูล</t>
  </si>
  <si>
    <t>STHBKK012501000240</t>
  </si>
  <si>
    <t>STHBKK012501000241</t>
  </si>
  <si>
    <t>STHBKK012501000242</t>
  </si>
  <si>
    <t>นาย สิริศักดิ์ นมพุก</t>
  </si>
  <si>
    <t>STHBKK012501000244</t>
  </si>
  <si>
    <t>Mrs. nguon sophea</t>
  </si>
  <si>
    <t>STHBKK012501000245</t>
  </si>
  <si>
    <t>นางสาว ธนพร ฉายอรุณ</t>
  </si>
  <si>
    <t>STHBKK012501000246</t>
  </si>
  <si>
    <t>STHONLIN2501000121</t>
  </si>
  <si>
    <t>STHONLIN2501000123</t>
  </si>
  <si>
    <t>STHONLIN2501000124</t>
  </si>
  <si>
    <t>บริษัท  รินทร์รฐา กรุ๊ป จำกัด(สำนักงานใหญ่)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</si>
  <si>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</si>
  <si>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STHONLIN2501000125</t>
  </si>
  <si>
    <t>STHONLIN2501000126</t>
  </si>
  <si>
    <t>นางสาว ณิชชนันท์  หาญเพียรพงศ์</t>
  </si>
  <si>
    <t>STHONLIN2501000127</t>
  </si>
  <si>
    <t>นาย พิษณุ สุขสำราญ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</si>
  <si>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</si>
  <si>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ETHBKK012501000008</t>
  </si>
  <si>
    <t>ETHBKK012501000009</t>
  </si>
  <si>
    <t>ETHONLIN2501000009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</si>
  <si>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</si>
  <si>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 / นิ้ว</t>
  </si>
  <si>
    <t>วันที่ 12  มกราคม 2568</t>
  </si>
  <si>
    <t>STHBKK012501000248</t>
  </si>
  <si>
    <t>STHBKK012501000249</t>
  </si>
  <si>
    <t>นางสาว ธัญญรัตน์ มานะโพน</t>
  </si>
  <si>
    <t>STHBKK012501000250</t>
  </si>
  <si>
    <t>STHBKK012501000251</t>
  </si>
  <si>
    <t>STHBKK012501000252</t>
  </si>
  <si>
    <t>จันทร์เพ็ญ วิลัยกุล</t>
  </si>
  <si>
    <t>STHBKK012501000253</t>
  </si>
  <si>
    <t>STHBKK012501000254</t>
  </si>
  <si>
    <t>นางสาว กาญจนา บุญเกษม</t>
  </si>
  <si>
    <t>STHBKK012501000255</t>
  </si>
  <si>
    <t>STHBKK012501000256</t>
  </si>
  <si>
    <t>STHBKK012501000257</t>
  </si>
  <si>
    <t>นาย กิจปณัฎฐ์ ศิราเศรณี</t>
  </si>
  <si>
    <t>STHBKK012501000258</t>
  </si>
  <si>
    <t>นางสาว ลำใย  เจริญศิริ</t>
  </si>
  <si>
    <t>STHBKK012501000259</t>
  </si>
  <si>
    <t>STHBKK012501000261</t>
  </si>
  <si>
    <t>Mr. MOSES  DOMINIC  ARCHIBONG</t>
  </si>
  <si>
    <t>STHBKK012501000262</t>
  </si>
  <si>
    <t>นางสาว ภาวิณี พวงมาลัยทอง</t>
  </si>
  <si>
    <t>STHBKK012501000263</t>
  </si>
  <si>
    <t>STHBKK012501000265</t>
  </si>
  <si>
    <t>นางสาว วัชรี    ด้วงนคร</t>
  </si>
  <si>
    <t>STHBKK012501000266</t>
  </si>
  <si>
    <t>นาย บรรเลง บุญยม</t>
  </si>
  <si>
    <t>STHBKK012501000267</t>
  </si>
  <si>
    <t>นาย สามภพ คงเมือง</t>
  </si>
  <si>
    <t>STHBKK012501000269</t>
  </si>
  <si>
    <t>นาง สมถวิล  เพ็ชรมณี</t>
  </si>
  <si>
    <t>STHBKK012501000270</t>
  </si>
  <si>
    <t>STHBKK012501000273</t>
  </si>
  <si>
    <t>STHBKK012501000274</t>
  </si>
  <si>
    <t>STHBKK012501000275</t>
  </si>
  <si>
    <t>นางสาว ประภัสสร  ดีดวงพันธ์</t>
  </si>
  <si>
    <t>STHBKK012501000276</t>
  </si>
  <si>
    <t>STHBKK012501000277</t>
  </si>
  <si>
    <t>STHONLIN2501000135</t>
  </si>
  <si>
    <t>นาย สิปปภาส  โรจนวสุธร</t>
  </si>
  <si>
    <t>STHONLIN2501000138</t>
  </si>
  <si>
    <t>นาง สมหมาย จิรรัตน์พิทักษ์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</si>
  <si>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</si>
  <si>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</si>
  <si>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</si>
  <si>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</t>
  </si>
  <si>
    <t>วันที่ 13  มกราคม 2568</t>
  </si>
  <si>
    <t>STHBKK012501000279</t>
  </si>
  <si>
    <t>STHBKK012501000280</t>
  </si>
  <si>
    <t>นางสาว ภิญญาพัชญ์ เอี่ยมกมล</t>
  </si>
  <si>
    <t>STHBKK012501000281</t>
  </si>
  <si>
    <t>นางสาว วัชรวรรณ  นิลสุ</t>
  </si>
  <si>
    <t>STHBKK012501000282</t>
  </si>
  <si>
    <t>นาง อัมพร  กุลศัตยาภิรมย์</t>
  </si>
  <si>
    <t>STHBKK012501000283</t>
  </si>
  <si>
    <t>STHBKK012501000284</t>
  </si>
  <si>
    <t>STHBKK012501000285</t>
  </si>
  <si>
    <t>นางสาว อมร เรือนเเก้ว</t>
  </si>
  <si>
    <t>STHBKK012501000286</t>
  </si>
  <si>
    <t>นาง สีแพร มังกรแก้ว</t>
  </si>
  <si>
    <t>STHBKK012501000287</t>
  </si>
  <si>
    <t>นาย กฤติเดช ประชานุกูล</t>
  </si>
  <si>
    <t>STHBKK012501000288</t>
  </si>
  <si>
    <t>STHONLIN2501000139</t>
  </si>
  <si>
    <t>STHONLIN2501000143</t>
  </si>
  <si>
    <t>นาย ไชยพงศ์ รุ่งอำพินธ์</t>
  </si>
  <si>
    <t>STHONLIN2501000145</t>
  </si>
  <si>
    <t>STHONLIN2501000147</t>
  </si>
  <si>
    <t>นาง ปวีณา   ปาทา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</si>
  <si>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</si>
  <si>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ARPTHBKK012501000006</t>
  </si>
  <si>
    <t>นาย รจนี จันทายืน</t>
  </si>
  <si>
    <t>bkk-puk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</si>
  <si>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</si>
  <si>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ETHBKK012501000010</t>
  </si>
  <si>
    <t>ETHBKK012501000011</t>
  </si>
  <si>
    <t>Mr. NGUYEN TAN TAI</t>
  </si>
  <si>
    <t xml:space="preserve">ple bkk	</t>
  </si>
  <si>
    <t>ETHBKK012501000012</t>
  </si>
  <si>
    <t>ETHBKK012501000013</t>
  </si>
  <si>
    <t>นางสาว อภัสนันท์ เจริญศิริวิชญกุล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</si>
  <si>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</si>
  <si>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14  มกราคม 2568</t>
  </si>
  <si>
    <t>STHBKK012501000290</t>
  </si>
  <si>
    <t>นางสาว กัญพัชร์  ชูธีรยงพันธ์</t>
  </si>
  <si>
    <t>STHBKK012501000291</t>
  </si>
  <si>
    <t>STHBKK012501000292</t>
  </si>
  <si>
    <t>นาง ปรีชา สีวงกลาง</t>
  </si>
  <si>
    <t>STHBKK012501000293</t>
  </si>
  <si>
    <t>นางสาว นูรมาลา สูเด็น</t>
  </si>
  <si>
    <t>STHBKK012501000294</t>
  </si>
  <si>
    <t>STHBKK012501000295</t>
  </si>
  <si>
    <t>STHBKK012501000296</t>
  </si>
  <si>
    <t>STHBKK012501000297</t>
  </si>
  <si>
    <t>นาย นิตินาฎ หมิ่นขัด</t>
  </si>
  <si>
    <t>STHBKK012501000298</t>
  </si>
  <si>
    <t>Mr. ALADE  OLATUNDE WASIU</t>
  </si>
  <si>
    <t>STHBKK012501000299</t>
  </si>
  <si>
    <t>STHBKK012501000300</t>
  </si>
  <si>
    <t>นางสาว กรรณิการ์ คล้ายแก้ว</t>
  </si>
  <si>
    <t>STHBKK012501000302</t>
  </si>
  <si>
    <t>นาย พิสิฐพงษ์  ยอดจันทร์</t>
  </si>
  <si>
    <t>STHBKK012501000303</t>
  </si>
  <si>
    <t>STHBKK012501000304</t>
  </si>
  <si>
    <t>นาย ปณิธาน ไพรบึง</t>
  </si>
  <si>
    <t>STHBKK012501000306</t>
  </si>
  <si>
    <t>นาย เจริญชัย  นิลทับ</t>
  </si>
  <si>
    <t>STHBKK012501000307</t>
  </si>
  <si>
    <t>STHBKK012501000308</t>
  </si>
  <si>
    <t>นางสาว มาเรียม ยิ้มสาระ</t>
  </si>
  <si>
    <t>STHBKK012501000309</t>
  </si>
  <si>
    <t>STHBKK012501000310</t>
  </si>
  <si>
    <t>STHBKK012501000311</t>
  </si>
  <si>
    <t>นางสาว ภัทรอาภา  ทวีธนาพร</t>
  </si>
  <si>
    <t>STHBKK012501000312</t>
  </si>
  <si>
    <t>STHBKK012501000313</t>
  </si>
  <si>
    <t>STHBKK012501000315</t>
  </si>
  <si>
    <t>นาย เอกคณิต  ซุ้นสุวรรณ</t>
  </si>
  <si>
    <t>STHONLIN2501000148</t>
  </si>
  <si>
    <t>นาง ดุษณี  เจมส์</t>
  </si>
  <si>
    <t>STHONLIN2501000153</t>
  </si>
  <si>
    <t>STHONLIN2501000154</t>
  </si>
  <si>
    <t>นาย พุฒิพัฒน์ รัตนพิริยสกุล</t>
  </si>
  <si>
    <t>STHONLIN2501000156</t>
  </si>
  <si>
    <t>นาง ประไพ สกุลช่วย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</si>
  <si>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</si>
  <si>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STHONLIN2501000155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</si>
  <si>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</si>
  <si>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ETHONLIN2501000010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</si>
  <si>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</si>
  <si>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15  มกราคม 2568</t>
  </si>
  <si>
    <t>STHBKK012501000316</t>
  </si>
  <si>
    <t>STHBKK012501000317</t>
  </si>
  <si>
    <t>สมใจ สุวรรณรัตน์</t>
  </si>
  <si>
    <t>STHBKK012501000318</t>
  </si>
  <si>
    <t>นาง ศศิธร เม่นตะเภา</t>
  </si>
  <si>
    <t>STHBKK012501000319</t>
  </si>
  <si>
    <t>STHBKK012501000320</t>
  </si>
  <si>
    <t>นาง สุพรรษา เชื้อเถาว์</t>
  </si>
  <si>
    <t>STHBKK012501000321</t>
  </si>
  <si>
    <t>STHBKK012501000322</t>
  </si>
  <si>
    <t>นางสาว จิดาภา ทองเบ้า</t>
  </si>
  <si>
    <t>STHBKK012501000323</t>
  </si>
  <si>
    <t>STHBKK012501000324</t>
  </si>
  <si>
    <t>นาย ประวิต หล้าสุดตา</t>
  </si>
  <si>
    <t>STHBKK012501000326</t>
  </si>
  <si>
    <t>นางสาว อภิญญา  เหล่าวอ</t>
  </si>
  <si>
    <t>STHBKK012501000327</t>
  </si>
  <si>
    <t>STHBKK012501000328</t>
  </si>
  <si>
    <t>STHBKK012501000330</t>
  </si>
  <si>
    <t>STHBKK012501000331</t>
  </si>
  <si>
    <t>STHBKK012501000332</t>
  </si>
  <si>
    <t>STHBKK012501000333</t>
  </si>
  <si>
    <t>STHBKK012501000334</t>
  </si>
  <si>
    <t>STHBKK012501000335</t>
  </si>
  <si>
    <t>STHBKK012501000336</t>
  </si>
  <si>
    <t>นางสาว พัชรี สุดสี</t>
  </si>
  <si>
    <t>STHBKK012501000337</t>
  </si>
  <si>
    <t>นางสาว สมพร สุพงศ์พาณิช</t>
  </si>
  <si>
    <t>STHBKK012501000339</t>
  </si>
  <si>
    <t>STHBKK012501000341</t>
  </si>
  <si>
    <t>นางสาว ทิชากร เรืองเชื้อเหมือน</t>
  </si>
  <si>
    <t>STHBKK012501000342</t>
  </si>
  <si>
    <t>STHONLIN2501000163</t>
  </si>
  <si>
    <t>นางสาว ธนพรรษ​ ยี่ภู</t>
  </si>
  <si>
    <t>STHONLIN2501000170</t>
  </si>
  <si>
    <t>นางสาว ดัสนีย์ เจะเลาะ</t>
  </si>
  <si>
    <t>STHONLIN2501000171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</si>
  <si>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</si>
  <si>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STHONLIN2501000167</t>
  </si>
  <si>
    <t>นางสาว เพลิน รายสันเทียะ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</si>
  <si>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</si>
  <si>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ETHBKK012501000014</t>
  </si>
  <si>
    <t>นาง ทองจันทร์ งาสง่า</t>
  </si>
  <si>
    <t>ETHBKK012501000015</t>
  </si>
  <si>
    <t>บริษัท เอ็น.พี มาร์เก็ตติ้ง แบรนด์ จำกัด(สำนักงานใหญ่)</t>
  </si>
  <si>
    <t>ETHBKK012501000016</t>
  </si>
  <si>
    <t>ETHBKK012501000017</t>
  </si>
  <si>
    <t>ETHONLIN2501000011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</si>
  <si>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</si>
  <si>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16  มกราคม 2568</t>
  </si>
  <si>
    <t>STHBKK012501000344</t>
  </si>
  <si>
    <t>Mr. Muhammad  Ibrahim Yankari</t>
  </si>
  <si>
    <t>STHBKK012501000345</t>
  </si>
  <si>
    <t>STHBKK012501000346</t>
  </si>
  <si>
    <t>นาย ธนินท์  ทองกาญขาย</t>
  </si>
  <si>
    <t>STHBKK012501000347</t>
  </si>
  <si>
    <t>STHBKK012501000348</t>
  </si>
  <si>
    <t>STHBKK012501000350</t>
  </si>
  <si>
    <t>นาย วีระ ชูศิลป์</t>
  </si>
  <si>
    <t>STHBKK012501000351</t>
  </si>
  <si>
    <t>นางสาว อรสา  แปะกระโทก</t>
  </si>
  <si>
    <t>STHBKK012501000352</t>
  </si>
  <si>
    <t>STHBKK012501000354</t>
  </si>
  <si>
    <t>STHBKK012501000356</t>
  </si>
  <si>
    <t>นาง ศรีรัตน์ ปัญญา</t>
  </si>
  <si>
    <t>STHBKK012501000357</t>
  </si>
  <si>
    <t>นางสาว พุทธชาติ สร้อยระย้า</t>
  </si>
  <si>
    <t>STHBKK012501000359</t>
  </si>
  <si>
    <t>STHBKK012501000360</t>
  </si>
  <si>
    <t>STHBKK012501000362</t>
  </si>
  <si>
    <t>Mr. Dbdulazeez idris</t>
  </si>
  <si>
    <t>STHBKK012501000363</t>
  </si>
  <si>
    <t>STHBKK012501000364</t>
  </si>
  <si>
    <t>STHBKK012501000365</t>
  </si>
  <si>
    <t>STHBKK012501000367</t>
  </si>
  <si>
    <t>STHONLIN2501000172</t>
  </si>
  <si>
    <t>STHONLIN2501000173</t>
  </si>
  <si>
    <t>STHONLIN2501000174</t>
  </si>
  <si>
    <t>บริษัท แก้วแกมทอง เทรดดิ้ง จำกัด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</si>
  <si>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</si>
  <si>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ETHONLIN2501000014</t>
  </si>
  <si>
    <t>ETHONLIN2501000013</t>
  </si>
  <si>
    <t>ETHONLIN2501000012</t>
  </si>
  <si>
    <t>Mrs. Cynthia Rajet</t>
  </si>
  <si>
    <t>ETHBKK012501000019</t>
  </si>
  <si>
    <t>ETHBKK012501000018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</si>
  <si>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</si>
  <si>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17  มกราคม 2568</t>
  </si>
  <si>
    <t>STHBKK012501000368</t>
  </si>
  <si>
    <t>STHBKK012501000369</t>
  </si>
  <si>
    <t>นาย สุทธิ คำบุญ</t>
  </si>
  <si>
    <t>STHBKK012501000371</t>
  </si>
  <si>
    <t>นางสาว สิริมา บุตรน้ำเพชร</t>
  </si>
  <si>
    <t>STHBKK012501000372</t>
  </si>
  <si>
    <t>นางสาว สุวรรณนีย์ เฮงเกิด</t>
  </si>
  <si>
    <t>STHBKK012501000373</t>
  </si>
  <si>
    <t>STHBKK012501000374</t>
  </si>
  <si>
    <t>นางสาว พิมลพัตร พยัคเวชวิกรณ์</t>
  </si>
  <si>
    <t>STHBKK012501000376</t>
  </si>
  <si>
    <t>STHBKK012501000377</t>
  </si>
  <si>
    <t>STHBKK012501000378</t>
  </si>
  <si>
    <t>นางสาว กาญจนา จันทรมณี</t>
  </si>
  <si>
    <t>STHBKK012501000379</t>
  </si>
  <si>
    <t>STHBKK012501000380</t>
  </si>
  <si>
    <t>นางสาว ชวัลรัตน์ ปัสสาพันธุ์</t>
  </si>
  <si>
    <t>STHONLIN2501000175</t>
  </si>
  <si>
    <t>STHONLIN2501000181</t>
  </si>
  <si>
    <t>นาย สุวชัช  อมตวงษ์</t>
  </si>
  <si>
    <t>STHONLIN2501000185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</si>
  <si>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</si>
  <si>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</si>
  <si>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</si>
  <si>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18  มกราคม 2568</t>
  </si>
  <si>
    <t>STHBKK012501000382</t>
  </si>
  <si>
    <t>นาง รัตนกร ไม้แดง</t>
  </si>
  <si>
    <t>STHBKK012501000383</t>
  </si>
  <si>
    <t>นาย ณัฐพล ไม้แดง</t>
  </si>
  <si>
    <t>STHBKK012501000384</t>
  </si>
  <si>
    <t>นาย จตุรเทพ ไม้แดง</t>
  </si>
  <si>
    <t>STHBKK012501000385</t>
  </si>
  <si>
    <t>นางสาว ดาวธิดา  วงมาเกษ</t>
  </si>
  <si>
    <t>STHBKK012501000386</t>
  </si>
  <si>
    <t>STHBKK012501000387</t>
  </si>
  <si>
    <t>STHBKK012501000388</t>
  </si>
  <si>
    <t>นาย อนุสรณ์ ตั้งสังวรณ์</t>
  </si>
  <si>
    <t>STHBKK012501000389</t>
  </si>
  <si>
    <t>STHBKK012501000390</t>
  </si>
  <si>
    <t>STHBKK012501000391</t>
  </si>
  <si>
    <t>นางสาว สุปรานี เขียวแดง</t>
  </si>
  <si>
    <t>STHBKK012501000392</t>
  </si>
  <si>
    <t>STHBKK012501000393</t>
  </si>
  <si>
    <t>STHBKK012501000394</t>
  </si>
  <si>
    <t>STHBKK012501000395</t>
  </si>
  <si>
    <t>STHBKK012501000397</t>
  </si>
  <si>
    <t>นางสาว วราวรรณ   เรืองรัตน์</t>
  </si>
  <si>
    <t>STHBKK012501000398</t>
  </si>
  <si>
    <t>STHBKK012501000399</t>
  </si>
  <si>
    <t>นางสาว สุดาวรรณ์  จันทร์แดง</t>
  </si>
  <si>
    <t>STHBKK012501000400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</si>
  <si>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</si>
  <si>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ETHONLIN2501000017</t>
  </si>
  <si>
    <t>นางสาว โสภา นายสุข</t>
  </si>
  <si>
    <t>ETHONLIN2501000016</t>
  </si>
  <si>
    <t>ETHONLIN2501000015</t>
  </si>
  <si>
    <t>ETHBKK012501000023</t>
  </si>
  <si>
    <t>นาย ปาณชัย คงกอ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</si>
  <si>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</si>
  <si>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19  มกราคม 2568</t>
  </si>
  <si>
    <t>STHBKK012501000401</t>
  </si>
  <si>
    <t>นาย คณิศร แพงกัลยา</t>
  </si>
  <si>
    <t>STHBKK012501000402</t>
  </si>
  <si>
    <t>STHBKK012501000404</t>
  </si>
  <si>
    <t>STHBKK012501000405</t>
  </si>
  <si>
    <t>STHBKK012501000406</t>
  </si>
  <si>
    <t>STHBKK012501000409</t>
  </si>
  <si>
    <t>STHBKK012501000411</t>
  </si>
  <si>
    <t>STHBKK012501000416</t>
  </si>
  <si>
    <t>นาย ทนงศักดิ์    สบายแท้</t>
  </si>
  <si>
    <t>STHBKK012501000417</t>
  </si>
  <si>
    <t>STHBKK012501000418</t>
  </si>
  <si>
    <t>STHBKK012501000419</t>
  </si>
  <si>
    <t>นาย จามร เล็กสุขศรี</t>
  </si>
  <si>
    <t>STHBKK012501000420</t>
  </si>
  <si>
    <t>STHBKK012501000421</t>
  </si>
  <si>
    <t>STHBKK012501000422</t>
  </si>
  <si>
    <t>STHBKK012501000424</t>
  </si>
  <si>
    <t>STHBKK012501000425</t>
  </si>
  <si>
    <t>นางสาว นิธยา ไกรนรา</t>
  </si>
  <si>
    <t>STHBKK012501000426</t>
  </si>
  <si>
    <t>STHONLIN2501000192</t>
  </si>
  <si>
    <t>STHONLIN2501000195</t>
  </si>
  <si>
    <t>นาย ดิเรก  กรีฑา</t>
  </si>
  <si>
    <t>STHONLIN2501000196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</si>
  <si>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</si>
  <si>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1/19/2025</t>
  </si>
  <si>
    <t>ETHBKK012501000024</t>
  </si>
  <si>
    <t>ห้างหุ้นส่วนจำกัด โกรท โกลเบิล เน็ตเวิร์ค(สำนักงานใหญ่)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</si>
  <si>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</si>
  <si>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20  มกราคม 2568</t>
  </si>
  <si>
    <t>STHBKK012501000427</t>
  </si>
  <si>
    <t>STHBKK012501000429</t>
  </si>
  <si>
    <t>นางสาว ณฤดี กวางสบาย</t>
  </si>
  <si>
    <t>STHBKK012501000430</t>
  </si>
  <si>
    <t>STHBKK012501000431</t>
  </si>
  <si>
    <t>STHBKK012501000432</t>
  </si>
  <si>
    <t>STHBKK012501000433</t>
  </si>
  <si>
    <t>นาง ฐานมญ ชลคีรี</t>
  </si>
  <si>
    <t>STHBKK012501000435</t>
  </si>
  <si>
    <t>นาง คำ ลุงคำ</t>
  </si>
  <si>
    <t>STHBKK012501000436</t>
  </si>
  <si>
    <t>STHBKK012501000437</t>
  </si>
  <si>
    <t>STHBKK012501000438</t>
  </si>
  <si>
    <t>STHBKK012501000439</t>
  </si>
  <si>
    <t>นาย เพชร ภูมี</t>
  </si>
  <si>
    <t>STHBKK012501000440</t>
  </si>
  <si>
    <t>STHBKK012501000441</t>
  </si>
  <si>
    <t>นางสาว ชรินรัตน์  น้อยคำ</t>
  </si>
  <si>
    <t>STHBKK012501000442</t>
  </si>
  <si>
    <t>STHBKK012501000444</t>
  </si>
  <si>
    <t>นางสาว วิสูตร์ ไทยถนอม</t>
  </si>
  <si>
    <t>STHBKK012501000447</t>
  </si>
  <si>
    <t>Mr. Lawan sirajo Ibrahim</t>
  </si>
  <si>
    <t>STHBKK012501000448</t>
  </si>
  <si>
    <t>STHBKK012501000449</t>
  </si>
  <si>
    <t>วาสนา ดิษปัญญา</t>
  </si>
  <si>
    <t>STHBKK012501000450</t>
  </si>
  <si>
    <t>นางสาว กุลนาถ ไตรทัตธนากร</t>
  </si>
  <si>
    <t>STHBKK012501000451</t>
  </si>
  <si>
    <t>บริษัท ดีเวย์ ริชคอร์ป จำกัด(สำนักงานใหญ่)</t>
  </si>
  <si>
    <t>STHBKK012501000452</t>
  </si>
  <si>
    <t>STHBKK012501000454</t>
  </si>
  <si>
    <t>นาย สุรัตน์  สุขเพ็ง</t>
  </si>
  <si>
    <t>STHONLIN2501000200</t>
  </si>
  <si>
    <t>STHONLIN2501000209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</si>
  <si>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</si>
  <si>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</si>
  <si>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</si>
  <si>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21  มกราคม 2568</t>
  </si>
  <si>
    <t>STHBKK012501000455</t>
  </si>
  <si>
    <t>นางสาว พันทิพย์ ตันน้อย</t>
  </si>
  <si>
    <t>STHBKK012501000456</t>
  </si>
  <si>
    <t>STHBKK012501000457</t>
  </si>
  <si>
    <t>นาย สมชาย พิศมัย</t>
  </si>
  <si>
    <t>STHBKK012501000458</t>
  </si>
  <si>
    <t>STHBKK012501000459</t>
  </si>
  <si>
    <t>STHBKK012501000460</t>
  </si>
  <si>
    <t>STHBKK012501000461</t>
  </si>
  <si>
    <t>STHBKK012501000462</t>
  </si>
  <si>
    <t>นาง บุญนาค มีทะโจล</t>
  </si>
  <si>
    <t>STHBKK012501000463</t>
  </si>
  <si>
    <t>นาง วีณา สนทอง</t>
  </si>
  <si>
    <t>STHBKK012501000464</t>
  </si>
  <si>
    <t>นาย ว่าที่ ร.ต.ประสิทธิ์ รูปขำดี</t>
  </si>
  <si>
    <t>STHBKK012501000466</t>
  </si>
  <si>
    <t>STHONLIN2501000234</t>
  </si>
  <si>
    <t>STHONLIN2501000236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</si>
  <si>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</si>
  <si>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22  มกราคม 2568</t>
  </si>
  <si>
    <t>STHBKK012501000467</t>
  </si>
  <si>
    <t>STHBKK012501000468</t>
  </si>
  <si>
    <t>นาง สมพร สกุลฤกษ์</t>
  </si>
  <si>
    <t>STHBKK012501000469</t>
  </si>
  <si>
    <t>STHBKK012501000470</t>
  </si>
  <si>
    <t>STHBKK012501000471</t>
  </si>
  <si>
    <t>นาย วิชัย ตรงใจ</t>
  </si>
  <si>
    <t>STHBKK012501000472</t>
  </si>
  <si>
    <t>นางสาว สุภัค  อินทรชัยศรี</t>
  </si>
  <si>
    <t>STHBKK012501000473</t>
  </si>
  <si>
    <t>STHBKK012501000474</t>
  </si>
  <si>
    <t>STHONLIN2501000248</t>
  </si>
  <si>
    <t>STHONLIN2501000250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</si>
  <si>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</si>
  <si>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ETHBKK012501000026</t>
  </si>
  <si>
    <t>นาง ขนิษฐา นันทะ</t>
  </si>
  <si>
    <t xml:space="preserve">bkk-aoeng	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</si>
  <si>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</si>
  <si>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</t>
  </si>
  <si>
    <t>ตรวจสอบความถูกต้องอีกครั้งนะคะ</t>
  </si>
  <si>
    <t>STHBKK012501000475</t>
  </si>
  <si>
    <t>STHBKK012501000477</t>
  </si>
  <si>
    <t>นาย พิศาล รอดวงศ์</t>
  </si>
  <si>
    <t>STHBKK012501000478</t>
  </si>
  <si>
    <t>STHBKK012501000479</t>
  </si>
  <si>
    <t>STHBKK012501000480</t>
  </si>
  <si>
    <t>STHBKK012501000481</t>
  </si>
  <si>
    <t>STHBKK012501000483</t>
  </si>
  <si>
    <t>นางสาว อัจฉรา   โพธิ์ภิรมย์</t>
  </si>
  <si>
    <t>STHBKK012501000484</t>
  </si>
  <si>
    <t>STHBKK012501000485</t>
  </si>
  <si>
    <t>นาย บรรจง ใจคุ้ม</t>
  </si>
  <si>
    <t>STHBKK012501000486</t>
  </si>
  <si>
    <t>STHBKK012501000487</t>
  </si>
  <si>
    <t>STHBKK012501000488</t>
  </si>
  <si>
    <t>STHBKK012501000489</t>
  </si>
  <si>
    <t>STHBKK012501000490</t>
  </si>
  <si>
    <t>STHBKK012501000491</t>
  </si>
  <si>
    <t>STHBKK012501000492</t>
  </si>
  <si>
    <t>STHBKK012501000493</t>
  </si>
  <si>
    <t>นาย ชนะพงศ์ ผาสุขขันธ์</t>
  </si>
  <si>
    <t>STHBKK012501000494</t>
  </si>
  <si>
    <t>STHBKK012501000497</t>
  </si>
  <si>
    <t>STHBKK012501000498</t>
  </si>
  <si>
    <t>นางสาว ณัฐภัสสร คำยวน</t>
  </si>
  <si>
    <t>STHONLIN2501000255</t>
  </si>
  <si>
    <t>STHONLIN2501000284</t>
  </si>
  <si>
    <t>นางสาว อมรา  บริบูรณ์เวช</t>
  </si>
  <si>
    <t>STHONLIN2501000285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</si>
  <si>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</si>
  <si>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ETHBKK012501000027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</si>
  <si>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</si>
  <si>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</si>
  <si>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24  มกราคม 2568</t>
  </si>
  <si>
    <t>STHBKK012501000499</t>
  </si>
  <si>
    <t>STHBKK012501000500</t>
  </si>
  <si>
    <t>STHBKK012501000501</t>
  </si>
  <si>
    <t>นางสาว วณัฐกมล วิไลลักษณ์</t>
  </si>
  <si>
    <t>STHBKK012501000502</t>
  </si>
  <si>
    <t>STHBKK012501000503</t>
  </si>
  <si>
    <t>STHBKK012501000504</t>
  </si>
  <si>
    <t>ห้างหุ้นส่วน ไดม่อนอันดามัน เน็ตเวิร์ค (สำนักงานใหญ่)</t>
  </si>
  <si>
    <t>STHBKK012501000505</t>
  </si>
  <si>
    <t>STHBKK012501000506</t>
  </si>
  <si>
    <t>STHBKK012501000507</t>
  </si>
  <si>
    <t>STHBKK012501000508</t>
  </si>
  <si>
    <t>STHBKK012501000509</t>
  </si>
  <si>
    <t>นางสาว พรทิพย์ นาสวน</t>
  </si>
  <si>
    <t>STHBKK012501000510</t>
  </si>
  <si>
    <t>ว่าที่ ร.ต.หญิง ภัสสิริฤทัย นิยมการ</t>
  </si>
  <si>
    <t>STHBKK012501000511</t>
  </si>
  <si>
    <t>STHBKK012501000512</t>
  </si>
  <si>
    <t>STHBKK012501000513</t>
  </si>
  <si>
    <t>นาง กาญจนา ท้วมสมบูรณ์</t>
  </si>
  <si>
    <t>STHBKK012501000514</t>
  </si>
  <si>
    <t>STHBKK012501000515</t>
  </si>
  <si>
    <t>STHBKK012501000517</t>
  </si>
  <si>
    <t>STHBKK012501000518</t>
  </si>
  <si>
    <t>STHBKK012501000519</t>
  </si>
  <si>
    <t>STHBKK012501000520</t>
  </si>
  <si>
    <t>มธุรา ชาติสุทธิ์</t>
  </si>
  <si>
    <t>STHBKK012501000521</t>
  </si>
  <si>
    <t>STHONLIN2501000286</t>
  </si>
  <si>
    <t>72839</t>
  </si>
  <si>
    <t>STHONLIN2501000287</t>
  </si>
  <si>
    <t>บริษัท ต.ศรีโสภณ จำกัด (สำนักงานใหญ่)</t>
  </si>
  <si>
    <t>51017</t>
  </si>
  <si>
    <t>STHONLIN2501000298</t>
  </si>
  <si>
    <t>42046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</si>
  <si>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</si>
  <si>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ETHBKK012501000028</t>
  </si>
  <si>
    <t>ETHONLIN2501000020</t>
  </si>
  <si>
    <t>ETHONLIN2501000021</t>
  </si>
  <si>
    <t>เหน่ง</t>
  </si>
  <si>
    <t>เหน่่ง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</si>
  <si>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</si>
  <si>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25  มกราคม 2568</t>
  </si>
  <si>
    <t>STHBKK012501000522</t>
  </si>
  <si>
    <t>STHBKK012501000523</t>
  </si>
  <si>
    <t>นางสาว กนกวรรณ สำรี</t>
  </si>
  <si>
    <t>STHBKK012501000524</t>
  </si>
  <si>
    <t>STHBKK012501000526</t>
  </si>
  <si>
    <t>STHBKK012501000527</t>
  </si>
  <si>
    <t>STHBKK012501000528</t>
  </si>
  <si>
    <t>STHBKK012501000529</t>
  </si>
  <si>
    <t>STHBKK012501000530</t>
  </si>
  <si>
    <t>STHBKK012501000533</t>
  </si>
  <si>
    <t>นางสาว สุธรรมา กุสันเทียะ</t>
  </si>
  <si>
    <t>STHBKK012501000534</t>
  </si>
  <si>
    <t>STHBKK012501000536</t>
  </si>
  <si>
    <t>นางสาว อนงค์รัตน์ พงษ์สิทธิ์ศักดิ์</t>
  </si>
  <si>
    <t>STHBKK012501000537</t>
  </si>
  <si>
    <t>Mr. MUSA UMAR</t>
  </si>
  <si>
    <t>STHBKK012501000538</t>
  </si>
  <si>
    <t>STHBKK012501000539</t>
  </si>
  <si>
    <t>STHBKK012501000541</t>
  </si>
  <si>
    <t>STHBKK012501000542</t>
  </si>
  <si>
    <t>นางสาว จำเรียง อินทปัตย์</t>
  </si>
  <si>
    <t>STHBKK012501000543</t>
  </si>
  <si>
    <t>นางสาว พรพรรณ แก้วเพชร</t>
  </si>
  <si>
    <t>STHBKK012501000544</t>
  </si>
  <si>
    <t>นาย สมนึก สร้อยฟ้า</t>
  </si>
  <si>
    <t>STHBKK012501000545</t>
  </si>
  <si>
    <t>นางสาว รวิยา รัตนดิลก ณ ภูเก็ต</t>
  </si>
  <si>
    <t>STHBKK012501000546</t>
  </si>
  <si>
    <t>นางสาว ภัทร์ปรียา โชคชัย</t>
  </si>
  <si>
    <t>STHBKK012501000547</t>
  </si>
  <si>
    <t>STHBKK012501000548</t>
  </si>
  <si>
    <t>STHBKK012501000549</t>
  </si>
  <si>
    <t>นาง นิตยา ศรีวรมย์</t>
  </si>
  <si>
    <t>STHBKK012501000550</t>
  </si>
  <si>
    <t>นางสาว นภาไพลิน  กาละวันต์</t>
  </si>
  <si>
    <t>STHONLIN2501000308</t>
  </si>
  <si>
    <t>นางสาว จารุวรรณ ฟอกสันเที๊ยะ</t>
  </si>
  <si>
    <t>STHONLIN2501000312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</si>
  <si>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</si>
  <si>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ETHBKK012501000029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</si>
  <si>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</si>
  <si>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26  มกราคม 2568</t>
  </si>
  <si>
    <t>STHBKK012501000551</t>
  </si>
  <si>
    <t>นางสาว อภิญญา  ตะลุ่มพุก</t>
  </si>
  <si>
    <t>STHBKK012501000553</t>
  </si>
  <si>
    <t>นาย เลิศชัย  แม้นพยัคฆ์</t>
  </si>
  <si>
    <t>STHBKK012501000555</t>
  </si>
  <si>
    <t>นางสาว อรัญญา คำดี</t>
  </si>
  <si>
    <t>STHBKK012501000556</t>
  </si>
  <si>
    <t>STHBKK012501000557</t>
  </si>
  <si>
    <t>STHBKK012501000558</t>
  </si>
  <si>
    <t>STHBKK012501000559</t>
  </si>
  <si>
    <t>STHBKK012501000560</t>
  </si>
  <si>
    <t>สุรชาติ นพนิธิพัฒน์</t>
  </si>
  <si>
    <t>STHBKK012501000562</t>
  </si>
  <si>
    <t>STHBKK012501000563</t>
  </si>
  <si>
    <t>นางสาว กัลยรัตน์ ฤทธิ์น้อย</t>
  </si>
  <si>
    <t>STHBKK012501000564</t>
  </si>
  <si>
    <t>นางสาว กำไร รุ่งกิจกุลภัค</t>
  </si>
  <si>
    <t>STHBKK012501000565</t>
  </si>
  <si>
    <t>STHBKK012501000566</t>
  </si>
  <si>
    <t>STHBKK012501000567</t>
  </si>
  <si>
    <t>STHBKK012501000568</t>
  </si>
  <si>
    <t>STHBKK012501000569</t>
  </si>
  <si>
    <t>นาย ธีรศักดิ์ สุขาบูลย์</t>
  </si>
  <si>
    <t>STHONLIN2501000319</t>
  </si>
  <si>
    <t>STHONLIN2501000330</t>
  </si>
  <si>
    <t>นางสาว ภัทราพร  ชิณพันธ์</t>
  </si>
  <si>
    <t>STHONLIN2501000349</t>
  </si>
  <si>
    <t>นาย นิวัติ    สมณี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</si>
  <si>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</si>
  <si>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</si>
  <si>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27 มกราคม 2568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</si>
  <si>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</si>
  <si>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STHBKK012501000570</t>
  </si>
  <si>
    <t>STHBKK012501000571</t>
  </si>
  <si>
    <t xml:space="preserve">       </t>
  </si>
  <si>
    <t>STHBKK012501000572</t>
  </si>
  <si>
    <t>STHBKK012501000573</t>
  </si>
  <si>
    <t>ธนวรรธน์ สุขจิตร</t>
  </si>
  <si>
    <t>STHBKK012501000574</t>
  </si>
  <si>
    <t>STHBKK012501000576</t>
  </si>
  <si>
    <t>STHBKK012501000578</t>
  </si>
  <si>
    <t>STHBKK012501000580</t>
  </si>
  <si>
    <t>นาย สมร  พานทอง</t>
  </si>
  <si>
    <t>STHBKK012501000581</t>
  </si>
  <si>
    <t>STHBKK012501000582</t>
  </si>
  <si>
    <t>STHBKK012501000583</t>
  </si>
  <si>
    <t>STHBKK012501000584</t>
  </si>
  <si>
    <t>นาย มงคล บุญจันทร์</t>
  </si>
  <si>
    <t>STHBKK012501000585</t>
  </si>
  <si>
    <t>นาย เทียนชัย ด่านก่อโพธิ์</t>
  </si>
  <si>
    <t>STHBKK012501000586</t>
  </si>
  <si>
    <t>STHBKK012501000587</t>
  </si>
  <si>
    <t>นาง กานต์ดาวศี แสงกุล</t>
  </si>
  <si>
    <t>STHBKK012501000588</t>
  </si>
  <si>
    <t>นาย วิชัย แซ่ยั้ง</t>
  </si>
  <si>
    <t>STHBKK012501000589</t>
  </si>
  <si>
    <t>STHBKK012501000590</t>
  </si>
  <si>
    <t>STHBKK012501000591</t>
  </si>
  <si>
    <t>นางสาว มัฐยา ลาศา</t>
  </si>
  <si>
    <t>STHBKK012501000592</t>
  </si>
  <si>
    <t>นางสาว บังอร  วินิจสอน</t>
  </si>
  <si>
    <t>STHBKK012501000593</t>
  </si>
  <si>
    <t>นาง ลำพึง เวชการ</t>
  </si>
  <si>
    <t>STHBKK012501000594</t>
  </si>
  <si>
    <t>STHBKK012501000595</t>
  </si>
  <si>
    <t>นาย บุญสม อุดมรักษ์</t>
  </si>
  <si>
    <t>STHBKK012501000597</t>
  </si>
  <si>
    <t>STHBKK012501000599</t>
  </si>
  <si>
    <t>STHBKK012501000600</t>
  </si>
  <si>
    <t>STHBKK012501000602</t>
  </si>
  <si>
    <t>Mr. Adamu Muhammad</t>
  </si>
  <si>
    <t>STHONLIN2501000355</t>
  </si>
  <si>
    <t>นางสาว ฤทัยทิพย์ นาโพธิ์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</si>
  <si>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</si>
  <si>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28 มกราคม 2568</t>
  </si>
  <si>
    <t>STHBKK012501000603</t>
  </si>
  <si>
    <t>STHBKK012501000605</t>
  </si>
  <si>
    <t>STHBKK012501000606</t>
  </si>
  <si>
    <t>นางสาว นงพงา ตั้งฤทัยเยี่ยม</t>
  </si>
  <si>
    <t>STHBKK012501000608</t>
  </si>
  <si>
    <t>STHBKK012501000609</t>
  </si>
  <si>
    <t>นาง ศรีประภา  มณีวงษ์</t>
  </si>
  <si>
    <t>STHBKK012501000610</t>
  </si>
  <si>
    <t>นาย รุ่งมงคล พวงจำปา</t>
  </si>
  <si>
    <t>STHBKK012501000611</t>
  </si>
  <si>
    <t>STHBKK012501000612</t>
  </si>
  <si>
    <t>STHBKK012501000613</t>
  </si>
  <si>
    <t>นาย พิชัย  อาษาสุข</t>
  </si>
  <si>
    <t>STHBKK012501000614</t>
  </si>
  <si>
    <t>STHBKK012501000616</t>
  </si>
  <si>
    <t>STHBKK012501000617</t>
  </si>
  <si>
    <t>นาย วิสุทธิ์ จันทร์ประเสริฐ</t>
  </si>
  <si>
    <t>STHBKK012501000618</t>
  </si>
  <si>
    <t>STHBKK012501000619</t>
  </si>
  <si>
    <t>STHBKK012501000620</t>
  </si>
  <si>
    <t>STHBKK012501000621</t>
  </si>
  <si>
    <t>นาย พล ศรีลาชัย</t>
  </si>
  <si>
    <t>STHBKK012501000623</t>
  </si>
  <si>
    <t>STHBKK012501000624</t>
  </si>
  <si>
    <t>STHBKK012501000625</t>
  </si>
  <si>
    <t>นางสาว นภัทร อินทราพงษ์</t>
  </si>
  <si>
    <t>STHBKK012501000627</t>
  </si>
  <si>
    <t>นางสาว อุไรวรรณ   ดีคำ</t>
  </si>
  <si>
    <t>STHBKK012501000628</t>
  </si>
  <si>
    <t>STHBKK012501000629</t>
  </si>
  <si>
    <t>น้ำฝน ไกรกมล</t>
  </si>
  <si>
    <t>STHONLIN2501000375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</si>
  <si>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</si>
  <si>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29 มกราคม 2568</t>
  </si>
  <si>
    <t>STHBKK012501000631</t>
  </si>
  <si>
    <t>STHBKK012501000632</t>
  </si>
  <si>
    <t>ลัดดา เจริญโชติทรัพย์</t>
  </si>
  <si>
    <t>STHBKK012501000633</t>
  </si>
  <si>
    <t>STHBKK012501000634</t>
  </si>
  <si>
    <t>นาย พิชัย โชติเชื้อวงค์</t>
  </si>
  <si>
    <t>STHBKK012501000635</t>
  </si>
  <si>
    <t>STHBKK012501000636</t>
  </si>
  <si>
    <t>นาง ภัชษนัญฑ์ ชิเดนทรีย์</t>
  </si>
  <si>
    <t>STHBKK012501000637</t>
  </si>
  <si>
    <t>นาย จิรวัฒน์ ทิววัฒน์ปกรณ์</t>
  </si>
  <si>
    <t>STHBKK012501000638</t>
  </si>
  <si>
    <t>STHBKK012501000639</t>
  </si>
  <si>
    <t>STHBKK012501000640</t>
  </si>
  <si>
    <t>นาย วัชรวุทธิ์ หิรัญกิจอนันต์</t>
  </si>
  <si>
    <t>STHBKK012501000641</t>
  </si>
  <si>
    <t>STHBKK012501000643</t>
  </si>
  <si>
    <t>นาง สมปอง ทาหาญ</t>
  </si>
  <si>
    <t>STHBKK012501000644</t>
  </si>
  <si>
    <t>STHBKK012501000645</t>
  </si>
  <si>
    <t>STHBKK012501000646</t>
  </si>
  <si>
    <t>นาย เธียรวิชญ์ สิรินรภักดีกุล</t>
  </si>
  <si>
    <t>STHBKK012501000647</t>
  </si>
  <si>
    <t>นาย วิโรจน์ อังคเสถียร</t>
  </si>
  <si>
    <t>STHBKK012501000648</t>
  </si>
  <si>
    <t>STHBKK012501000649</t>
  </si>
  <si>
    <t>นางสาว ฐิติรัตน์ พัชรวรพันธุ์</t>
  </si>
  <si>
    <t>STHBKK012501000650</t>
  </si>
  <si>
    <t>นางสาว วาชินี  อังคเสถียร</t>
  </si>
  <si>
    <t>STHBKK012501000651</t>
  </si>
  <si>
    <t>บริษัท เอ็น.เค.ทรัพย์โซเชียล จำกัด(สำนักงานใหญ)</t>
  </si>
  <si>
    <t>STHBKK012501000652</t>
  </si>
  <si>
    <t>นางสาว รวีวรรณ  เชื้อต่าย</t>
  </si>
  <si>
    <t>STHONLIN2501000397</t>
  </si>
  <si>
    <t>STHONLIN2501000398</t>
  </si>
  <si>
    <t>STHONLIN2501000399</t>
  </si>
  <si>
    <t>STHONLIN2501000400</t>
  </si>
  <si>
    <t>บริษัท เค24 โกลบอล จำกัด (สำนักงานใหญ่)</t>
  </si>
  <si>
    <t>STHONLIN2501000402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</si>
  <si>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</si>
  <si>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ETHBKK012501000030</t>
  </si>
  <si>
    <t>นางสาว อภัสนันท์    เจริญศิริวิชญกุล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</si>
  <si>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</si>
  <si>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30 มกราคม 2568</t>
  </si>
  <si>
    <t>STHBKK012501000653</t>
  </si>
  <si>
    <t>Mr. SUNDAY OLUFEMI</t>
  </si>
  <si>
    <t>STHBKK012501000654</t>
  </si>
  <si>
    <t>STHBKK012501000655</t>
  </si>
  <si>
    <t>STHBKK012501000656</t>
  </si>
  <si>
    <t>STHBKK012501000658</t>
  </si>
  <si>
    <t>STHBKK012501000659</t>
  </si>
  <si>
    <t>นาย ประสิทธิ์ พันธุ์วโรบล</t>
  </si>
  <si>
    <t>STHBKK012501000660</t>
  </si>
  <si>
    <t>STHBKK012501000661</t>
  </si>
  <si>
    <t>STHBKK012501000662</t>
  </si>
  <si>
    <t>STHBKK012501000664</t>
  </si>
  <si>
    <t>STHBKK012501000665</t>
  </si>
  <si>
    <t>STHBKK012501000666</t>
  </si>
  <si>
    <t>STHBKK012501000667</t>
  </si>
  <si>
    <t>STHBKK012501000669</t>
  </si>
  <si>
    <t>STHBKK012501000670</t>
  </si>
  <si>
    <t>STHONLIN2501000427</t>
  </si>
  <si>
    <t>นางสาว รวีวรรณ จินต์สวัสดิ์</t>
  </si>
  <si>
    <t>STHONLIN2501000428</t>
  </si>
  <si>
    <t>STHONLIN2501000429</t>
  </si>
  <si>
    <t>นาย ดำรงค์ ปฏิสังข์</t>
  </si>
  <si>
    <t>STHONLIN2501000430</t>
  </si>
  <si>
    <t>นางสาว ศิริลักษณ์ อุดมเกษมทรัพย์</t>
  </si>
  <si>
    <t>STHONLIN2501000431</t>
  </si>
  <si>
    <t>นาย เสฎฐวุฒิ พนาอภิชน</t>
  </si>
  <si>
    <t>STHONLIN2501000432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</si>
  <si>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</si>
  <si>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ETHONLIN2501000022</t>
  </si>
  <si>
    <t>ETHBKK012501000031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</si>
  <si>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</si>
  <si>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วันที่ 31 มกราคม 2568</t>
  </si>
  <si>
    <t>STHBKK012501000673</t>
  </si>
  <si>
    <t>นางสาว มุกดา พวงสง่า</t>
  </si>
  <si>
    <t>STHBKK012501000674</t>
  </si>
  <si>
    <t>STHBKK012501000675</t>
  </si>
  <si>
    <t>STHBKK012501000676</t>
  </si>
  <si>
    <t>STHBKK012501000677</t>
  </si>
  <si>
    <t>STHBKK012501000678</t>
  </si>
  <si>
    <t>STHBKK012501000679</t>
  </si>
  <si>
    <t>นาง ประไพ  คงเหมือน</t>
  </si>
  <si>
    <t>STHBKK012501000681</t>
  </si>
  <si>
    <t>STHBKK012501000682</t>
  </si>
  <si>
    <t>นางสาว มณฑา ตรีถิรโชติ</t>
  </si>
  <si>
    <t>STHBKK012501000683</t>
  </si>
  <si>
    <t>STHBKK012501000684</t>
  </si>
  <si>
    <t>นาย ฐนพัฒน์ เฉลยกลิ่น</t>
  </si>
  <si>
    <t>STHBKK012501000685</t>
  </si>
  <si>
    <t>นาย ดาวรุ่ง เพ็งอำไพ</t>
  </si>
  <si>
    <t>STHBKK012501000686</t>
  </si>
  <si>
    <t>STHBKK012501000687</t>
  </si>
  <si>
    <t>STHBKK012501000688</t>
  </si>
  <si>
    <t>นาย ฑีปังกร  รักษาพงศ์</t>
  </si>
  <si>
    <t>STHBKK012501000689</t>
  </si>
  <si>
    <t>นาย นรชัย ไชยสังข์</t>
  </si>
  <si>
    <t>STHBKK012501000690</t>
  </si>
  <si>
    <t>STHBKK012501000691</t>
  </si>
  <si>
    <t>STHBKK012501000692</t>
  </si>
  <si>
    <t>นางสาว พันธุ์ทิพา แดงดีมาก</t>
  </si>
  <si>
    <t>STHBKK012501000693</t>
  </si>
  <si>
    <t>STHBKK012501000694</t>
  </si>
  <si>
    <t>นางสาว ภกุชา  อติพรวณิชย์</t>
  </si>
  <si>
    <t>STHBKK012501000695</t>
  </si>
  <si>
    <t>STHBKK012501000696</t>
  </si>
  <si>
    <t>STHBKK012501000697</t>
  </si>
  <si>
    <t>STHBKK012501000698</t>
  </si>
  <si>
    <t>STHONLIN2501000441</t>
  </si>
  <si>
    <t>นางสาว พัชรมณฑ์ พรมทา</t>
  </si>
  <si>
    <t>STHONLIN2501000446</t>
  </si>
  <si>
    <t>STHONLIN2501000448</t>
  </si>
  <si>
    <t>STHONLIN2501000450</t>
  </si>
  <si>
    <t>นาย ณัฐสิทธิ์  ไชยคำ</t>
  </si>
  <si>
    <t>STHONLIN2501000457</t>
  </si>
  <si>
    <t>นาง ชนากานต์ ฉลาดล้น</t>
  </si>
  <si>
    <t>STHONLIN2501000459</t>
  </si>
  <si>
    <t>STHONLIN2501000460</t>
  </si>
  <si>
    <t>นาง เกษศิรินทร์ สุรศร</t>
  </si>
  <si>
    <t>STHONLIN2501000461</t>
  </si>
  <si>
    <t>STHONLIN2501000485</t>
  </si>
  <si>
    <t>นาย อาภาพัชร์ พูลวัสดิ์</t>
  </si>
  <si>
    <t>STHONLIN2501000487</t>
  </si>
  <si>
    <t>นางสาว กัญญารัตน์ สงวนภักตร์</t>
  </si>
  <si>
    <t>STHONLIN2501000488</t>
  </si>
  <si>
    <t>STHONLIN2501000489</t>
  </si>
  <si>
    <t>STHONLIN2501000490</t>
  </si>
  <si>
    <t>นาง สมศรี อนันตสุข</t>
  </si>
  <si>
    <t>STHONLIN2501000505</t>
  </si>
  <si>
    <t>STHONLIN2501000506</t>
  </si>
  <si>
    <t>นาง ปัฐมพร  เลขาตะกูล</t>
  </si>
  <si>
    <t>STHONLIN2501000507</t>
  </si>
  <si>
    <t>STHONLIN2501000509</t>
  </si>
  <si>
    <t>นาย อดุลย์ คุณสุข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</si>
  <si>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</si>
  <si>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ETHBKK012501000032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</si>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</sst>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9">
    <font>
      <sz val="10.0"/>
      <color rgb="FF000000"/>
      <name val="Arial"/>
      <scheme val="minor"/>
    </font>
    <font>
      <b/>
      <sz val="30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1.0"/>
      <color theme="0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b/>
      <sz val="35.0"/>
      <color theme="1"/>
      <name val="Arial"/>
    </font>
    <font>
      <b/>
      <sz val="21.0"/>
      <color rgb="FFFF0000"/>
      <name val="Arial"/>
    </font>
    <font>
      <b/>
      <sz val="48.0"/>
      <color rgb="FF000000"/>
      <name val="Arial"/>
    </font>
    <font>
      <b/>
      <sz val="33.0"/>
      <color rgb="FF000000"/>
      <name val="Arial"/>
    </font>
    <font>
      <sz val="21.0"/>
      <color rgb="FFFF0000"/>
      <name val="Arial"/>
    </font>
    <font>
      <b/>
      <sz val="30.0"/>
      <color rgb="FF000000"/>
      <name val="Arial"/>
    </font>
    <font>
      <b/>
      <sz val="22.0"/>
      <color rgb="FFFF0000"/>
      <name val="Arial"/>
    </font>
    <font>
      <sz val="17.0"/>
      <color rgb="FF000000"/>
      <name val="Times New Roman"/>
    </font>
    <font>
      <sz val="16.0"/>
      <color rgb="FF000000"/>
      <name val="Times New Roman"/>
    </font>
    <font>
      <sz val="18.0"/>
      <color rgb="FF000000"/>
      <name val="Arial"/>
    </font>
    <font>
      <sz val="23.0"/>
      <color rgb="FF000000"/>
      <name val="Times New Roman"/>
    </font>
    <font>
      <b/>
      <sz val="16.0"/>
      <color rgb="FF000000"/>
      <name val="Times New Roman"/>
    </font>
    <font>
      <b/>
      <sz val="20.0"/>
      <color rgb="FF000000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4" fontId="4" numFmtId="165" xfId="0" applyAlignment="1" applyBorder="1" applyFont="1" applyNumberFormat="1">
      <alignment horizontal="center" vertical="bottom"/>
    </xf>
    <xf borderId="7" fillId="4" fontId="4" numFmtId="4" xfId="0" applyAlignment="1" applyBorder="1" applyFont="1" applyNumberFormat="1">
      <alignment horizontal="left" vertical="bottom"/>
    </xf>
    <xf borderId="7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vertical="bottom"/>
    </xf>
    <xf borderId="7" fillId="4" fontId="6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4" fontId="4" numFmtId="38" xfId="0" applyAlignment="1" applyBorder="1" applyFont="1" applyNumberFormat="1">
      <alignment horizontal="center" vertical="bottom"/>
    </xf>
    <xf borderId="7" fillId="4" fontId="5" numFmtId="38" xfId="0" applyAlignment="1" applyBorder="1" applyFont="1" applyNumberFormat="1">
      <alignment horizontal="center" vertical="bottom"/>
    </xf>
    <xf borderId="9" fillId="4" fontId="4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7" fillId="4" fontId="4" numFmtId="166" xfId="0" applyAlignment="1" applyBorder="1" applyFont="1" applyNumberFormat="1">
      <alignment horizontal="center" vertical="bottom"/>
    </xf>
    <xf borderId="9" fillId="4" fontId="8" numFmtId="38" xfId="0" applyAlignment="1" applyBorder="1" applyFont="1" applyNumberFormat="1">
      <alignment horizontal="center" vertical="center"/>
    </xf>
    <xf borderId="7" fillId="4" fontId="9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10" numFmtId="166" xfId="0" applyAlignment="1" applyBorder="1" applyFont="1" applyNumberFormat="1">
      <alignment horizontal="center" vertical="bottom"/>
    </xf>
    <xf borderId="7" fillId="4" fontId="10" numFmtId="4" xfId="0" applyAlignment="1" applyBorder="1" applyFont="1" applyNumberFormat="1">
      <alignment horizontal="left" vertical="bottom"/>
    </xf>
    <xf borderId="7" fillId="4" fontId="10" numFmtId="0" xfId="0" applyAlignment="1" applyBorder="1" applyFont="1">
      <alignment horizontal="center" vertical="bottom"/>
    </xf>
    <xf borderId="7" fillId="4" fontId="10" numFmtId="0" xfId="0" applyAlignment="1" applyBorder="1" applyFont="1">
      <alignment vertical="bottom"/>
    </xf>
    <xf borderId="7" fillId="4" fontId="11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horizontal="center" vertical="bottom"/>
    </xf>
    <xf borderId="0" fillId="4" fontId="12" numFmtId="0" xfId="0" applyAlignment="1" applyFont="1">
      <alignment vertical="bottom"/>
    </xf>
    <xf borderId="7" fillId="0" fontId="4" numFmtId="166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5" fontId="4" numFmtId="167" xfId="0" applyAlignment="1" applyBorder="1" applyFill="1" applyFont="1" applyNumberFormat="1">
      <alignment horizontal="center"/>
    </xf>
    <xf borderId="7" fillId="5" fontId="3" numFmtId="0" xfId="0" applyAlignment="1" applyBorder="1" applyFont="1">
      <alignment vertical="bottom"/>
    </xf>
    <xf borderId="9" fillId="0" fontId="4" numFmtId="38" xfId="0" applyAlignment="1" applyBorder="1" applyFont="1" applyNumberFormat="1">
      <alignment horizontal="center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left" vertical="bottom"/>
    </xf>
    <xf borderId="0" fillId="6" fontId="13" numFmtId="167" xfId="0" applyAlignment="1" applyFont="1" applyNumberFormat="1">
      <alignment horizontal="center" vertical="center"/>
    </xf>
    <xf borderId="0" fillId="6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7" fontId="4" numFmtId="0" xfId="0" applyAlignment="1" applyFill="1" applyFont="1">
      <alignment horizontal="right" vertical="bottom"/>
    </xf>
    <xf borderId="0" fillId="7" fontId="15" numFmtId="0" xfId="0" applyAlignment="1" applyFont="1">
      <alignment horizontal="center" vertical="bottom"/>
    </xf>
    <xf borderId="0" fillId="8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8" fontId="15" numFmtId="0" xfId="0" applyAlignment="1" applyFont="1">
      <alignment horizontal="center" vertical="bottom"/>
    </xf>
    <xf borderId="1" fillId="2" fontId="16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vertical="center"/>
    </xf>
    <xf borderId="8" fillId="9" fontId="4" numFmtId="0" xfId="0" applyAlignment="1" applyBorder="1" applyFill="1" applyFont="1">
      <alignment horizontal="center" vertical="center"/>
    </xf>
    <xf borderId="7" fillId="9" fontId="4" numFmtId="166" xfId="0" applyAlignment="1" applyBorder="1" applyFont="1" applyNumberFormat="1">
      <alignment horizontal="center" vertical="center"/>
    </xf>
    <xf borderId="7" fillId="9" fontId="4" numFmtId="4" xfId="0" applyAlignment="1" applyBorder="1" applyFont="1" applyNumberFormat="1">
      <alignment horizontal="left" vertical="center"/>
    </xf>
    <xf borderId="7" fillId="9" fontId="4" numFmtId="0" xfId="0" applyAlignment="1" applyBorder="1" applyFont="1">
      <alignment horizontal="center" vertical="center"/>
    </xf>
    <xf borderId="7" fillId="9" fontId="4" numFmtId="0" xfId="0" applyAlignment="1" applyBorder="1" applyFont="1">
      <alignment vertical="center"/>
    </xf>
    <xf borderId="7" fillId="9" fontId="4" numFmtId="167" xfId="0" applyAlignment="1" applyBorder="1" applyFont="1" applyNumberFormat="1">
      <alignment horizontal="center" vertical="center"/>
    </xf>
    <xf borderId="7" fillId="9" fontId="3" numFmtId="0" xfId="0" applyAlignment="1" applyBorder="1" applyFont="1">
      <alignment vertical="center"/>
    </xf>
    <xf borderId="9" fillId="9" fontId="4" numFmtId="38" xfId="0" applyAlignment="1" applyBorder="1" applyFont="1" applyNumberFormat="1">
      <alignment horizontal="center" vertical="center"/>
    </xf>
    <xf borderId="0" fillId="4" fontId="3" numFmtId="0" xfId="0" applyAlignment="1" applyFont="1">
      <alignment vertical="center"/>
    </xf>
    <xf borderId="1" fillId="6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2" fillId="6" fontId="3" numFmtId="0" xfId="0" applyAlignment="1" applyBorder="1" applyFont="1">
      <alignment horizontal="left" vertical="bottom"/>
    </xf>
    <xf borderId="2" fillId="6" fontId="13" numFmtId="167" xfId="0" applyAlignment="1" applyBorder="1" applyFont="1" applyNumberFormat="1">
      <alignment horizontal="center" vertical="center"/>
    </xf>
    <xf borderId="2" fillId="6" fontId="3" numFmtId="167" xfId="0" applyBorder="1" applyFont="1" applyNumberFormat="1"/>
    <xf borderId="3" fillId="6" fontId="3" numFmtId="0" xfId="0" applyAlignment="1" applyBorder="1" applyFont="1">
      <alignment vertical="bottom"/>
    </xf>
    <xf borderId="0" fillId="4" fontId="3" numFmtId="0" xfId="0" applyAlignment="1" applyFont="1">
      <alignment horizontal="left" vertical="bottom"/>
    </xf>
    <xf borderId="1" fillId="10" fontId="1" numFmtId="164" xfId="0" applyAlignment="1" applyBorder="1" applyFill="1" applyFont="1" applyNumberFormat="1">
      <alignment horizontal="center" vertical="center"/>
    </xf>
    <xf borderId="4" fillId="8" fontId="4" numFmtId="0" xfId="0" applyAlignment="1" applyBorder="1" applyFont="1">
      <alignment horizontal="center" vertical="bottom"/>
    </xf>
    <xf borderId="5" fillId="8" fontId="4" numFmtId="0" xfId="0" applyAlignment="1" applyBorder="1" applyFont="1">
      <alignment horizontal="center" vertical="bottom"/>
    </xf>
    <xf borderId="6" fillId="8" fontId="4" numFmtId="0" xfId="0" applyAlignment="1" applyBorder="1" applyFont="1">
      <alignment horizontal="center" vertical="bottom"/>
    </xf>
    <xf borderId="5" fillId="8" fontId="5" numFmtId="0" xfId="0" applyAlignment="1" applyBorder="1" applyFont="1">
      <alignment horizontal="center" vertical="bottom"/>
    </xf>
    <xf borderId="7" fillId="8" fontId="3" numFmtId="0" xfId="0" applyAlignment="1" applyBorder="1" applyFont="1">
      <alignment vertical="bottom"/>
    </xf>
    <xf borderId="5" fillId="8" fontId="4" numFmtId="0" xfId="0" applyAlignment="1" applyBorder="1" applyFont="1">
      <alignment horizontal="center" shrinkToFit="0" vertical="bottom" wrapText="1"/>
    </xf>
    <xf borderId="7" fillId="8" fontId="4" numFmtId="0" xfId="0" applyAlignment="1" applyBorder="1" applyFont="1">
      <alignment horizontal="center" vertical="bottom"/>
    </xf>
    <xf borderId="7" fillId="4" fontId="7" numFmtId="38" xfId="0" applyAlignment="1" applyBorder="1" applyFont="1" applyNumberFormat="1">
      <alignment horizontal="center" vertical="bottom"/>
    </xf>
    <xf borderId="8" fillId="7" fontId="17" numFmtId="0" xfId="0" applyAlignment="1" applyBorder="1" applyFont="1">
      <alignment horizontal="center" vertical="center"/>
    </xf>
    <xf borderId="7" fillId="7" fontId="17" numFmtId="166" xfId="0" applyAlignment="1" applyBorder="1" applyFont="1" applyNumberFormat="1">
      <alignment horizontal="center" vertical="center"/>
    </xf>
    <xf borderId="7" fillId="7" fontId="17" numFmtId="4" xfId="0" applyAlignment="1" applyBorder="1" applyFont="1" applyNumberFormat="1">
      <alignment horizontal="left" vertical="center"/>
    </xf>
    <xf borderId="7" fillId="7" fontId="17" numFmtId="0" xfId="0" applyAlignment="1" applyBorder="1" applyFont="1">
      <alignment horizontal="center" vertical="center"/>
    </xf>
    <xf borderId="7" fillId="7" fontId="17" numFmtId="0" xfId="0" applyAlignment="1" applyBorder="1" applyFont="1">
      <alignment vertical="center"/>
    </xf>
    <xf borderId="7" fillId="7" fontId="17" numFmtId="167" xfId="0" applyAlignment="1" applyBorder="1" applyFont="1" applyNumberFormat="1">
      <alignment horizontal="center" vertical="center"/>
    </xf>
    <xf borderId="9" fillId="7" fontId="17" numFmtId="38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1" fillId="10" fontId="3" numFmtId="0" xfId="0" applyAlignment="1" applyBorder="1" applyFont="1">
      <alignment vertical="bottom"/>
    </xf>
    <xf borderId="2" fillId="10" fontId="3" numFmtId="0" xfId="0" applyAlignment="1" applyBorder="1" applyFont="1">
      <alignment vertical="bottom"/>
    </xf>
    <xf borderId="2" fillId="10" fontId="3" numFmtId="0" xfId="0" applyAlignment="1" applyBorder="1" applyFont="1">
      <alignment horizontal="left" vertical="bottom"/>
    </xf>
    <xf borderId="2" fillId="10" fontId="13" numFmtId="167" xfId="0" applyAlignment="1" applyBorder="1" applyFont="1" applyNumberFormat="1">
      <alignment horizontal="center" vertical="center"/>
    </xf>
    <xf borderId="2" fillId="10" fontId="3" numFmtId="167" xfId="0" applyBorder="1" applyFont="1" applyNumberFormat="1"/>
    <xf borderId="3" fillId="10" fontId="3" numFmtId="0" xfId="0" applyAlignment="1" applyBorder="1" applyFont="1">
      <alignment vertical="bottom"/>
    </xf>
    <xf borderId="6" fillId="3" fontId="17" numFmtId="0" xfId="0" applyAlignment="1" applyBorder="1" applyFont="1">
      <alignment horizontal="center" vertical="center"/>
    </xf>
    <xf borderId="7" fillId="4" fontId="4" numFmtId="4" xfId="0" applyAlignment="1" applyBorder="1" applyFont="1" applyNumberFormat="1">
      <alignment horizontal="center" vertical="bottom"/>
    </xf>
    <xf borderId="6" fillId="8" fontId="17" numFmtId="0" xfId="0" applyAlignment="1" applyBorder="1" applyFont="1">
      <alignment horizontal="center" vertical="center"/>
    </xf>
    <xf borderId="1" fillId="11" fontId="1" numFmtId="164" xfId="0" applyAlignment="1" applyBorder="1" applyFill="1" applyFont="1" applyNumberFormat="1">
      <alignment horizontal="center" vertical="center"/>
    </xf>
    <xf borderId="4" fillId="9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6" fillId="9" fontId="17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bottom"/>
    </xf>
    <xf borderId="6" fillId="9" fontId="4" numFmtId="0" xfId="0" applyAlignment="1" applyBorder="1" applyFont="1">
      <alignment horizontal="center" vertical="bottom"/>
    </xf>
    <xf borderId="7" fillId="9" fontId="3" numFmtId="0" xfId="0" applyAlignment="1" applyBorder="1" applyFont="1">
      <alignment vertical="bottom"/>
    </xf>
    <xf borderId="5" fillId="9" fontId="4" numFmtId="0" xfId="0" applyAlignment="1" applyBorder="1" applyFont="1">
      <alignment horizontal="center" shrinkToFit="0" vertical="bottom" wrapText="1"/>
    </xf>
    <xf borderId="7" fillId="9" fontId="4" numFmtId="0" xfId="0" applyAlignment="1" applyBorder="1" applyFont="1">
      <alignment horizontal="center" vertical="bottom"/>
    </xf>
    <xf borderId="9" fillId="12" fontId="4" numFmtId="38" xfId="0" applyAlignment="1" applyBorder="1" applyFill="1" applyFont="1" applyNumberFormat="1">
      <alignment horizontal="center" vertical="bottom"/>
    </xf>
    <xf borderId="8" fillId="9" fontId="17" numFmtId="0" xfId="0" applyAlignment="1" applyBorder="1" applyFont="1">
      <alignment horizontal="center" vertical="center"/>
    </xf>
    <xf borderId="7" fillId="9" fontId="17" numFmtId="166" xfId="0" applyAlignment="1" applyBorder="1" applyFont="1" applyNumberFormat="1">
      <alignment horizontal="center" vertical="center"/>
    </xf>
    <xf borderId="7" fillId="9" fontId="17" numFmtId="4" xfId="0" applyAlignment="1" applyBorder="1" applyFont="1" applyNumberFormat="1">
      <alignment horizontal="left" vertical="center"/>
    </xf>
    <xf borderId="7" fillId="9" fontId="17" numFmtId="0" xfId="0" applyAlignment="1" applyBorder="1" applyFont="1">
      <alignment horizontal="center" vertical="center"/>
    </xf>
    <xf borderId="7" fillId="9" fontId="17" numFmtId="0" xfId="0" applyAlignment="1" applyBorder="1" applyFont="1">
      <alignment vertical="center"/>
    </xf>
    <xf borderId="7" fillId="9" fontId="17" numFmtId="167" xfId="0" applyAlignment="1" applyBorder="1" applyFont="1" applyNumberFormat="1">
      <alignment horizontal="center" vertical="center"/>
    </xf>
    <xf borderId="9" fillId="9" fontId="17" numFmtId="38" xfId="0" applyAlignment="1" applyBorder="1" applyFont="1" applyNumberFormat="1">
      <alignment horizontal="center" vertical="center"/>
    </xf>
    <xf borderId="1" fillId="13" fontId="3" numFmtId="0" xfId="0" applyAlignment="1" applyBorder="1" applyFill="1" applyFont="1">
      <alignment vertical="bottom"/>
    </xf>
    <xf borderId="2" fillId="13" fontId="3" numFmtId="0" xfId="0" applyAlignment="1" applyBorder="1" applyFont="1">
      <alignment vertical="bottom"/>
    </xf>
    <xf borderId="2" fillId="13" fontId="3" numFmtId="0" xfId="0" applyAlignment="1" applyBorder="1" applyFont="1">
      <alignment horizontal="left" vertical="bottom"/>
    </xf>
    <xf borderId="2" fillId="13" fontId="13" numFmtId="167" xfId="0" applyAlignment="1" applyBorder="1" applyFont="1" applyNumberFormat="1">
      <alignment horizontal="center" vertical="center"/>
    </xf>
    <xf borderId="2" fillId="13" fontId="3" numFmtId="167" xfId="0" applyBorder="1" applyFont="1" applyNumberFormat="1"/>
    <xf borderId="3" fillId="13" fontId="3" numFmtId="0" xfId="0" applyAlignment="1" applyBorder="1" applyFont="1">
      <alignment vertical="bottom"/>
    </xf>
    <xf borderId="0" fillId="12" fontId="18" numFmtId="164" xfId="0" applyAlignment="1" applyFont="1" applyNumberFormat="1">
      <alignment horizontal="center" vertical="center"/>
    </xf>
    <xf borderId="1" fillId="2" fontId="19" numFmtId="164" xfId="0" applyAlignment="1" applyBorder="1" applyFont="1" applyNumberFormat="1">
      <alignment horizontal="center" vertical="center"/>
    </xf>
    <xf borderId="8" fillId="14" fontId="17" numFmtId="0" xfId="0" applyAlignment="1" applyBorder="1" applyFill="1" applyFont="1">
      <alignment horizontal="center" vertical="bottom"/>
    </xf>
    <xf borderId="7" fillId="14" fontId="17" numFmtId="166" xfId="0" applyAlignment="1" applyBorder="1" applyFont="1" applyNumberFormat="1">
      <alignment horizontal="center" vertical="bottom"/>
    </xf>
    <xf borderId="7" fillId="14" fontId="17" numFmtId="4" xfId="0" applyAlignment="1" applyBorder="1" applyFont="1" applyNumberFormat="1">
      <alignment horizontal="left" vertical="bottom"/>
    </xf>
    <xf borderId="7" fillId="14" fontId="17" numFmtId="0" xfId="0" applyAlignment="1" applyBorder="1" applyFont="1">
      <alignment horizontal="center" vertical="bottom"/>
    </xf>
    <xf borderId="7" fillId="14" fontId="17" numFmtId="0" xfId="0" applyAlignment="1" applyBorder="1" applyFont="1">
      <alignment vertical="bottom"/>
    </xf>
    <xf borderId="7" fillId="14" fontId="17" numFmtId="167" xfId="0" applyAlignment="1" applyBorder="1" applyFont="1" applyNumberFormat="1">
      <alignment horizontal="center" vertical="bottom"/>
    </xf>
    <xf borderId="7" fillId="14" fontId="17" numFmtId="38" xfId="0" applyAlignment="1" applyBorder="1" applyFont="1" applyNumberFormat="1">
      <alignment horizontal="center" vertical="bottom"/>
    </xf>
    <xf borderId="7" fillId="14" fontId="20" numFmtId="0" xfId="0" applyAlignment="1" applyBorder="1" applyFont="1">
      <alignment vertical="bottom"/>
    </xf>
    <xf borderId="9" fillId="14" fontId="17" numFmtId="38" xfId="0" applyAlignment="1" applyBorder="1" applyFont="1" applyNumberFormat="1">
      <alignment horizontal="center" vertical="bottom"/>
    </xf>
    <xf borderId="1" fillId="9" fontId="3" numFmtId="0" xfId="0" applyAlignment="1" applyBorder="1" applyFont="1">
      <alignment vertical="bottom"/>
    </xf>
    <xf borderId="2" fillId="9" fontId="3" numFmtId="0" xfId="0" applyAlignment="1" applyBorder="1" applyFont="1">
      <alignment vertical="bottom"/>
    </xf>
    <xf borderId="2" fillId="9" fontId="3" numFmtId="0" xfId="0" applyAlignment="1" applyBorder="1" applyFont="1">
      <alignment horizontal="left" vertical="bottom"/>
    </xf>
    <xf borderId="2" fillId="9" fontId="13" numFmtId="167" xfId="0" applyAlignment="1" applyBorder="1" applyFont="1" applyNumberFormat="1">
      <alignment horizontal="center" vertical="center"/>
    </xf>
    <xf borderId="2" fillId="9" fontId="3" numFmtId="167" xfId="0" applyBorder="1" applyFont="1" applyNumberFormat="1"/>
    <xf borderId="3" fillId="9" fontId="3" numFmtId="0" xfId="0" applyAlignment="1" applyBorder="1" applyFont="1">
      <alignment vertical="bottom"/>
    </xf>
    <xf borderId="1" fillId="15" fontId="21" numFmtId="164" xfId="0" applyAlignment="1" applyBorder="1" applyFill="1" applyFont="1" applyNumberFormat="1">
      <alignment horizontal="center" vertical="center"/>
    </xf>
    <xf borderId="4" fillId="16" fontId="4" numFmtId="0" xfId="0" applyAlignment="1" applyBorder="1" applyFill="1" applyFont="1">
      <alignment horizontal="center" vertical="bottom"/>
    </xf>
    <xf borderId="5" fillId="16" fontId="4" numFmtId="0" xfId="0" applyAlignment="1" applyBorder="1" applyFont="1">
      <alignment horizontal="center" vertical="bottom"/>
    </xf>
    <xf borderId="6" fillId="16" fontId="17" numFmtId="0" xfId="0" applyAlignment="1" applyBorder="1" applyFont="1">
      <alignment horizontal="center" vertical="center"/>
    </xf>
    <xf borderId="5" fillId="16" fontId="5" numFmtId="0" xfId="0" applyAlignment="1" applyBorder="1" applyFont="1">
      <alignment horizontal="center" vertical="bottom"/>
    </xf>
    <xf borderId="6" fillId="16" fontId="4" numFmtId="0" xfId="0" applyAlignment="1" applyBorder="1" applyFont="1">
      <alignment horizontal="center" vertical="bottom"/>
    </xf>
    <xf borderId="7" fillId="16" fontId="3" numFmtId="0" xfId="0" applyAlignment="1" applyBorder="1" applyFont="1">
      <alignment vertical="bottom"/>
    </xf>
    <xf borderId="5" fillId="16" fontId="4" numFmtId="0" xfId="0" applyAlignment="1" applyBorder="1" applyFont="1">
      <alignment horizontal="center" shrinkToFit="0" vertical="bottom" wrapText="1"/>
    </xf>
    <xf borderId="7" fillId="16" fontId="4" numFmtId="0" xfId="0" applyAlignment="1" applyBorder="1" applyFont="1">
      <alignment horizontal="center" vertical="bottom"/>
    </xf>
    <xf borderId="8" fillId="16" fontId="22" numFmtId="0" xfId="0" applyAlignment="1" applyBorder="1" applyFont="1">
      <alignment horizontal="center" vertical="bottom"/>
    </xf>
    <xf borderId="7" fillId="16" fontId="22" numFmtId="166" xfId="0" applyAlignment="1" applyBorder="1" applyFont="1" applyNumberFormat="1">
      <alignment horizontal="center" vertical="bottom"/>
    </xf>
    <xf borderId="7" fillId="16" fontId="22" numFmtId="4" xfId="0" applyAlignment="1" applyBorder="1" applyFont="1" applyNumberFormat="1">
      <alignment horizontal="left" vertical="bottom"/>
    </xf>
    <xf borderId="7" fillId="16" fontId="22" numFmtId="0" xfId="0" applyAlignment="1" applyBorder="1" applyFont="1">
      <alignment horizontal="center" vertical="bottom"/>
    </xf>
    <xf borderId="7" fillId="16" fontId="22" numFmtId="0" xfId="0" applyAlignment="1" applyBorder="1" applyFont="1">
      <alignment vertical="bottom"/>
    </xf>
    <xf borderId="7" fillId="16" fontId="22" numFmtId="167" xfId="0" applyAlignment="1" applyBorder="1" applyFont="1" applyNumberFormat="1">
      <alignment horizontal="center" vertical="bottom"/>
    </xf>
    <xf borderId="7" fillId="16" fontId="22" numFmtId="38" xfId="0" applyAlignment="1" applyBorder="1" applyFont="1" applyNumberFormat="1">
      <alignment horizontal="center" vertical="bottom"/>
    </xf>
    <xf borderId="9" fillId="16" fontId="22" numFmtId="38" xfId="0" applyAlignment="1" applyBorder="1" applyFont="1" applyNumberFormat="1">
      <alignment horizontal="center" vertical="bottom"/>
    </xf>
    <xf borderId="1" fillId="15" fontId="3" numFmtId="0" xfId="0" applyAlignment="1" applyBorder="1" applyFont="1">
      <alignment vertical="bottom"/>
    </xf>
    <xf borderId="2" fillId="15" fontId="3" numFmtId="0" xfId="0" applyAlignment="1" applyBorder="1" applyFont="1">
      <alignment vertical="bottom"/>
    </xf>
    <xf borderId="2" fillId="15" fontId="3" numFmtId="0" xfId="0" applyAlignment="1" applyBorder="1" applyFont="1">
      <alignment horizontal="left" vertical="bottom"/>
    </xf>
    <xf borderId="2" fillId="15" fontId="13" numFmtId="167" xfId="0" applyAlignment="1" applyBorder="1" applyFont="1" applyNumberFormat="1">
      <alignment horizontal="center" vertical="center"/>
    </xf>
    <xf borderId="2" fillId="15" fontId="3" numFmtId="167" xfId="0" applyBorder="1" applyFont="1" applyNumberFormat="1"/>
    <xf borderId="3" fillId="15" fontId="3" numFmtId="0" xfId="0" applyAlignment="1" applyBorder="1" applyFont="1">
      <alignment vertical="bottom"/>
    </xf>
    <xf borderId="1" fillId="17" fontId="1" numFmtId="164" xfId="0" applyAlignment="1" applyBorder="1" applyFill="1" applyFont="1" applyNumberFormat="1">
      <alignment horizontal="center" vertical="center"/>
    </xf>
    <xf borderId="4" fillId="11" fontId="4" numFmtId="0" xfId="0" applyAlignment="1" applyBorder="1" applyFont="1">
      <alignment horizontal="center" vertical="bottom"/>
    </xf>
    <xf borderId="5" fillId="11" fontId="4" numFmtId="0" xfId="0" applyAlignment="1" applyBorder="1" applyFont="1">
      <alignment horizontal="center" vertical="bottom"/>
    </xf>
    <xf borderId="6" fillId="11" fontId="17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center" vertical="bottom"/>
    </xf>
    <xf borderId="6" fillId="11" fontId="4" numFmtId="0" xfId="0" applyAlignment="1" applyBorder="1" applyFont="1">
      <alignment horizontal="center" vertical="bottom"/>
    </xf>
    <xf borderId="7" fillId="11" fontId="3" numFmtId="0" xfId="0" applyAlignment="1" applyBorder="1" applyFont="1">
      <alignment vertical="bottom"/>
    </xf>
    <xf borderId="5" fillId="11" fontId="4" numFmtId="0" xfId="0" applyAlignment="1" applyBorder="1" applyFont="1">
      <alignment horizontal="center" shrinkToFit="0" vertical="bottom" wrapText="1"/>
    </xf>
    <xf borderId="7" fillId="11" fontId="4" numFmtId="0" xfId="0" applyAlignment="1" applyBorder="1" applyFont="1">
      <alignment horizontal="center" vertical="bottom"/>
    </xf>
    <xf borderId="8" fillId="18" fontId="17" numFmtId="0" xfId="0" applyAlignment="1" applyBorder="1" applyFill="1" applyFont="1">
      <alignment horizontal="center" vertical="bottom"/>
    </xf>
    <xf borderId="7" fillId="18" fontId="17" numFmtId="166" xfId="0" applyAlignment="1" applyBorder="1" applyFont="1" applyNumberFormat="1">
      <alignment horizontal="center" vertical="bottom"/>
    </xf>
    <xf borderId="7" fillId="18" fontId="17" numFmtId="4" xfId="0" applyAlignment="1" applyBorder="1" applyFont="1" applyNumberFormat="1">
      <alignment horizontal="left" vertical="bottom"/>
    </xf>
    <xf borderId="7" fillId="18" fontId="17" numFmtId="0" xfId="0" applyAlignment="1" applyBorder="1" applyFont="1">
      <alignment horizontal="center" vertical="bottom"/>
    </xf>
    <xf borderId="7" fillId="18" fontId="17" numFmtId="0" xfId="0" applyAlignment="1" applyBorder="1" applyFont="1">
      <alignment vertical="bottom"/>
    </xf>
    <xf borderId="7" fillId="18" fontId="17" numFmtId="167" xfId="0" applyAlignment="1" applyBorder="1" applyFont="1" applyNumberFormat="1">
      <alignment horizontal="center" vertical="bottom"/>
    </xf>
    <xf borderId="7" fillId="18" fontId="5" numFmtId="38" xfId="0" applyAlignment="1" applyBorder="1" applyFont="1" applyNumberFormat="1">
      <alignment horizontal="center" vertical="bottom"/>
    </xf>
    <xf borderId="9" fillId="18" fontId="17" numFmtId="38" xfId="0" applyAlignment="1" applyBorder="1" applyFont="1" applyNumberFormat="1">
      <alignment horizontal="center" vertical="bottom"/>
    </xf>
    <xf borderId="1" fillId="17" fontId="3" numFmtId="0" xfId="0" applyAlignment="1" applyBorder="1" applyFont="1">
      <alignment vertical="bottom"/>
    </xf>
    <xf borderId="2" fillId="17" fontId="3" numFmtId="0" xfId="0" applyAlignment="1" applyBorder="1" applyFont="1">
      <alignment vertical="bottom"/>
    </xf>
    <xf borderId="2" fillId="17" fontId="3" numFmtId="0" xfId="0" applyAlignment="1" applyBorder="1" applyFont="1">
      <alignment horizontal="left" vertical="bottom"/>
    </xf>
    <xf borderId="2" fillId="17" fontId="13" numFmtId="167" xfId="0" applyAlignment="1" applyBorder="1" applyFont="1" applyNumberFormat="1">
      <alignment horizontal="center" vertical="center"/>
    </xf>
    <xf borderId="2" fillId="17" fontId="3" numFmtId="167" xfId="0" applyBorder="1" applyFont="1" applyNumberFormat="1"/>
    <xf borderId="3" fillId="17" fontId="3" numFmtId="0" xfId="0" applyAlignment="1" applyBorder="1" applyFont="1">
      <alignment vertical="bottom"/>
    </xf>
    <xf borderId="0" fillId="19" fontId="4" numFmtId="0" xfId="0" applyAlignment="1" applyFill="1" applyFont="1">
      <alignment horizontal="right" vertical="bottom"/>
    </xf>
    <xf borderId="0" fillId="19" fontId="15" numFmtId="0" xfId="0" applyAlignment="1" applyFont="1">
      <alignment horizontal="center" vertical="bottom"/>
    </xf>
    <xf borderId="0" fillId="4" fontId="1" numFmtId="164" xfId="0" applyAlignment="1" applyFont="1" applyNumberFormat="1">
      <alignment horizontal="center" vertical="center"/>
    </xf>
    <xf borderId="7" fillId="4" fontId="10" numFmtId="165" xfId="0" applyAlignment="1" applyBorder="1" applyFont="1" applyNumberFormat="1">
      <alignment horizontal="center" vertical="bottom"/>
    </xf>
    <xf borderId="0" fillId="0" fontId="3" numFmtId="164" xfId="0" applyFont="1" applyNumberFormat="1"/>
    <xf borderId="2" fillId="2" fontId="19" numFmtId="164" xfId="0" applyAlignment="1" applyBorder="1" applyFont="1" applyNumberFormat="1">
      <alignment horizontal="center" vertical="center"/>
    </xf>
    <xf borderId="3" fillId="2" fontId="19" numFmtId="164" xfId="0" applyAlignment="1" applyBorder="1" applyFont="1" applyNumberFormat="1">
      <alignment horizontal="center" vertical="center"/>
    </xf>
    <xf borderId="0" fillId="0" fontId="3" numFmtId="0" xfId="0" applyFont="1"/>
    <xf borderId="8" fillId="3" fontId="4" numFmtId="0" xfId="0" applyAlignment="1" applyBorder="1" applyFont="1">
      <alignment horizontal="center" vertical="bottom"/>
    </xf>
    <xf borderId="9" fillId="0" fontId="23" numFmtId="166" xfId="0" applyAlignment="1" applyBorder="1" applyFont="1" applyNumberFormat="1">
      <alignment horizontal="left" shrinkToFit="0" vertical="bottom" wrapText="0"/>
    </xf>
    <xf borderId="9" fillId="0" fontId="23" numFmtId="4" xfId="0" applyAlignment="1" applyBorder="1" applyFont="1" applyNumberFormat="1">
      <alignment horizontal="left" shrinkToFit="0" vertical="bottom" wrapText="0"/>
    </xf>
    <xf borderId="9" fillId="0" fontId="23" numFmtId="0" xfId="0" applyAlignment="1" applyBorder="1" applyFont="1">
      <alignment horizontal="left" shrinkToFit="0" vertical="bottom" wrapText="0"/>
    </xf>
    <xf borderId="9" fillId="0" fontId="23" numFmtId="38" xfId="0" applyAlignment="1" applyBorder="1" applyFont="1" applyNumberFormat="1">
      <alignment horizontal="right" shrinkToFit="0" vertical="bottom" wrapText="0"/>
    </xf>
    <xf borderId="9" fillId="4" fontId="5" numFmtId="38" xfId="0" applyAlignment="1" applyBorder="1" applyFont="1" applyNumberFormat="1">
      <alignment horizontal="center" vertical="bottom"/>
    </xf>
    <xf borderId="9" fillId="0" fontId="24" numFmtId="38" xfId="0" applyAlignment="1" applyBorder="1" applyFont="1" applyNumberFormat="1">
      <alignment horizontal="left" shrinkToFit="0" vertical="bottom" wrapText="0"/>
    </xf>
    <xf quotePrefix="1" borderId="9" fillId="0" fontId="24" numFmtId="0" xfId="0" applyAlignment="1" applyBorder="1" applyFont="1">
      <alignment horizontal="left" shrinkToFit="0" vertical="bottom" wrapText="0"/>
    </xf>
    <xf borderId="9" fillId="0" fontId="24" numFmtId="0" xfId="0" applyAlignment="1" applyBorder="1" applyFont="1">
      <alignment shrinkToFit="0" vertical="bottom" wrapText="0"/>
    </xf>
    <xf borderId="9" fillId="0" fontId="24" numFmtId="165" xfId="0" applyAlignment="1" applyBorder="1" applyFont="1" applyNumberFormat="1">
      <alignment shrinkToFit="0" vertical="bottom" wrapText="0"/>
    </xf>
    <xf borderId="9" fillId="0" fontId="24" numFmtId="4" xfId="0" applyAlignment="1" applyBorder="1" applyFont="1" applyNumberFormat="1">
      <alignment shrinkToFit="0" vertical="bottom" wrapText="0"/>
    </xf>
    <xf borderId="9" fillId="0" fontId="24" numFmtId="38" xfId="0" applyAlignment="1" applyBorder="1" applyFont="1" applyNumberFormat="1">
      <alignment horizontal="right" shrinkToFit="0" vertical="bottom" wrapText="0"/>
    </xf>
    <xf borderId="9" fillId="0" fontId="25" numFmtId="166" xfId="0" applyAlignment="1" applyBorder="1" applyFont="1" applyNumberFormat="1">
      <alignment horizontal="center" shrinkToFit="0" vertical="bottom" wrapText="0"/>
    </xf>
    <xf borderId="9" fillId="0" fontId="25" numFmtId="4" xfId="0" applyAlignment="1" applyBorder="1" applyFont="1" applyNumberFormat="1">
      <alignment horizontal="center" shrinkToFit="0" vertical="bottom" wrapText="0"/>
    </xf>
    <xf borderId="9" fillId="0" fontId="25" numFmtId="0" xfId="0" applyAlignment="1" applyBorder="1" applyFont="1">
      <alignment horizontal="center" shrinkToFit="0" vertical="bottom" wrapText="0"/>
    </xf>
    <xf borderId="9" fillId="0" fontId="25" numFmtId="0" xfId="0" applyAlignment="1" applyBorder="1" applyFont="1">
      <alignment horizontal="left" shrinkToFit="0" vertical="bottom" wrapText="0"/>
    </xf>
    <xf borderId="7" fillId="4" fontId="14" numFmtId="38" xfId="0" applyAlignment="1" applyBorder="1" applyFont="1" applyNumberFormat="1">
      <alignment horizontal="center" vertical="bottom"/>
    </xf>
    <xf borderId="7" fillId="4" fontId="25" numFmtId="38" xfId="0" applyAlignment="1" applyBorder="1" applyFont="1" applyNumberFormat="1">
      <alignment horizontal="center" vertical="bottom"/>
    </xf>
    <xf borderId="9" fillId="0" fontId="25" numFmtId="38" xfId="0" applyAlignment="1" applyBorder="1" applyFont="1" applyNumberFormat="1">
      <alignment horizontal="right" shrinkToFit="0" vertical="bottom" wrapText="0"/>
    </xf>
    <xf borderId="9" fillId="0" fontId="26" numFmtId="38" xfId="0" applyAlignment="1" applyBorder="1" applyFont="1" applyNumberFormat="1">
      <alignment horizontal="center" shrinkToFit="0" vertical="bottom" wrapText="0"/>
    </xf>
    <xf borderId="9" fillId="0" fontId="26" numFmtId="0" xfId="0" applyAlignment="1" applyBorder="1" applyFont="1">
      <alignment horizontal="center" shrinkToFit="0" vertical="bottom" wrapText="0"/>
    </xf>
    <xf borderId="9" fillId="0" fontId="24" numFmtId="0" xfId="0" applyAlignment="1" applyBorder="1" applyFont="1">
      <alignment horizontal="left" shrinkToFit="0" vertical="bottom" wrapText="0"/>
    </xf>
    <xf borderId="7" fillId="4" fontId="25" numFmtId="166" xfId="0" applyAlignment="1" applyBorder="1" applyFont="1" applyNumberFormat="1">
      <alignment horizontal="center" vertical="bottom"/>
    </xf>
    <xf borderId="7" fillId="4" fontId="25" numFmtId="4" xfId="0" applyAlignment="1" applyBorder="1" applyFont="1" applyNumberFormat="1">
      <alignment horizontal="center" vertical="bottom"/>
    </xf>
    <xf borderId="7" fillId="4" fontId="25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left" vertical="bottom"/>
    </xf>
    <xf borderId="9" fillId="0" fontId="25" numFmtId="165" xfId="0" applyAlignment="1" applyBorder="1" applyFont="1" applyNumberFormat="1">
      <alignment horizontal="center" shrinkToFit="0" vertical="bottom" wrapText="0"/>
    </xf>
    <xf borderId="9" fillId="0" fontId="25" numFmtId="38" xfId="0" applyAlignment="1" applyBorder="1" applyFont="1" applyNumberFormat="1">
      <alignment horizontal="center" shrinkToFit="0" vertical="bottom" wrapText="0"/>
    </xf>
    <xf borderId="9" fillId="0" fontId="24" numFmtId="0" xfId="0" applyAlignment="1" applyBorder="1" applyFont="1">
      <alignment horizontal="center" shrinkToFit="0" vertical="center" wrapText="1"/>
    </xf>
    <xf borderId="9" fillId="0" fontId="27" numFmtId="165" xfId="0" applyAlignment="1" applyBorder="1" applyFont="1" applyNumberFormat="1">
      <alignment horizontal="center" shrinkToFit="0" vertical="bottom" wrapText="0"/>
    </xf>
    <xf borderId="9" fillId="0" fontId="27" numFmtId="4" xfId="0" applyAlignment="1" applyBorder="1" applyFont="1" applyNumberFormat="1">
      <alignment horizontal="center" shrinkToFit="0" vertical="bottom" wrapText="0"/>
    </xf>
    <xf borderId="9" fillId="0" fontId="27" numFmtId="0" xfId="0" applyAlignment="1" applyBorder="1" applyFont="1">
      <alignment horizontal="center" shrinkToFit="0" vertical="bottom" wrapText="0"/>
    </xf>
    <xf borderId="9" fillId="0" fontId="27" numFmtId="0" xfId="0" applyAlignment="1" applyBorder="1" applyFont="1">
      <alignment shrinkToFit="0" vertical="bottom" wrapText="0"/>
    </xf>
    <xf borderId="9" fillId="0" fontId="28" numFmtId="38" xfId="0" applyAlignment="1" applyBorder="1" applyFont="1" applyNumberFormat="1">
      <alignment horizontal="right" shrinkToFit="0" vertical="bottom" wrapText="0"/>
    </xf>
    <xf borderId="9" fillId="0" fontId="24" numFmtId="0" xfId="0" applyAlignment="1" applyBorder="1" applyFont="1">
      <alignment horizontal="center" shrinkToFit="0" vertical="center" wrapText="0"/>
    </xf>
    <xf borderId="9" fillId="0" fontId="24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  <col customWidth="1" min="19" max="19" width="85.13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45655.0</v>
      </c>
      <c r="C5" s="18" t="s">
        <v>23</v>
      </c>
      <c r="D5" s="19">
        <v>54763.0</v>
      </c>
      <c r="E5" s="20" t="s">
        <v>24</v>
      </c>
      <c r="F5" s="21"/>
      <c r="G5" s="22"/>
      <c r="H5" s="21"/>
      <c r="I5" s="23">
        <v>4500.0</v>
      </c>
      <c r="J5" s="23"/>
      <c r="K5" s="22"/>
      <c r="L5" s="22"/>
      <c r="M5" s="21"/>
      <c r="N5" s="22"/>
      <c r="O5" s="22"/>
      <c r="P5" s="24">
        <v>4500.0</v>
      </c>
      <c r="Q5" s="25">
        <f t="shared" ref="Q5:Q50" si="1">F5+G5+H5+I5+J5+K5+L5+M5+N5+O5-P5</f>
        <v>0</v>
      </c>
      <c r="R5" s="24" t="s">
        <v>25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34.5" customHeight="1">
      <c r="A6" s="16">
        <v>2.0</v>
      </c>
      <c r="B6" s="28">
        <v>45655.0</v>
      </c>
      <c r="C6" s="18" t="s">
        <v>26</v>
      </c>
      <c r="D6" s="19">
        <v>85559.0</v>
      </c>
      <c r="E6" s="20" t="s">
        <v>27</v>
      </c>
      <c r="F6" s="21"/>
      <c r="G6" s="22"/>
      <c r="H6" s="22"/>
      <c r="I6" s="21">
        <v>1715.0</v>
      </c>
      <c r="J6" s="22"/>
      <c r="K6" s="22"/>
      <c r="L6" s="22"/>
      <c r="M6" s="21"/>
      <c r="N6" s="22"/>
      <c r="O6" s="22"/>
      <c r="P6" s="24">
        <v>1715.0</v>
      </c>
      <c r="Q6" s="25">
        <f t="shared" si="1"/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34.5" customHeight="1">
      <c r="A7" s="16">
        <v>3.0</v>
      </c>
      <c r="B7" s="28">
        <v>45660.0</v>
      </c>
      <c r="C7" s="18" t="s">
        <v>29</v>
      </c>
      <c r="D7" s="19">
        <v>67286.0</v>
      </c>
      <c r="E7" s="20" t="s">
        <v>30</v>
      </c>
      <c r="F7" s="22"/>
      <c r="G7" s="22"/>
      <c r="H7" s="21"/>
      <c r="I7" s="21">
        <v>350.0</v>
      </c>
      <c r="J7" s="23"/>
      <c r="K7" s="22"/>
      <c r="L7" s="22"/>
      <c r="M7" s="22"/>
      <c r="N7" s="22"/>
      <c r="O7" s="22"/>
      <c r="P7" s="24">
        <v>350.0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34.5" customHeight="1">
      <c r="A8" s="16">
        <v>4.0</v>
      </c>
      <c r="B8" s="28">
        <v>45660.0</v>
      </c>
      <c r="C8" s="18" t="s">
        <v>32</v>
      </c>
      <c r="D8" s="19">
        <v>79106.0</v>
      </c>
      <c r="E8" s="20" t="s">
        <v>33</v>
      </c>
      <c r="F8" s="22"/>
      <c r="G8" s="22"/>
      <c r="H8" s="22"/>
      <c r="I8" s="21">
        <v>2600.0</v>
      </c>
      <c r="J8" s="21"/>
      <c r="K8" s="22"/>
      <c r="L8" s="22"/>
      <c r="M8" s="22"/>
      <c r="N8" s="22"/>
      <c r="O8" s="22"/>
      <c r="P8" s="24">
        <v>2600.0</v>
      </c>
      <c r="Q8" s="25">
        <f t="shared" si="1"/>
        <v>0</v>
      </c>
      <c r="R8" s="24" t="s">
        <v>28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34.5" customHeight="1">
      <c r="A9" s="16">
        <v>5.0</v>
      </c>
      <c r="B9" s="28">
        <v>45660.0</v>
      </c>
      <c r="C9" s="18" t="s">
        <v>34</v>
      </c>
      <c r="D9" s="19">
        <v>36918.0</v>
      </c>
      <c r="E9" s="20" t="s">
        <v>35</v>
      </c>
      <c r="F9" s="22"/>
      <c r="G9" s="22"/>
      <c r="H9" s="22"/>
      <c r="I9" s="21">
        <v>2500.0</v>
      </c>
      <c r="J9" s="21"/>
      <c r="K9" s="22"/>
      <c r="L9" s="22"/>
      <c r="M9" s="21"/>
      <c r="N9" s="22"/>
      <c r="O9" s="22"/>
      <c r="P9" s="24">
        <v>2500.0</v>
      </c>
      <c r="Q9" s="25">
        <f t="shared" si="1"/>
        <v>0</v>
      </c>
      <c r="R9" s="24" t="s">
        <v>28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34.5" customHeight="1">
      <c r="A10" s="16">
        <v>6.0</v>
      </c>
      <c r="B10" s="28">
        <v>45660.0</v>
      </c>
      <c r="C10" s="18" t="s">
        <v>36</v>
      </c>
      <c r="D10" s="19">
        <v>54325.0</v>
      </c>
      <c r="E10" s="20" t="s">
        <v>37</v>
      </c>
      <c r="F10" s="22"/>
      <c r="G10" s="22"/>
      <c r="H10" s="22"/>
      <c r="I10" s="21"/>
      <c r="J10" s="21">
        <v>15000.0</v>
      </c>
      <c r="K10" s="22"/>
      <c r="L10" s="22"/>
      <c r="M10" s="21"/>
      <c r="N10" s="22"/>
      <c r="O10" s="22"/>
      <c r="P10" s="24">
        <v>15000.0</v>
      </c>
      <c r="Q10" s="25">
        <f t="shared" si="1"/>
        <v>0</v>
      </c>
      <c r="R10" s="24" t="s">
        <v>31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34.5" customHeight="1">
      <c r="A11" s="16">
        <v>7.0</v>
      </c>
      <c r="B11" s="28">
        <v>45660.0</v>
      </c>
      <c r="C11" s="18" t="s">
        <v>38</v>
      </c>
      <c r="D11" s="19">
        <v>67867.0</v>
      </c>
      <c r="E11" s="20" t="s">
        <v>39</v>
      </c>
      <c r="F11" s="22"/>
      <c r="G11" s="22"/>
      <c r="H11" s="22"/>
      <c r="I11" s="21">
        <v>5100.0</v>
      </c>
      <c r="J11" s="21"/>
      <c r="K11" s="22"/>
      <c r="L11" s="22"/>
      <c r="M11" s="21"/>
      <c r="N11" s="22"/>
      <c r="O11" s="22"/>
      <c r="P11" s="24">
        <v>5100.0</v>
      </c>
      <c r="Q11" s="25">
        <f t="shared" si="1"/>
        <v>0</v>
      </c>
      <c r="R11" s="24" t="s">
        <v>28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34.5" customHeight="1">
      <c r="A12" s="16">
        <v>8.0</v>
      </c>
      <c r="B12" s="28">
        <v>45660.0</v>
      </c>
      <c r="C12" s="18" t="s">
        <v>40</v>
      </c>
      <c r="D12" s="19">
        <v>59284.0</v>
      </c>
      <c r="E12" s="20" t="s">
        <v>41</v>
      </c>
      <c r="F12" s="22"/>
      <c r="G12" s="22"/>
      <c r="H12" s="22"/>
      <c r="I12" s="21">
        <v>14500.0</v>
      </c>
      <c r="J12" s="21"/>
      <c r="K12" s="22"/>
      <c r="L12" s="22"/>
      <c r="M12" s="21"/>
      <c r="N12" s="22"/>
      <c r="O12" s="22"/>
      <c r="P12" s="24">
        <v>14500.0</v>
      </c>
      <c r="Q12" s="25">
        <f t="shared" si="1"/>
        <v>0</v>
      </c>
      <c r="R12" s="24" t="s">
        <v>28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34.5" customHeight="1">
      <c r="A13" s="16">
        <v>9.0</v>
      </c>
      <c r="B13" s="28">
        <v>45660.0</v>
      </c>
      <c r="C13" s="18" t="s">
        <v>42</v>
      </c>
      <c r="D13" s="19">
        <v>84036.0</v>
      </c>
      <c r="E13" s="20" t="s">
        <v>43</v>
      </c>
      <c r="F13" s="22"/>
      <c r="G13" s="22"/>
      <c r="H13" s="22"/>
      <c r="I13" s="21">
        <v>2600.0</v>
      </c>
      <c r="J13" s="21"/>
      <c r="K13" s="22"/>
      <c r="L13" s="22"/>
      <c r="M13" s="21"/>
      <c r="N13" s="22"/>
      <c r="O13" s="22"/>
      <c r="P13" s="24">
        <v>2600.0</v>
      </c>
      <c r="Q13" s="25">
        <f t="shared" si="1"/>
        <v>0</v>
      </c>
      <c r="R13" s="24" t="s">
        <v>28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34.5" customHeight="1">
      <c r="A14" s="16">
        <v>10.0</v>
      </c>
      <c r="B14" s="28">
        <v>45660.0</v>
      </c>
      <c r="C14" s="18" t="s">
        <v>44</v>
      </c>
      <c r="D14" s="19">
        <v>66969.0</v>
      </c>
      <c r="E14" s="20" t="s">
        <v>45</v>
      </c>
      <c r="F14" s="22"/>
      <c r="G14" s="22"/>
      <c r="H14" s="22"/>
      <c r="I14" s="21"/>
      <c r="J14" s="21"/>
      <c r="K14" s="22"/>
      <c r="L14" s="22"/>
      <c r="M14" s="21">
        <v>2500.0</v>
      </c>
      <c r="N14" s="22"/>
      <c r="O14" s="22"/>
      <c r="P14" s="24">
        <v>2500.0</v>
      </c>
      <c r="Q14" s="25">
        <f t="shared" si="1"/>
        <v>0</v>
      </c>
      <c r="R14" s="24" t="s">
        <v>46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34.5" customHeight="1">
      <c r="A15" s="16">
        <v>11.0</v>
      </c>
      <c r="B15" s="28">
        <v>45660.0</v>
      </c>
      <c r="C15" s="18" t="s">
        <v>47</v>
      </c>
      <c r="D15" s="19">
        <v>47576.0</v>
      </c>
      <c r="E15" s="20" t="s">
        <v>48</v>
      </c>
      <c r="F15" s="22"/>
      <c r="G15" s="22"/>
      <c r="H15" s="22"/>
      <c r="I15" s="21">
        <v>2600.0</v>
      </c>
      <c r="J15" s="21"/>
      <c r="K15" s="22"/>
      <c r="L15" s="22"/>
      <c r="M15" s="21"/>
      <c r="N15" s="22"/>
      <c r="O15" s="22"/>
      <c r="P15" s="24">
        <v>2600.0</v>
      </c>
      <c r="Q15" s="25">
        <f t="shared" si="1"/>
        <v>0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34.5" customHeight="1">
      <c r="A16" s="16">
        <v>12.0</v>
      </c>
      <c r="B16" s="28">
        <v>45660.0</v>
      </c>
      <c r="C16" s="18" t="s">
        <v>49</v>
      </c>
      <c r="D16" s="19">
        <v>57499.0</v>
      </c>
      <c r="E16" s="20" t="s">
        <v>50</v>
      </c>
      <c r="F16" s="22"/>
      <c r="G16" s="22"/>
      <c r="H16" s="22"/>
      <c r="I16" s="21"/>
      <c r="J16" s="21">
        <v>1250.0</v>
      </c>
      <c r="K16" s="22"/>
      <c r="L16" s="22"/>
      <c r="M16" s="21"/>
      <c r="N16" s="22"/>
      <c r="O16" s="22"/>
      <c r="P16" s="24">
        <v>1250.0</v>
      </c>
      <c r="Q16" s="25">
        <f t="shared" si="1"/>
        <v>0</v>
      </c>
      <c r="R16" s="24" t="s">
        <v>31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34.5" customHeight="1">
      <c r="A17" s="16">
        <v>13.0</v>
      </c>
      <c r="B17" s="28">
        <v>45660.0</v>
      </c>
      <c r="C17" s="18" t="s">
        <v>51</v>
      </c>
      <c r="D17" s="19">
        <v>85849.0</v>
      </c>
      <c r="E17" s="20" t="s">
        <v>52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28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34.5" customHeight="1">
      <c r="A18" s="16">
        <v>14.0</v>
      </c>
      <c r="B18" s="28">
        <v>45660.0</v>
      </c>
      <c r="C18" s="18" t="s">
        <v>53</v>
      </c>
      <c r="D18" s="19">
        <v>58235.0</v>
      </c>
      <c r="E18" s="20" t="s">
        <v>54</v>
      </c>
      <c r="F18" s="22"/>
      <c r="G18" s="22"/>
      <c r="H18" s="22"/>
      <c r="I18" s="21">
        <v>1000.0</v>
      </c>
      <c r="J18" s="21"/>
      <c r="K18" s="22"/>
      <c r="L18" s="22"/>
      <c r="M18" s="22"/>
      <c r="N18" s="22"/>
      <c r="O18" s="22"/>
      <c r="P18" s="24">
        <v>1000.0</v>
      </c>
      <c r="Q18" s="25">
        <f t="shared" si="1"/>
        <v>0</v>
      </c>
      <c r="R18" s="24" t="s">
        <v>46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34.5" customHeight="1">
      <c r="A19" s="16">
        <v>15.0</v>
      </c>
      <c r="B19" s="28">
        <v>45660.0</v>
      </c>
      <c r="C19" s="18" t="s">
        <v>55</v>
      </c>
      <c r="D19" s="19">
        <v>67621.0</v>
      </c>
      <c r="E19" s="20" t="s">
        <v>56</v>
      </c>
      <c r="F19" s="22"/>
      <c r="G19" s="22"/>
      <c r="H19" s="22"/>
      <c r="I19" s="21">
        <v>150.0</v>
      </c>
      <c r="J19" s="21"/>
      <c r="K19" s="22"/>
      <c r="L19" s="22"/>
      <c r="M19" s="21"/>
      <c r="N19" s="22"/>
      <c r="O19" s="22"/>
      <c r="P19" s="24">
        <v>150.0</v>
      </c>
      <c r="Q19" s="25">
        <f t="shared" si="1"/>
        <v>0</v>
      </c>
      <c r="R19" s="24" t="s">
        <v>31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34.5" customHeight="1">
      <c r="A20" s="16">
        <v>16.0</v>
      </c>
      <c r="B20" s="28">
        <v>45660.0</v>
      </c>
      <c r="C20" s="18" t="s">
        <v>57</v>
      </c>
      <c r="D20" s="19">
        <v>66770.0</v>
      </c>
      <c r="E20" s="20" t="s">
        <v>58</v>
      </c>
      <c r="F20" s="22"/>
      <c r="G20" s="22"/>
      <c r="H20" s="22"/>
      <c r="I20" s="23"/>
      <c r="J20" s="23">
        <v>350.0</v>
      </c>
      <c r="K20" s="22"/>
      <c r="L20" s="22"/>
      <c r="M20" s="22"/>
      <c r="N20" s="22"/>
      <c r="O20" s="22"/>
      <c r="P20" s="24">
        <v>350.0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34.5" customHeight="1">
      <c r="A21" s="16">
        <v>17.0</v>
      </c>
      <c r="B21" s="28">
        <v>45660.0</v>
      </c>
      <c r="C21" s="18" t="s">
        <v>59</v>
      </c>
      <c r="D21" s="19">
        <v>48657.0</v>
      </c>
      <c r="E21" s="20" t="s">
        <v>60</v>
      </c>
      <c r="F21" s="21"/>
      <c r="G21" s="22"/>
      <c r="H21" s="22"/>
      <c r="I21" s="30">
        <v>2600.0</v>
      </c>
      <c r="J21" s="22"/>
      <c r="K21" s="31"/>
      <c r="L21" s="22"/>
      <c r="M21" s="22"/>
      <c r="N21" s="22"/>
      <c r="O21" s="22"/>
      <c r="P21" s="24">
        <v>2600.0</v>
      </c>
      <c r="Q21" s="25">
        <f t="shared" si="1"/>
        <v>0</v>
      </c>
      <c r="R21" s="24" t="s">
        <v>28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34.5" customHeight="1">
      <c r="A22" s="16">
        <v>18.0</v>
      </c>
      <c r="B22" s="28">
        <v>45660.0</v>
      </c>
      <c r="C22" s="18" t="s">
        <v>61</v>
      </c>
      <c r="D22" s="19">
        <v>54166.0</v>
      </c>
      <c r="E22" s="20" t="s">
        <v>62</v>
      </c>
      <c r="F22" s="21"/>
      <c r="G22" s="22"/>
      <c r="H22" s="22"/>
      <c r="I22" s="21">
        <v>5100.0</v>
      </c>
      <c r="J22" s="22"/>
      <c r="K22" s="21"/>
      <c r="L22" s="22"/>
      <c r="M22" s="22"/>
      <c r="N22" s="22"/>
      <c r="O22" s="22"/>
      <c r="P22" s="24">
        <v>5100.0</v>
      </c>
      <c r="Q22" s="25">
        <f t="shared" si="1"/>
        <v>0</v>
      </c>
      <c r="R22" s="24" t="s">
        <v>46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34.5" customHeight="1">
      <c r="A23" s="16">
        <v>19.0</v>
      </c>
      <c r="B23" s="32">
        <v>45660.0</v>
      </c>
      <c r="C23" s="33" t="s">
        <v>63</v>
      </c>
      <c r="D23" s="34">
        <v>57499.0</v>
      </c>
      <c r="E23" s="35" t="s">
        <v>50</v>
      </c>
      <c r="F23" s="30"/>
      <c r="G23" s="36"/>
      <c r="H23" s="36"/>
      <c r="I23" s="30"/>
      <c r="J23" s="30">
        <v>200.0</v>
      </c>
      <c r="K23" s="37"/>
      <c r="L23" s="36"/>
      <c r="M23" s="36"/>
      <c r="N23" s="36"/>
      <c r="O23" s="36"/>
      <c r="P23" s="38">
        <v>200.0</v>
      </c>
      <c r="Q23" s="25">
        <f t="shared" si="1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34.5" customHeight="1">
      <c r="A24" s="16">
        <v>20.0</v>
      </c>
      <c r="B24" s="28">
        <v>45660.0</v>
      </c>
      <c r="C24" s="18" t="s">
        <v>64</v>
      </c>
      <c r="D24" s="19">
        <v>21818.0</v>
      </c>
      <c r="E24" s="20" t="s">
        <v>65</v>
      </c>
      <c r="F24" s="21"/>
      <c r="G24" s="22"/>
      <c r="H24" s="22"/>
      <c r="I24" s="21"/>
      <c r="J24" s="22"/>
      <c r="K24" s="31">
        <v>4500.0</v>
      </c>
      <c r="L24" s="22"/>
      <c r="M24" s="22"/>
      <c r="N24" s="22"/>
      <c r="O24" s="22"/>
      <c r="P24" s="24">
        <v>4500.0</v>
      </c>
      <c r="Q24" s="25">
        <f t="shared" si="1"/>
        <v>0</v>
      </c>
      <c r="R24" s="24" t="s">
        <v>28</v>
      </c>
      <c r="S24" s="26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ht="34.5" customHeight="1">
      <c r="A25" s="16">
        <v>21.0</v>
      </c>
      <c r="B25" s="28">
        <v>45660.0</v>
      </c>
      <c r="C25" s="18" t="s">
        <v>66</v>
      </c>
      <c r="D25" s="19">
        <v>51406.0</v>
      </c>
      <c r="E25" s="20" t="s">
        <v>67</v>
      </c>
      <c r="F25" s="21"/>
      <c r="G25" s="22"/>
      <c r="H25" s="22"/>
      <c r="I25" s="21">
        <v>800.0</v>
      </c>
      <c r="J25" s="21"/>
      <c r="K25" s="31"/>
      <c r="L25" s="22"/>
      <c r="M25" s="22"/>
      <c r="N25" s="22"/>
      <c r="O25" s="22"/>
      <c r="P25" s="24">
        <v>800.0</v>
      </c>
      <c r="Q25" s="25">
        <f t="shared" si="1"/>
        <v>0</v>
      </c>
      <c r="R25" s="24" t="s">
        <v>46</v>
      </c>
      <c r="S25" s="26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ht="34.5" customHeight="1">
      <c r="A26" s="16">
        <v>22.0</v>
      </c>
      <c r="B26" s="28">
        <v>45660.0</v>
      </c>
      <c r="C26" s="18" t="s">
        <v>68</v>
      </c>
      <c r="D26" s="19">
        <v>21818.0</v>
      </c>
      <c r="E26" s="20" t="s">
        <v>65</v>
      </c>
      <c r="F26" s="21"/>
      <c r="G26" s="22"/>
      <c r="H26" s="22"/>
      <c r="I26" s="31"/>
      <c r="J26" s="21"/>
      <c r="K26" s="31">
        <v>5000.0</v>
      </c>
      <c r="L26" s="22"/>
      <c r="M26" s="22"/>
      <c r="N26" s="22"/>
      <c r="O26" s="22"/>
      <c r="P26" s="24">
        <v>5000.0</v>
      </c>
      <c r="Q26" s="25">
        <f t="shared" si="1"/>
        <v>0</v>
      </c>
      <c r="R26" s="24" t="s">
        <v>28</v>
      </c>
      <c r="S26" s="26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34.5" customHeight="1">
      <c r="A27" s="16">
        <v>23.0</v>
      </c>
      <c r="B27" s="28">
        <v>45660.0</v>
      </c>
      <c r="C27" s="18" t="s">
        <v>69</v>
      </c>
      <c r="D27" s="19">
        <v>62815.0</v>
      </c>
      <c r="E27" s="20" t="s">
        <v>70</v>
      </c>
      <c r="F27" s="21"/>
      <c r="G27" s="22"/>
      <c r="H27" s="22"/>
      <c r="I27" s="21">
        <v>17000.0</v>
      </c>
      <c r="J27" s="21"/>
      <c r="K27" s="23"/>
      <c r="L27" s="22"/>
      <c r="M27" s="22"/>
      <c r="N27" s="22"/>
      <c r="O27" s="22"/>
      <c r="P27" s="24">
        <v>17000.0</v>
      </c>
      <c r="Q27" s="25">
        <f t="shared" si="1"/>
        <v>0</v>
      </c>
      <c r="R27" s="24" t="s">
        <v>31</v>
      </c>
      <c r="S27" s="26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ht="34.5" customHeight="1">
      <c r="A28" s="16">
        <v>24.0</v>
      </c>
      <c r="B28" s="28">
        <v>45660.0</v>
      </c>
      <c r="C28" s="18" t="s">
        <v>71</v>
      </c>
      <c r="D28" s="19">
        <v>85850.0</v>
      </c>
      <c r="E28" s="20" t="s">
        <v>72</v>
      </c>
      <c r="F28" s="21"/>
      <c r="G28" s="22"/>
      <c r="H28" s="22"/>
      <c r="I28" s="21">
        <v>0.0</v>
      </c>
      <c r="J28" s="21"/>
      <c r="K28" s="23"/>
      <c r="L28" s="22"/>
      <c r="M28" s="22"/>
      <c r="N28" s="22"/>
      <c r="O28" s="22"/>
      <c r="P28" s="24">
        <v>300.0</v>
      </c>
      <c r="Q28" s="25">
        <f t="shared" si="1"/>
        <v>-300</v>
      </c>
      <c r="R28" s="24" t="s">
        <v>28</v>
      </c>
      <c r="S28" s="26" t="s">
        <v>73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34.5" customHeight="1">
      <c r="A29" s="16">
        <v>25.0</v>
      </c>
      <c r="B29" s="28">
        <v>45660.0</v>
      </c>
      <c r="C29" s="18" t="s">
        <v>74</v>
      </c>
      <c r="D29" s="19">
        <v>85850.0</v>
      </c>
      <c r="E29" s="20" t="s">
        <v>72</v>
      </c>
      <c r="F29" s="21"/>
      <c r="G29" s="22"/>
      <c r="H29" s="22"/>
      <c r="I29" s="21"/>
      <c r="J29" s="21">
        <v>300.0</v>
      </c>
      <c r="K29" s="23"/>
      <c r="L29" s="22"/>
      <c r="M29" s="22"/>
      <c r="N29" s="22"/>
      <c r="O29" s="22"/>
      <c r="P29" s="24">
        <v>300.0</v>
      </c>
      <c r="Q29" s="25">
        <f t="shared" si="1"/>
        <v>0</v>
      </c>
      <c r="R29" s="24" t="s">
        <v>28</v>
      </c>
      <c r="S29" s="26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34.5" customHeight="1">
      <c r="A30" s="16">
        <v>26.0</v>
      </c>
      <c r="B30" s="28">
        <v>45660.0</v>
      </c>
      <c r="C30" s="18" t="s">
        <v>75</v>
      </c>
      <c r="D30" s="19">
        <v>13781.0</v>
      </c>
      <c r="E30" s="20" t="s">
        <v>76</v>
      </c>
      <c r="F30" s="21"/>
      <c r="G30" s="22">
        <v>19250.0</v>
      </c>
      <c r="H30" s="22"/>
      <c r="I30" s="21"/>
      <c r="J30" s="21"/>
      <c r="K30" s="23"/>
      <c r="L30" s="22"/>
      <c r="M30" s="22"/>
      <c r="N30" s="22"/>
      <c r="O30" s="22"/>
      <c r="P30" s="24">
        <v>19250.0</v>
      </c>
      <c r="Q30" s="25">
        <f t="shared" si="1"/>
        <v>0</v>
      </c>
      <c r="R30" s="24" t="s">
        <v>28</v>
      </c>
      <c r="S30" s="26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34.5" customHeight="1">
      <c r="A31" s="16">
        <v>27.0</v>
      </c>
      <c r="B31" s="28">
        <v>45660.0</v>
      </c>
      <c r="C31" s="18" t="s">
        <v>77</v>
      </c>
      <c r="D31" s="19">
        <v>28414.0</v>
      </c>
      <c r="E31" s="20" t="s">
        <v>78</v>
      </c>
      <c r="F31" s="21"/>
      <c r="G31" s="22"/>
      <c r="H31" s="22"/>
      <c r="I31" s="21">
        <v>10000.0</v>
      </c>
      <c r="J31" s="21"/>
      <c r="K31" s="23"/>
      <c r="L31" s="22"/>
      <c r="M31" s="22"/>
      <c r="N31" s="22"/>
      <c r="O31" s="22"/>
      <c r="P31" s="24">
        <v>10000.0</v>
      </c>
      <c r="Q31" s="25">
        <f t="shared" si="1"/>
        <v>0</v>
      </c>
      <c r="R31" s="24" t="s">
        <v>28</v>
      </c>
      <c r="S31" s="26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ht="34.5" customHeight="1">
      <c r="A32" s="16">
        <v>28.0</v>
      </c>
      <c r="B32" s="28">
        <v>45660.0</v>
      </c>
      <c r="C32" s="18" t="s">
        <v>79</v>
      </c>
      <c r="D32" s="19">
        <v>21828.0</v>
      </c>
      <c r="E32" s="20" t="s">
        <v>80</v>
      </c>
      <c r="F32" s="21"/>
      <c r="G32" s="22">
        <v>8400.0</v>
      </c>
      <c r="H32" s="22"/>
      <c r="I32" s="21"/>
      <c r="J32" s="21"/>
      <c r="K32" s="23"/>
      <c r="L32" s="22"/>
      <c r="M32" s="22"/>
      <c r="N32" s="22"/>
      <c r="O32" s="22"/>
      <c r="P32" s="24">
        <v>8400.0</v>
      </c>
      <c r="Q32" s="25">
        <f t="shared" si="1"/>
        <v>0</v>
      </c>
      <c r="R32" s="24" t="s">
        <v>31</v>
      </c>
      <c r="S32" s="26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ht="34.5" customHeight="1">
      <c r="A33" s="16">
        <v>29.0</v>
      </c>
      <c r="B33" s="28">
        <v>45660.0</v>
      </c>
      <c r="C33" s="18" t="s">
        <v>81</v>
      </c>
      <c r="D33" s="19">
        <v>21818.0</v>
      </c>
      <c r="E33" s="20" t="s">
        <v>65</v>
      </c>
      <c r="F33" s="21"/>
      <c r="G33" s="22"/>
      <c r="H33" s="22"/>
      <c r="I33" s="21"/>
      <c r="J33" s="21"/>
      <c r="K33" s="23">
        <v>10000.0</v>
      </c>
      <c r="L33" s="22"/>
      <c r="M33" s="22"/>
      <c r="N33" s="22"/>
      <c r="O33" s="22"/>
      <c r="P33" s="24">
        <v>10000.0</v>
      </c>
      <c r="Q33" s="25">
        <f t="shared" si="1"/>
        <v>0</v>
      </c>
      <c r="R33" s="24" t="s">
        <v>28</v>
      </c>
      <c r="S33" s="26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 ht="34.5" customHeight="1">
      <c r="A34" s="16">
        <v>30.0</v>
      </c>
      <c r="B34" s="28">
        <v>45660.0</v>
      </c>
      <c r="C34" s="18" t="s">
        <v>82</v>
      </c>
      <c r="D34" s="19">
        <v>55173.0</v>
      </c>
      <c r="E34" s="20" t="s">
        <v>83</v>
      </c>
      <c r="F34" s="21"/>
      <c r="G34" s="22"/>
      <c r="H34" s="22"/>
      <c r="I34" s="21">
        <v>1100.0</v>
      </c>
      <c r="J34" s="21"/>
      <c r="K34" s="23"/>
      <c r="L34" s="22"/>
      <c r="M34" s="22"/>
      <c r="N34" s="22"/>
      <c r="O34" s="22"/>
      <c r="P34" s="24">
        <v>1100.0</v>
      </c>
      <c r="Q34" s="25">
        <f t="shared" si="1"/>
        <v>0</v>
      </c>
      <c r="R34" s="24" t="s">
        <v>28</v>
      </c>
      <c r="S34" s="26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34.5" customHeight="1">
      <c r="A35" s="16">
        <v>31.0</v>
      </c>
      <c r="B35" s="28">
        <v>45660.0</v>
      </c>
      <c r="C35" s="18" t="s">
        <v>84</v>
      </c>
      <c r="D35" s="19">
        <v>74778.0</v>
      </c>
      <c r="E35" s="20" t="s">
        <v>85</v>
      </c>
      <c r="F35" s="21"/>
      <c r="G35" s="22"/>
      <c r="H35" s="22"/>
      <c r="I35" s="21">
        <v>3500.0</v>
      </c>
      <c r="J35" s="21"/>
      <c r="K35" s="23"/>
      <c r="L35" s="22"/>
      <c r="M35" s="22"/>
      <c r="N35" s="22"/>
      <c r="O35" s="22"/>
      <c r="P35" s="24">
        <v>3500.0</v>
      </c>
      <c r="Q35" s="25">
        <f t="shared" si="1"/>
        <v>0</v>
      </c>
      <c r="R35" s="24" t="s">
        <v>28</v>
      </c>
      <c r="S35" s="26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34.5" customHeight="1">
      <c r="A36" s="16">
        <v>32.0</v>
      </c>
      <c r="B36" s="28">
        <v>45660.0</v>
      </c>
      <c r="C36" s="18" t="s">
        <v>86</v>
      </c>
      <c r="D36" s="19">
        <v>52427.0</v>
      </c>
      <c r="E36" s="20" t="s">
        <v>87</v>
      </c>
      <c r="F36" s="21"/>
      <c r="G36" s="22">
        <v>2500.0</v>
      </c>
      <c r="H36" s="22"/>
      <c r="I36" s="21"/>
      <c r="J36" s="21"/>
      <c r="K36" s="23"/>
      <c r="L36" s="22"/>
      <c r="M36" s="22"/>
      <c r="N36" s="22"/>
      <c r="O36" s="22"/>
      <c r="P36" s="24">
        <v>2500.0</v>
      </c>
      <c r="Q36" s="25">
        <f t="shared" si="1"/>
        <v>0</v>
      </c>
      <c r="R36" s="24" t="s">
        <v>46</v>
      </c>
      <c r="S36" s="26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34.5" customHeight="1">
      <c r="A37" s="16">
        <v>33.0</v>
      </c>
      <c r="B37" s="28">
        <v>45660.0</v>
      </c>
      <c r="C37" s="18" t="s">
        <v>88</v>
      </c>
      <c r="D37" s="19">
        <v>64951.0</v>
      </c>
      <c r="E37" s="20" t="s">
        <v>89</v>
      </c>
      <c r="F37" s="21"/>
      <c r="G37" s="22"/>
      <c r="H37" s="22"/>
      <c r="I37" s="21"/>
      <c r="J37" s="21">
        <v>10000.0</v>
      </c>
      <c r="K37" s="23"/>
      <c r="L37" s="22"/>
      <c r="M37" s="22"/>
      <c r="N37" s="22"/>
      <c r="O37" s="22"/>
      <c r="P37" s="24">
        <v>10000.0</v>
      </c>
      <c r="Q37" s="25">
        <f t="shared" si="1"/>
        <v>0</v>
      </c>
      <c r="R37" s="24" t="s">
        <v>46</v>
      </c>
      <c r="S37" s="26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t="34.5" customHeight="1">
      <c r="A38" s="16">
        <v>34.0</v>
      </c>
      <c r="B38" s="28">
        <v>45660.0</v>
      </c>
      <c r="C38" s="18" t="s">
        <v>90</v>
      </c>
      <c r="D38" s="19">
        <v>30894.0</v>
      </c>
      <c r="E38" s="20" t="s">
        <v>91</v>
      </c>
      <c r="F38" s="21"/>
      <c r="G38" s="22"/>
      <c r="H38" s="22"/>
      <c r="I38" s="21">
        <v>210.0</v>
      </c>
      <c r="J38" s="21"/>
      <c r="K38" s="23"/>
      <c r="L38" s="22"/>
      <c r="M38" s="22"/>
      <c r="N38" s="22"/>
      <c r="O38" s="22"/>
      <c r="P38" s="24">
        <v>210.0</v>
      </c>
      <c r="Q38" s="25">
        <f t="shared" si="1"/>
        <v>0</v>
      </c>
      <c r="R38" s="24" t="s">
        <v>46</v>
      </c>
      <c r="S38" s="26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34.5" customHeight="1">
      <c r="A39" s="16">
        <v>35.0</v>
      </c>
      <c r="B39" s="28">
        <v>45660.0</v>
      </c>
      <c r="C39" s="18" t="s">
        <v>92</v>
      </c>
      <c r="D39" s="19">
        <v>75989.0</v>
      </c>
      <c r="E39" s="20" t="s">
        <v>93</v>
      </c>
      <c r="F39" s="21"/>
      <c r="G39" s="22"/>
      <c r="H39" s="22"/>
      <c r="I39" s="21">
        <v>4000.0</v>
      </c>
      <c r="J39" s="21"/>
      <c r="K39" s="23"/>
      <c r="L39" s="22"/>
      <c r="M39" s="22"/>
      <c r="N39" s="22"/>
      <c r="O39" s="22"/>
      <c r="P39" s="24">
        <v>4000.0</v>
      </c>
      <c r="Q39" s="25">
        <f t="shared" si="1"/>
        <v>0</v>
      </c>
      <c r="R39" s="24" t="s">
        <v>46</v>
      </c>
      <c r="S39" s="26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34.5" customHeight="1">
      <c r="A40" s="16">
        <v>36.0</v>
      </c>
      <c r="B40" s="28">
        <v>45660.0</v>
      </c>
      <c r="C40" s="18" t="s">
        <v>94</v>
      </c>
      <c r="D40" s="19">
        <v>55562.0</v>
      </c>
      <c r="E40" s="20" t="s">
        <v>95</v>
      </c>
      <c r="F40" s="21"/>
      <c r="G40" s="22"/>
      <c r="H40" s="22"/>
      <c r="I40" s="21">
        <v>5000.0</v>
      </c>
      <c r="J40" s="21"/>
      <c r="K40" s="23"/>
      <c r="L40" s="22"/>
      <c r="M40" s="22"/>
      <c r="N40" s="22"/>
      <c r="O40" s="22"/>
      <c r="P40" s="24">
        <v>5000.0</v>
      </c>
      <c r="Q40" s="25">
        <f t="shared" si="1"/>
        <v>0</v>
      </c>
      <c r="R40" s="24" t="s">
        <v>31</v>
      </c>
      <c r="S40" s="26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ht="34.5" customHeight="1">
      <c r="A41" s="16">
        <v>37.0</v>
      </c>
      <c r="B41" s="28">
        <v>45660.0</v>
      </c>
      <c r="C41" s="18" t="s">
        <v>96</v>
      </c>
      <c r="D41" s="19">
        <v>55562.0</v>
      </c>
      <c r="E41" s="20" t="s">
        <v>95</v>
      </c>
      <c r="F41" s="21"/>
      <c r="G41" s="22"/>
      <c r="H41" s="22"/>
      <c r="I41" s="21">
        <v>5000.0</v>
      </c>
      <c r="J41" s="21"/>
      <c r="K41" s="23"/>
      <c r="L41" s="22"/>
      <c r="M41" s="22"/>
      <c r="N41" s="22"/>
      <c r="O41" s="22"/>
      <c r="P41" s="24">
        <v>5000.0</v>
      </c>
      <c r="Q41" s="25">
        <f t="shared" si="1"/>
        <v>0</v>
      </c>
      <c r="R41" s="24" t="s">
        <v>31</v>
      </c>
      <c r="S41" s="26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ht="34.5" customHeight="1">
      <c r="A42" s="16">
        <v>38.0</v>
      </c>
      <c r="B42" s="28">
        <v>45660.0</v>
      </c>
      <c r="C42" s="18" t="s">
        <v>97</v>
      </c>
      <c r="D42" s="19">
        <v>59103.0</v>
      </c>
      <c r="E42" s="20" t="s">
        <v>98</v>
      </c>
      <c r="F42" s="21"/>
      <c r="G42" s="22"/>
      <c r="H42" s="22"/>
      <c r="I42" s="21"/>
      <c r="J42" s="21"/>
      <c r="K42" s="23">
        <v>4500.0</v>
      </c>
      <c r="L42" s="22"/>
      <c r="M42" s="22"/>
      <c r="N42" s="22"/>
      <c r="O42" s="22"/>
      <c r="P42" s="24">
        <v>4500.0</v>
      </c>
      <c r="Q42" s="25">
        <f t="shared" si="1"/>
        <v>0</v>
      </c>
      <c r="R42" s="24" t="s">
        <v>46</v>
      </c>
      <c r="S42" s="26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t="34.5" customHeight="1">
      <c r="A43" s="16">
        <v>39.0</v>
      </c>
      <c r="B43" s="28">
        <v>45660.0</v>
      </c>
      <c r="C43" s="18" t="s">
        <v>99</v>
      </c>
      <c r="D43" s="19">
        <v>85851.0</v>
      </c>
      <c r="E43" s="20" t="s">
        <v>100</v>
      </c>
      <c r="F43" s="21"/>
      <c r="G43" s="22"/>
      <c r="H43" s="22"/>
      <c r="I43" s="21"/>
      <c r="J43" s="21">
        <v>300.0</v>
      </c>
      <c r="K43" s="23"/>
      <c r="L43" s="22"/>
      <c r="M43" s="22"/>
      <c r="N43" s="22"/>
      <c r="O43" s="22"/>
      <c r="P43" s="24">
        <v>300.0</v>
      </c>
      <c r="Q43" s="25">
        <f t="shared" si="1"/>
        <v>0</v>
      </c>
      <c r="R43" s="24" t="s">
        <v>46</v>
      </c>
      <c r="S43" s="26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 ht="34.5" customHeight="1">
      <c r="A44" s="16">
        <v>40.0</v>
      </c>
      <c r="B44" s="28">
        <v>45660.0</v>
      </c>
      <c r="C44" s="18" t="s">
        <v>101</v>
      </c>
      <c r="D44" s="19">
        <v>85852.0</v>
      </c>
      <c r="E44" s="20" t="s">
        <v>102</v>
      </c>
      <c r="F44" s="21"/>
      <c r="G44" s="22"/>
      <c r="H44" s="22"/>
      <c r="I44" s="21"/>
      <c r="J44" s="21">
        <v>300.0</v>
      </c>
      <c r="K44" s="23"/>
      <c r="L44" s="22"/>
      <c r="M44" s="22"/>
      <c r="N44" s="22"/>
      <c r="O44" s="22"/>
      <c r="P44" s="24">
        <v>300.0</v>
      </c>
      <c r="Q44" s="25">
        <f t="shared" si="1"/>
        <v>0</v>
      </c>
      <c r="R44" s="24" t="s">
        <v>28</v>
      </c>
      <c r="S44" s="26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ht="34.5" customHeight="1">
      <c r="A45" s="16">
        <v>41.0</v>
      </c>
      <c r="B45" s="28">
        <v>45660.0</v>
      </c>
      <c r="C45" s="18" t="s">
        <v>103</v>
      </c>
      <c r="D45" s="19">
        <v>31927.0</v>
      </c>
      <c r="E45" s="20" t="s">
        <v>104</v>
      </c>
      <c r="F45" s="21"/>
      <c r="G45" s="22"/>
      <c r="H45" s="22"/>
      <c r="I45" s="21"/>
      <c r="J45" s="21"/>
      <c r="K45" s="23"/>
      <c r="L45" s="22"/>
      <c r="M45" s="22">
        <v>2900.0</v>
      </c>
      <c r="N45" s="22"/>
      <c r="O45" s="22"/>
      <c r="P45" s="24">
        <v>2900.0</v>
      </c>
      <c r="Q45" s="25">
        <f t="shared" si="1"/>
        <v>0</v>
      </c>
      <c r="R45" s="24"/>
      <c r="S45" s="26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 ht="34.5" customHeight="1">
      <c r="A46" s="16">
        <v>42.0</v>
      </c>
      <c r="B46" s="28">
        <v>45660.0</v>
      </c>
      <c r="C46" s="18" t="s">
        <v>105</v>
      </c>
      <c r="D46" s="19">
        <v>35245.0</v>
      </c>
      <c r="E46" s="20" t="s">
        <v>106</v>
      </c>
      <c r="F46" s="21"/>
      <c r="G46" s="22"/>
      <c r="H46" s="22">
        <v>11500.0</v>
      </c>
      <c r="I46" s="21"/>
      <c r="J46" s="21"/>
      <c r="K46" s="23"/>
      <c r="L46" s="22"/>
      <c r="M46" s="22"/>
      <c r="N46" s="22"/>
      <c r="O46" s="22"/>
      <c r="P46" s="24">
        <v>11500.0</v>
      </c>
      <c r="Q46" s="25">
        <f t="shared" si="1"/>
        <v>0</v>
      </c>
      <c r="R46" s="24"/>
      <c r="S46" s="26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</row>
    <row r="47" ht="34.5" customHeight="1">
      <c r="A47" s="16">
        <v>43.0</v>
      </c>
      <c r="B47" s="28">
        <v>45660.0</v>
      </c>
      <c r="C47" s="18" t="s">
        <v>107</v>
      </c>
      <c r="D47" s="19">
        <v>50148.0</v>
      </c>
      <c r="E47" s="20" t="s">
        <v>108</v>
      </c>
      <c r="F47" s="21"/>
      <c r="G47" s="22"/>
      <c r="H47" s="22"/>
      <c r="I47" s="21"/>
      <c r="J47" s="21"/>
      <c r="K47" s="23">
        <v>5000.0</v>
      </c>
      <c r="L47" s="22"/>
      <c r="M47" s="22"/>
      <c r="N47" s="22"/>
      <c r="O47" s="22"/>
      <c r="P47" s="24">
        <v>5000.0</v>
      </c>
      <c r="Q47" s="25">
        <f t="shared" si="1"/>
        <v>0</v>
      </c>
      <c r="R47" s="24"/>
      <c r="S47" s="26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</row>
    <row r="48" ht="34.5" customHeight="1">
      <c r="A48" s="16">
        <v>44.0</v>
      </c>
      <c r="B48" s="28">
        <v>45660.0</v>
      </c>
      <c r="C48" s="18" t="s">
        <v>109</v>
      </c>
      <c r="D48" s="19">
        <v>67738.0</v>
      </c>
      <c r="E48" s="20" t="s">
        <v>110</v>
      </c>
      <c r="F48" s="21"/>
      <c r="G48" s="22"/>
      <c r="H48" s="22"/>
      <c r="I48" s="21"/>
      <c r="J48" s="21"/>
      <c r="K48" s="23"/>
      <c r="L48" s="22"/>
      <c r="M48" s="22">
        <v>1200.0</v>
      </c>
      <c r="N48" s="22"/>
      <c r="O48" s="22"/>
      <c r="P48" s="24">
        <v>1200.0</v>
      </c>
      <c r="Q48" s="25">
        <f t="shared" si="1"/>
        <v>0</v>
      </c>
      <c r="R48" s="24"/>
      <c r="S48" s="26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</row>
    <row r="49" ht="34.5" customHeight="1">
      <c r="A49" s="16">
        <v>45.0</v>
      </c>
      <c r="B49" s="28">
        <v>45660.0</v>
      </c>
      <c r="C49" s="18" t="s">
        <v>111</v>
      </c>
      <c r="D49" s="19">
        <v>56980.0</v>
      </c>
      <c r="E49" s="20" t="s">
        <v>112</v>
      </c>
      <c r="F49" s="21"/>
      <c r="G49" s="22"/>
      <c r="H49" s="22">
        <v>5100.0</v>
      </c>
      <c r="I49" s="21"/>
      <c r="J49" s="21"/>
      <c r="K49" s="23"/>
      <c r="L49" s="22"/>
      <c r="M49" s="22"/>
      <c r="N49" s="22"/>
      <c r="O49" s="22"/>
      <c r="P49" s="24">
        <v>5100.0</v>
      </c>
      <c r="Q49" s="25">
        <f t="shared" si="1"/>
        <v>0</v>
      </c>
      <c r="R49" s="24"/>
      <c r="S49" s="26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</row>
    <row r="50" ht="34.5" customHeight="1">
      <c r="A50" s="16">
        <v>46.0</v>
      </c>
      <c r="B50" s="28">
        <v>45660.0</v>
      </c>
      <c r="C50" s="18" t="s">
        <v>113</v>
      </c>
      <c r="D50" s="19">
        <v>85646.0</v>
      </c>
      <c r="E50" s="20" t="s">
        <v>114</v>
      </c>
      <c r="F50" s="21"/>
      <c r="G50" s="22"/>
      <c r="H50" s="22"/>
      <c r="I50" s="21"/>
      <c r="J50" s="21"/>
      <c r="K50" s="23"/>
      <c r="L50" s="22"/>
      <c r="M50" s="22">
        <v>6680.0</v>
      </c>
      <c r="N50" s="22"/>
      <c r="O50" s="22"/>
      <c r="P50" s="24">
        <v>6680.0</v>
      </c>
      <c r="Q50" s="25">
        <f t="shared" si="1"/>
        <v>0</v>
      </c>
      <c r="R50" s="24"/>
      <c r="S50" s="26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</row>
    <row r="51" ht="37.5" customHeight="1">
      <c r="A51" s="16"/>
      <c r="B51" s="40"/>
      <c r="C51" s="41"/>
      <c r="D51" s="42" t="s">
        <v>115</v>
      </c>
      <c r="E51" s="43"/>
      <c r="F51" s="44">
        <f t="shared" ref="F51:Q51" si="2">SUM(F5:F50)</f>
        <v>0</v>
      </c>
      <c r="G51" s="44">
        <f t="shared" si="2"/>
        <v>30150</v>
      </c>
      <c r="H51" s="44">
        <f t="shared" si="2"/>
        <v>16600</v>
      </c>
      <c r="I51" s="44">
        <f t="shared" si="2"/>
        <v>92225</v>
      </c>
      <c r="J51" s="44">
        <f t="shared" si="2"/>
        <v>27700</v>
      </c>
      <c r="K51" s="44">
        <f t="shared" si="2"/>
        <v>29000</v>
      </c>
      <c r="L51" s="44">
        <f t="shared" si="2"/>
        <v>0</v>
      </c>
      <c r="M51" s="44">
        <f t="shared" si="2"/>
        <v>13280</v>
      </c>
      <c r="N51" s="44">
        <f t="shared" si="2"/>
        <v>0</v>
      </c>
      <c r="O51" s="44">
        <f t="shared" si="2"/>
        <v>0</v>
      </c>
      <c r="P51" s="44">
        <f t="shared" si="2"/>
        <v>209255</v>
      </c>
      <c r="Q51" s="44">
        <f t="shared" si="2"/>
        <v>-300</v>
      </c>
      <c r="R51" s="45"/>
      <c r="S51" s="46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</row>
    <row r="52" ht="58.5" customHeight="1">
      <c r="A52" s="47"/>
      <c r="B52" s="47"/>
      <c r="C52" s="48"/>
      <c r="D52" s="47"/>
      <c r="E52" s="47"/>
      <c r="F52" s="49">
        <f>F51+G51+H51+I51+J51+K51+L51+M51+N51+O51</f>
        <v>208955</v>
      </c>
      <c r="P52" s="50"/>
      <c r="Q52" s="50"/>
      <c r="R52" s="47"/>
      <c r="S52" s="4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52" t="s">
        <v>115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51"/>
      <c r="D56" s="4"/>
      <c r="E56" s="53" t="s">
        <v>116</v>
      </c>
      <c r="F56" s="54" t="s">
        <v>117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51"/>
      <c r="D57" s="4"/>
      <c r="E57" s="55" t="s">
        <v>118</v>
      </c>
      <c r="F57" s="54" t="s">
        <v>119</v>
      </c>
      <c r="G57" s="4"/>
      <c r="H57" s="4"/>
      <c r="I57" s="4"/>
      <c r="J57" s="4"/>
      <c r="K57" s="4"/>
      <c r="L57" s="4"/>
      <c r="M57" s="4"/>
      <c r="N57" s="4"/>
      <c r="O57" s="56" t="s">
        <v>115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51"/>
      <c r="D58" s="4"/>
      <c r="E58" s="55" t="s">
        <v>120</v>
      </c>
      <c r="F58" s="54" t="s">
        <v>119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51"/>
      <c r="D59" s="4"/>
      <c r="E59" s="55" t="s">
        <v>121</v>
      </c>
      <c r="F59" s="54" t="s">
        <v>119</v>
      </c>
      <c r="G59" s="4"/>
      <c r="H59" s="4"/>
      <c r="I59" s="4"/>
      <c r="J59" s="4"/>
      <c r="K59" s="4" t="s">
        <v>115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51"/>
      <c r="D60" s="4"/>
      <c r="E60" s="55" t="s">
        <v>122</v>
      </c>
      <c r="F60" s="54" t="s">
        <v>119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51"/>
      <c r="D61" s="4"/>
      <c r="E61" s="55" t="s">
        <v>123</v>
      </c>
      <c r="F61" s="54" t="s">
        <v>119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51"/>
      <c r="D62" s="4"/>
      <c r="E62" s="55" t="s">
        <v>124</v>
      </c>
      <c r="F62" s="54" t="s">
        <v>125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51"/>
      <c r="D63" s="4"/>
      <c r="E63" s="55" t="s">
        <v>126</v>
      </c>
      <c r="F63" s="57" t="s">
        <v>117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6" t="s">
        <v>115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 t="str">
        <f>I72451</f>
        <v/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56" t="s">
        <v>127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>
        <v>7.0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7">
    <mergeCell ref="R2:R4"/>
    <mergeCell ref="S2:S4"/>
    <mergeCell ref="F3:F4"/>
    <mergeCell ref="G3:H3"/>
    <mergeCell ref="I3:J3"/>
    <mergeCell ref="K3:K4"/>
    <mergeCell ref="F52:O5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  <col customWidth="1" min="19" max="19" width="85.13"/>
  </cols>
  <sheetData>
    <row r="1" ht="69.0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45661.0</v>
      </c>
      <c r="C5" s="18" t="s">
        <v>129</v>
      </c>
      <c r="D5" s="19">
        <v>59244.0</v>
      </c>
      <c r="E5" s="20" t="s">
        <v>130</v>
      </c>
      <c r="F5" s="21"/>
      <c r="G5" s="22"/>
      <c r="H5" s="21"/>
      <c r="I5" s="23"/>
      <c r="J5" s="23">
        <v>250.0</v>
      </c>
      <c r="K5" s="22"/>
      <c r="L5" s="22"/>
      <c r="M5" s="21"/>
      <c r="N5" s="22"/>
      <c r="O5" s="22"/>
      <c r="P5" s="24">
        <v>250.0</v>
      </c>
      <c r="Q5" s="25">
        <f t="shared" ref="Q5:Q28" si="1">F5+G5+H5+I5+J5+K5+L5+M5+N5+O5-P5</f>
        <v>0</v>
      </c>
      <c r="R5" s="24" t="s">
        <v>46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34.5" customHeight="1">
      <c r="A6" s="16">
        <v>2.0</v>
      </c>
      <c r="B6" s="28">
        <v>45661.0</v>
      </c>
      <c r="C6" s="18" t="s">
        <v>131</v>
      </c>
      <c r="D6" s="19">
        <v>51040.0</v>
      </c>
      <c r="E6" s="20" t="s">
        <v>132</v>
      </c>
      <c r="F6" s="21"/>
      <c r="G6" s="22"/>
      <c r="H6" s="22"/>
      <c r="I6" s="21">
        <v>12500.0</v>
      </c>
      <c r="J6" s="22"/>
      <c r="K6" s="22"/>
      <c r="L6" s="22"/>
      <c r="M6" s="21"/>
      <c r="N6" s="22"/>
      <c r="O6" s="22"/>
      <c r="P6" s="24">
        <v>12500.0</v>
      </c>
      <c r="Q6" s="25">
        <f t="shared" si="1"/>
        <v>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34.5" customHeight="1">
      <c r="A7" s="16">
        <v>3.0</v>
      </c>
      <c r="B7" s="28">
        <v>45661.0</v>
      </c>
      <c r="C7" s="18" t="s">
        <v>133</v>
      </c>
      <c r="D7" s="19">
        <v>82764.0</v>
      </c>
      <c r="E7" s="20" t="s">
        <v>134</v>
      </c>
      <c r="F7" s="22"/>
      <c r="G7" s="22"/>
      <c r="H7" s="21"/>
      <c r="I7" s="21">
        <v>5100.0</v>
      </c>
      <c r="J7" s="23"/>
      <c r="K7" s="22"/>
      <c r="L7" s="22"/>
      <c r="M7" s="22"/>
      <c r="N7" s="22"/>
      <c r="O7" s="22"/>
      <c r="P7" s="24">
        <v>5100.0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34.5" customHeight="1">
      <c r="A8" s="16">
        <v>4.0</v>
      </c>
      <c r="B8" s="28">
        <v>45661.0</v>
      </c>
      <c r="C8" s="18" t="s">
        <v>135</v>
      </c>
      <c r="D8" s="19">
        <v>44149.0</v>
      </c>
      <c r="E8" s="20" t="s">
        <v>136</v>
      </c>
      <c r="F8" s="22"/>
      <c r="G8" s="22"/>
      <c r="H8" s="22"/>
      <c r="I8" s="21">
        <v>2600.0</v>
      </c>
      <c r="J8" s="21"/>
      <c r="K8" s="22"/>
      <c r="L8" s="22"/>
      <c r="M8" s="22"/>
      <c r="N8" s="22"/>
      <c r="O8" s="22"/>
      <c r="P8" s="24">
        <v>2600.0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34.5" customHeight="1">
      <c r="A9" s="16">
        <v>5.0</v>
      </c>
      <c r="B9" s="28">
        <v>45661.0</v>
      </c>
      <c r="C9" s="18" t="s">
        <v>137</v>
      </c>
      <c r="D9" s="19">
        <v>74087.0</v>
      </c>
      <c r="E9" s="20" t="s">
        <v>138</v>
      </c>
      <c r="F9" s="22"/>
      <c r="G9" s="22"/>
      <c r="H9" s="22"/>
      <c r="I9" s="21"/>
      <c r="J9" s="21">
        <v>5100.0</v>
      </c>
      <c r="K9" s="22"/>
      <c r="L9" s="22"/>
      <c r="M9" s="21"/>
      <c r="N9" s="22"/>
      <c r="O9" s="22"/>
      <c r="P9" s="24">
        <v>5100.0</v>
      </c>
      <c r="Q9" s="25">
        <f t="shared" si="1"/>
        <v>0</v>
      </c>
      <c r="R9" s="24" t="s">
        <v>46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34.5" customHeight="1">
      <c r="A10" s="16">
        <v>6.0</v>
      </c>
      <c r="B10" s="28">
        <v>45661.0</v>
      </c>
      <c r="C10" s="18" t="s">
        <v>139</v>
      </c>
      <c r="D10" s="19">
        <v>13209.0</v>
      </c>
      <c r="E10" s="20" t="s">
        <v>140</v>
      </c>
      <c r="F10" s="22"/>
      <c r="G10" s="22"/>
      <c r="H10" s="22"/>
      <c r="I10" s="21">
        <v>1300.0</v>
      </c>
      <c r="J10" s="21"/>
      <c r="K10" s="22"/>
      <c r="L10" s="22"/>
      <c r="M10" s="21"/>
      <c r="N10" s="22"/>
      <c r="O10" s="22"/>
      <c r="P10" s="24">
        <v>1300.0</v>
      </c>
      <c r="Q10" s="25">
        <f t="shared" si="1"/>
        <v>0</v>
      </c>
      <c r="R10" s="24" t="s">
        <v>31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34.5" customHeight="1">
      <c r="A11" s="16">
        <v>7.0</v>
      </c>
      <c r="B11" s="28">
        <v>45661.0</v>
      </c>
      <c r="C11" s="18" t="s">
        <v>141</v>
      </c>
      <c r="D11" s="19">
        <v>85855.0</v>
      </c>
      <c r="E11" s="20" t="s">
        <v>142</v>
      </c>
      <c r="F11" s="22"/>
      <c r="G11" s="22"/>
      <c r="H11" s="22"/>
      <c r="I11" s="21"/>
      <c r="J11" s="21">
        <v>300.0</v>
      </c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46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34.5" customHeight="1">
      <c r="A12" s="16">
        <v>8.0</v>
      </c>
      <c r="B12" s="28">
        <v>45661.0</v>
      </c>
      <c r="C12" s="18" t="s">
        <v>143</v>
      </c>
      <c r="D12" s="19">
        <v>52585.0</v>
      </c>
      <c r="E12" s="20" t="s">
        <v>144</v>
      </c>
      <c r="F12" s="22"/>
      <c r="G12" s="22"/>
      <c r="H12" s="22"/>
      <c r="I12" s="21"/>
      <c r="J12" s="21">
        <v>7600.0</v>
      </c>
      <c r="K12" s="22"/>
      <c r="L12" s="22"/>
      <c r="M12" s="21"/>
      <c r="N12" s="22"/>
      <c r="O12" s="22"/>
      <c r="P12" s="24">
        <v>7600.0</v>
      </c>
      <c r="Q12" s="25">
        <f t="shared" si="1"/>
        <v>0</v>
      </c>
      <c r="R12" s="24" t="s">
        <v>46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34.5" customHeight="1">
      <c r="A13" s="16">
        <v>9.0</v>
      </c>
      <c r="B13" s="28">
        <v>45661.0</v>
      </c>
      <c r="C13" s="18" t="s">
        <v>145</v>
      </c>
      <c r="D13" s="19">
        <v>59576.0</v>
      </c>
      <c r="E13" s="20" t="s">
        <v>146</v>
      </c>
      <c r="F13" s="22"/>
      <c r="G13" s="22"/>
      <c r="H13" s="22"/>
      <c r="I13" s="21"/>
      <c r="J13" s="21">
        <v>5100.0</v>
      </c>
      <c r="K13" s="22"/>
      <c r="L13" s="22"/>
      <c r="M13" s="21"/>
      <c r="N13" s="22"/>
      <c r="O13" s="22"/>
      <c r="P13" s="24">
        <v>5100.0</v>
      </c>
      <c r="Q13" s="25">
        <f t="shared" si="1"/>
        <v>0</v>
      </c>
      <c r="R13" s="24" t="s">
        <v>31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34.5" customHeight="1">
      <c r="A14" s="16">
        <v>10.0</v>
      </c>
      <c r="B14" s="28">
        <v>45661.0</v>
      </c>
      <c r="C14" s="18" t="s">
        <v>147</v>
      </c>
      <c r="D14" s="19">
        <v>10250.0</v>
      </c>
      <c r="E14" s="20" t="s">
        <v>148</v>
      </c>
      <c r="F14" s="22"/>
      <c r="G14" s="22"/>
      <c r="H14" s="22"/>
      <c r="I14" s="21">
        <v>19000.0</v>
      </c>
      <c r="J14" s="21"/>
      <c r="K14" s="22"/>
      <c r="L14" s="22"/>
      <c r="M14" s="21"/>
      <c r="N14" s="22"/>
      <c r="O14" s="22"/>
      <c r="P14" s="24">
        <v>19000.0</v>
      </c>
      <c r="Q14" s="25">
        <f t="shared" si="1"/>
        <v>0</v>
      </c>
      <c r="R14" s="24" t="s">
        <v>31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34.5" customHeight="1">
      <c r="A15" s="16">
        <v>11.0</v>
      </c>
      <c r="B15" s="28">
        <v>45661.0</v>
      </c>
      <c r="C15" s="18" t="s">
        <v>149</v>
      </c>
      <c r="D15" s="19">
        <v>26831.0</v>
      </c>
      <c r="E15" s="20" t="s">
        <v>150</v>
      </c>
      <c r="F15" s="22"/>
      <c r="G15" s="22"/>
      <c r="H15" s="22"/>
      <c r="I15" s="21"/>
      <c r="J15" s="21">
        <v>2760.0</v>
      </c>
      <c r="K15" s="22"/>
      <c r="L15" s="22"/>
      <c r="M15" s="21"/>
      <c r="N15" s="22"/>
      <c r="O15" s="22"/>
      <c r="P15" s="24">
        <v>2760.0</v>
      </c>
      <c r="Q15" s="25">
        <f t="shared" si="1"/>
        <v>0</v>
      </c>
      <c r="R15" s="24" t="s">
        <v>46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34.5" customHeight="1">
      <c r="A16" s="16">
        <v>12.0</v>
      </c>
      <c r="B16" s="28">
        <v>45661.0</v>
      </c>
      <c r="C16" s="18" t="s">
        <v>151</v>
      </c>
      <c r="D16" s="19">
        <v>32700.0</v>
      </c>
      <c r="E16" s="20" t="s">
        <v>152</v>
      </c>
      <c r="F16" s="22"/>
      <c r="G16" s="22"/>
      <c r="H16" s="22"/>
      <c r="I16" s="21"/>
      <c r="J16" s="21">
        <v>5100.0</v>
      </c>
      <c r="K16" s="22"/>
      <c r="L16" s="22"/>
      <c r="M16" s="21"/>
      <c r="N16" s="22"/>
      <c r="O16" s="22"/>
      <c r="P16" s="24">
        <v>5100.0</v>
      </c>
      <c r="Q16" s="25">
        <f t="shared" si="1"/>
        <v>0</v>
      </c>
      <c r="R16" s="24" t="s">
        <v>31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34.5" customHeight="1">
      <c r="A17" s="16">
        <v>13.0</v>
      </c>
      <c r="B17" s="28">
        <v>45661.0</v>
      </c>
      <c r="C17" s="18" t="s">
        <v>153</v>
      </c>
      <c r="D17" s="19">
        <v>50436.0</v>
      </c>
      <c r="E17" s="20" t="s">
        <v>154</v>
      </c>
      <c r="F17" s="22"/>
      <c r="G17" s="22"/>
      <c r="H17" s="22"/>
      <c r="I17" s="21">
        <v>9900.0</v>
      </c>
      <c r="J17" s="21"/>
      <c r="K17" s="22"/>
      <c r="L17" s="22"/>
      <c r="M17" s="21"/>
      <c r="N17" s="22"/>
      <c r="O17" s="22"/>
      <c r="P17" s="24">
        <v>9900.0</v>
      </c>
      <c r="Q17" s="25">
        <f t="shared" si="1"/>
        <v>0</v>
      </c>
      <c r="R17" s="24" t="s">
        <v>46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34.5" customHeight="1">
      <c r="A18" s="16">
        <v>14.0</v>
      </c>
      <c r="B18" s="28">
        <v>45661.0</v>
      </c>
      <c r="C18" s="18" t="s">
        <v>155</v>
      </c>
      <c r="D18" s="19">
        <v>67424.0</v>
      </c>
      <c r="E18" s="20" t="s">
        <v>156</v>
      </c>
      <c r="F18" s="22">
        <v>4700.0</v>
      </c>
      <c r="G18" s="22">
        <v>2300.0</v>
      </c>
      <c r="H18" s="22"/>
      <c r="I18" s="21"/>
      <c r="J18" s="21"/>
      <c r="K18" s="22"/>
      <c r="L18" s="22"/>
      <c r="M18" s="22"/>
      <c r="N18" s="22"/>
      <c r="O18" s="22"/>
      <c r="P18" s="24">
        <v>7000.0</v>
      </c>
      <c r="Q18" s="25">
        <f t="shared" si="1"/>
        <v>0</v>
      </c>
      <c r="R18" s="24" t="s">
        <v>31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34.5" customHeight="1">
      <c r="A19" s="16">
        <v>15.0</v>
      </c>
      <c r="B19" s="28">
        <v>45661.0</v>
      </c>
      <c r="C19" s="18" t="s">
        <v>157</v>
      </c>
      <c r="D19" s="19">
        <v>47787.0</v>
      </c>
      <c r="E19" s="20" t="s">
        <v>158</v>
      </c>
      <c r="F19" s="22"/>
      <c r="G19" s="22"/>
      <c r="H19" s="22">
        <v>10000.0</v>
      </c>
      <c r="I19" s="21"/>
      <c r="J19" s="21"/>
      <c r="K19" s="22"/>
      <c r="L19" s="22"/>
      <c r="M19" s="21"/>
      <c r="N19" s="22"/>
      <c r="O19" s="22"/>
      <c r="P19" s="24">
        <v>10000.0</v>
      </c>
      <c r="Q19" s="25">
        <f t="shared" si="1"/>
        <v>0</v>
      </c>
      <c r="R19" s="24" t="s">
        <v>46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34.5" customHeight="1">
      <c r="A20" s="16">
        <v>16.0</v>
      </c>
      <c r="B20" s="28">
        <v>45661.0</v>
      </c>
      <c r="C20" s="18" t="s">
        <v>159</v>
      </c>
      <c r="D20" s="19">
        <v>24368.0</v>
      </c>
      <c r="E20" s="20" t="s">
        <v>160</v>
      </c>
      <c r="F20" s="22"/>
      <c r="G20" s="22"/>
      <c r="H20" s="22"/>
      <c r="I20" s="23">
        <v>746.0</v>
      </c>
      <c r="J20" s="23"/>
      <c r="K20" s="22">
        <v>804.0</v>
      </c>
      <c r="L20" s="22"/>
      <c r="M20" s="22"/>
      <c r="N20" s="22"/>
      <c r="O20" s="22"/>
      <c r="P20" s="24">
        <v>1550.0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34.5" customHeight="1">
      <c r="A21" s="16">
        <v>17.0</v>
      </c>
      <c r="B21" s="28">
        <v>45661.0</v>
      </c>
      <c r="C21" s="18" t="s">
        <v>161</v>
      </c>
      <c r="D21" s="19">
        <v>85562.0</v>
      </c>
      <c r="E21" s="20" t="s">
        <v>162</v>
      </c>
      <c r="F21" s="21"/>
      <c r="G21" s="22"/>
      <c r="H21" s="22"/>
      <c r="I21" s="30"/>
      <c r="J21" s="22"/>
      <c r="K21" s="31"/>
      <c r="L21" s="22"/>
      <c r="M21" s="22">
        <v>2500.0</v>
      </c>
      <c r="N21" s="22"/>
      <c r="O21" s="22"/>
      <c r="P21" s="24">
        <v>2500.0</v>
      </c>
      <c r="Q21" s="25">
        <f t="shared" si="1"/>
        <v>0</v>
      </c>
      <c r="R21" s="24" t="s">
        <v>46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34.5" customHeight="1">
      <c r="A22" s="16">
        <v>18.0</v>
      </c>
      <c r="B22" s="28">
        <v>45661.0</v>
      </c>
      <c r="C22" s="18" t="s">
        <v>163</v>
      </c>
      <c r="D22" s="19">
        <v>85856.0</v>
      </c>
      <c r="E22" s="20" t="s">
        <v>164</v>
      </c>
      <c r="F22" s="21"/>
      <c r="G22" s="22"/>
      <c r="H22" s="22"/>
      <c r="I22" s="21">
        <v>300.0</v>
      </c>
      <c r="J22" s="22"/>
      <c r="K22" s="21"/>
      <c r="L22" s="22"/>
      <c r="M22" s="22"/>
      <c r="N22" s="22"/>
      <c r="O22" s="22"/>
      <c r="P22" s="24">
        <v>300.0</v>
      </c>
      <c r="Q22" s="25">
        <f t="shared" si="1"/>
        <v>0</v>
      </c>
      <c r="R22" s="24" t="s">
        <v>31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34.5" customHeight="1">
      <c r="A23" s="16">
        <v>19.0</v>
      </c>
      <c r="B23" s="32">
        <v>45661.0</v>
      </c>
      <c r="C23" s="33" t="s">
        <v>165</v>
      </c>
      <c r="D23" s="34">
        <v>54763.0</v>
      </c>
      <c r="E23" s="35" t="s">
        <v>24</v>
      </c>
      <c r="F23" s="30"/>
      <c r="G23" s="36"/>
      <c r="H23" s="36"/>
      <c r="I23" s="30">
        <v>7500.0</v>
      </c>
      <c r="J23" s="30"/>
      <c r="K23" s="37"/>
      <c r="L23" s="36"/>
      <c r="M23" s="36"/>
      <c r="N23" s="36"/>
      <c r="O23" s="36"/>
      <c r="P23" s="38">
        <v>7500.0</v>
      </c>
      <c r="Q23" s="25">
        <f t="shared" si="1"/>
        <v>0</v>
      </c>
      <c r="R23" s="38" t="s">
        <v>46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34.5" customHeight="1">
      <c r="A24" s="16">
        <v>20.0</v>
      </c>
      <c r="B24" s="28">
        <v>45660.0</v>
      </c>
      <c r="C24" s="18" t="s">
        <v>166</v>
      </c>
      <c r="D24" s="19">
        <v>51017.0</v>
      </c>
      <c r="E24" s="20" t="s">
        <v>167</v>
      </c>
      <c r="F24" s="21"/>
      <c r="G24" s="22"/>
      <c r="H24" s="22">
        <v>10000.0</v>
      </c>
      <c r="I24" s="21"/>
      <c r="J24" s="22"/>
      <c r="K24" s="31"/>
      <c r="L24" s="22"/>
      <c r="M24" s="22"/>
      <c r="N24" s="22"/>
      <c r="O24" s="22"/>
      <c r="P24" s="24">
        <v>10000.0</v>
      </c>
      <c r="Q24" s="25">
        <f t="shared" si="1"/>
        <v>0</v>
      </c>
      <c r="R24" s="24"/>
      <c r="S24" s="26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ht="34.5" customHeight="1">
      <c r="A25" s="16">
        <v>21.0</v>
      </c>
      <c r="B25" s="28">
        <v>45661.0</v>
      </c>
      <c r="C25" s="18" t="s">
        <v>168</v>
      </c>
      <c r="D25" s="19">
        <v>52669.0</v>
      </c>
      <c r="E25" s="20" t="s">
        <v>169</v>
      </c>
      <c r="F25" s="21"/>
      <c r="G25" s="22"/>
      <c r="H25" s="22">
        <v>16000.0</v>
      </c>
      <c r="I25" s="21"/>
      <c r="J25" s="21"/>
      <c r="K25" s="31"/>
      <c r="L25" s="22"/>
      <c r="M25" s="22"/>
      <c r="N25" s="22"/>
      <c r="O25" s="22"/>
      <c r="P25" s="24">
        <v>16000.0</v>
      </c>
      <c r="Q25" s="25">
        <f t="shared" si="1"/>
        <v>0</v>
      </c>
      <c r="R25" s="24"/>
      <c r="S25" s="26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ht="34.5" customHeight="1">
      <c r="A26" s="16"/>
      <c r="B26" s="28"/>
      <c r="C26" s="18"/>
      <c r="D26" s="19"/>
      <c r="E26" s="20"/>
      <c r="F26" s="21"/>
      <c r="G26" s="22"/>
      <c r="H26" s="22"/>
      <c r="I26" s="31"/>
      <c r="J26" s="21"/>
      <c r="K26" s="31"/>
      <c r="L26" s="22"/>
      <c r="M26" s="22"/>
      <c r="N26" s="22"/>
      <c r="O26" s="22"/>
      <c r="P26" s="24"/>
      <c r="Q26" s="25">
        <f t="shared" si="1"/>
        <v>0</v>
      </c>
      <c r="R26" s="24"/>
      <c r="S26" s="26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34.5" customHeight="1">
      <c r="A27" s="16"/>
      <c r="B27" s="28"/>
      <c r="C27" s="18"/>
      <c r="D27" s="19"/>
      <c r="E27" s="20"/>
      <c r="F27" s="21"/>
      <c r="G27" s="22"/>
      <c r="H27" s="22"/>
      <c r="I27" s="21"/>
      <c r="J27" s="21"/>
      <c r="K27" s="23"/>
      <c r="L27" s="22"/>
      <c r="M27" s="22"/>
      <c r="N27" s="22"/>
      <c r="O27" s="22"/>
      <c r="P27" s="24"/>
      <c r="Q27" s="25">
        <f t="shared" si="1"/>
        <v>0</v>
      </c>
      <c r="R27" s="24"/>
      <c r="S27" s="26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ht="34.5" customHeight="1">
      <c r="A28" s="16"/>
      <c r="B28" s="28"/>
      <c r="C28" s="18"/>
      <c r="D28" s="19"/>
      <c r="E28" s="20"/>
      <c r="F28" s="21"/>
      <c r="G28" s="22"/>
      <c r="H28" s="22"/>
      <c r="I28" s="21"/>
      <c r="J28" s="21"/>
      <c r="K28" s="23"/>
      <c r="L28" s="22"/>
      <c r="M28" s="22"/>
      <c r="N28" s="22"/>
      <c r="O28" s="22"/>
      <c r="P28" s="24"/>
      <c r="Q28" s="25">
        <f t="shared" si="1"/>
        <v>0</v>
      </c>
      <c r="R28" s="24"/>
      <c r="S28" s="26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37.5" customHeight="1">
      <c r="A29" s="16"/>
      <c r="B29" s="40"/>
      <c r="C29" s="41"/>
      <c r="D29" s="42" t="s">
        <v>115</v>
      </c>
      <c r="E29" s="43"/>
      <c r="F29" s="44">
        <f t="shared" ref="F29:Q29" si="2">SUM(F5:F28)</f>
        <v>4700</v>
      </c>
      <c r="G29" s="44">
        <f t="shared" si="2"/>
        <v>2300</v>
      </c>
      <c r="H29" s="44">
        <f t="shared" si="2"/>
        <v>36000</v>
      </c>
      <c r="I29" s="44">
        <f t="shared" si="2"/>
        <v>58946</v>
      </c>
      <c r="J29" s="44">
        <f t="shared" si="2"/>
        <v>26210</v>
      </c>
      <c r="K29" s="44">
        <f t="shared" si="2"/>
        <v>804</v>
      </c>
      <c r="L29" s="44">
        <f t="shared" si="2"/>
        <v>0</v>
      </c>
      <c r="M29" s="44">
        <f t="shared" si="2"/>
        <v>2500</v>
      </c>
      <c r="N29" s="44">
        <f t="shared" si="2"/>
        <v>0</v>
      </c>
      <c r="O29" s="44">
        <f t="shared" si="2"/>
        <v>0</v>
      </c>
      <c r="P29" s="44">
        <f t="shared" si="2"/>
        <v>131460</v>
      </c>
      <c r="Q29" s="44">
        <f t="shared" si="2"/>
        <v>0</v>
      </c>
      <c r="R29" s="45"/>
      <c r="S29" s="46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58.5" customHeight="1">
      <c r="A30" s="47"/>
      <c r="B30" s="47"/>
      <c r="C30" s="48"/>
      <c r="D30" s="47"/>
      <c r="E30" s="47"/>
      <c r="F30" s="49">
        <f>F29+G29+H29+I29+J29+K29+L29+M29+N29+O29</f>
        <v>131460</v>
      </c>
      <c r="P30" s="50"/>
      <c r="Q30" s="50"/>
      <c r="R30" s="47"/>
      <c r="S30" s="4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15.75" customHeight="1">
      <c r="A31" s="4"/>
      <c r="B31" s="4"/>
      <c r="C31" s="5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2" t="s">
        <v>115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1"/>
      <c r="D34" s="4"/>
      <c r="E34" s="53" t="s">
        <v>116</v>
      </c>
      <c r="F34" s="54" t="s">
        <v>117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1"/>
      <c r="D35" s="4"/>
      <c r="E35" s="55" t="s">
        <v>118</v>
      </c>
      <c r="F35" s="54" t="s">
        <v>170</v>
      </c>
      <c r="G35" s="4"/>
      <c r="H35" s="4"/>
      <c r="I35" s="4"/>
      <c r="J35" s="4"/>
      <c r="K35" s="4"/>
      <c r="L35" s="4"/>
      <c r="M35" s="4"/>
      <c r="N35" s="4"/>
      <c r="O35" s="56" t="s">
        <v>115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1"/>
      <c r="D36" s="4"/>
      <c r="E36" s="55" t="s">
        <v>120</v>
      </c>
      <c r="F36" s="54" t="s">
        <v>171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1"/>
      <c r="D37" s="4"/>
      <c r="E37" s="55" t="s">
        <v>121</v>
      </c>
      <c r="F37" s="54" t="s">
        <v>171</v>
      </c>
      <c r="G37" s="4"/>
      <c r="H37" s="4"/>
      <c r="I37" s="4"/>
      <c r="J37" s="4"/>
      <c r="K37" s="4" t="s">
        <v>115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1"/>
      <c r="D38" s="4"/>
      <c r="E38" s="55" t="s">
        <v>122</v>
      </c>
      <c r="F38" s="54" t="s">
        <v>172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1"/>
      <c r="D39" s="4"/>
      <c r="E39" s="55" t="s">
        <v>173</v>
      </c>
      <c r="F39" s="54" t="s">
        <v>171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1"/>
      <c r="D40" s="4"/>
      <c r="E40" s="55" t="s">
        <v>124</v>
      </c>
      <c r="F40" s="54" t="s">
        <v>125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1"/>
      <c r="D41" s="4"/>
      <c r="E41" s="55" t="s">
        <v>126</v>
      </c>
      <c r="F41" s="57" t="s">
        <v>117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6" t="s">
        <v>115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 t="str">
        <f>I72429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56" t="s">
        <v>127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>
        <v>7.0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7">
    <mergeCell ref="R2:R4"/>
    <mergeCell ref="S2:S4"/>
    <mergeCell ref="F3:F4"/>
    <mergeCell ref="G3:H3"/>
    <mergeCell ref="I3:J3"/>
    <mergeCell ref="K3:K4"/>
    <mergeCell ref="F30:O3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  <col customWidth="1" min="19" max="19" width="85.13"/>
  </cols>
  <sheetData>
    <row r="1" ht="69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45661.0</v>
      </c>
      <c r="C5" s="18" t="s">
        <v>175</v>
      </c>
      <c r="D5" s="19">
        <v>48657.0</v>
      </c>
      <c r="E5" s="20" t="s">
        <v>60</v>
      </c>
      <c r="F5" s="21"/>
      <c r="G5" s="22"/>
      <c r="H5" s="21"/>
      <c r="I5" s="23">
        <v>5050.0</v>
      </c>
      <c r="J5" s="23"/>
      <c r="K5" s="22">
        <v>50.0</v>
      </c>
      <c r="L5" s="22"/>
      <c r="M5" s="21"/>
      <c r="N5" s="22"/>
      <c r="O5" s="22"/>
      <c r="P5" s="24">
        <v>5100.0</v>
      </c>
      <c r="Q5" s="25">
        <f t="shared" ref="Q5:Q24" si="1">F5+G5+H5+I5+J5+K5+L5+M5+N5+O5-P5</f>
        <v>0</v>
      </c>
      <c r="R5" s="24" t="s">
        <v>46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34.5" customHeight="1">
      <c r="A6" s="16">
        <v>2.0</v>
      </c>
      <c r="B6" s="28">
        <v>45661.0</v>
      </c>
      <c r="C6" s="18" t="s">
        <v>176</v>
      </c>
      <c r="D6" s="19">
        <v>67621.0</v>
      </c>
      <c r="E6" s="20" t="s">
        <v>56</v>
      </c>
      <c r="F6" s="21"/>
      <c r="G6" s="22"/>
      <c r="H6" s="22"/>
      <c r="I6" s="21">
        <v>1400.0</v>
      </c>
      <c r="J6" s="22"/>
      <c r="K6" s="22"/>
      <c r="L6" s="22"/>
      <c r="M6" s="21"/>
      <c r="N6" s="22"/>
      <c r="O6" s="22"/>
      <c r="P6" s="24">
        <v>1400.0</v>
      </c>
      <c r="Q6" s="25">
        <f t="shared" si="1"/>
        <v>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34.5" customHeight="1">
      <c r="A7" s="16">
        <v>3.0</v>
      </c>
      <c r="B7" s="28">
        <v>45662.0</v>
      </c>
      <c r="C7" s="18" t="s">
        <v>177</v>
      </c>
      <c r="D7" s="19">
        <v>52418.0</v>
      </c>
      <c r="E7" s="20" t="s">
        <v>178</v>
      </c>
      <c r="F7" s="22"/>
      <c r="G7" s="22"/>
      <c r="H7" s="21"/>
      <c r="I7" s="21"/>
      <c r="J7" s="23">
        <v>7600.0</v>
      </c>
      <c r="K7" s="22"/>
      <c r="L7" s="22"/>
      <c r="M7" s="22"/>
      <c r="N7" s="22"/>
      <c r="O7" s="22"/>
      <c r="P7" s="24">
        <v>7600.0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34.5" customHeight="1">
      <c r="A8" s="16">
        <v>4.0</v>
      </c>
      <c r="B8" s="28">
        <v>45662.0</v>
      </c>
      <c r="C8" s="18" t="s">
        <v>179</v>
      </c>
      <c r="D8" s="19">
        <v>51876.0</v>
      </c>
      <c r="E8" s="20" t="s">
        <v>180</v>
      </c>
      <c r="F8" s="22"/>
      <c r="G8" s="22"/>
      <c r="H8" s="22"/>
      <c r="I8" s="21">
        <v>30000.0</v>
      </c>
      <c r="J8" s="21"/>
      <c r="K8" s="22"/>
      <c r="L8" s="22"/>
      <c r="M8" s="22"/>
      <c r="N8" s="22"/>
      <c r="O8" s="22"/>
      <c r="P8" s="24">
        <v>30000.0</v>
      </c>
      <c r="Q8" s="25">
        <f t="shared" si="1"/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34.5" customHeight="1">
      <c r="A9" s="16">
        <v>5.0</v>
      </c>
      <c r="B9" s="28">
        <v>45662.0</v>
      </c>
      <c r="C9" s="18" t="s">
        <v>181</v>
      </c>
      <c r="D9" s="19">
        <v>52611.0</v>
      </c>
      <c r="E9" s="20" t="s">
        <v>182</v>
      </c>
      <c r="F9" s="22"/>
      <c r="G9" s="22"/>
      <c r="H9" s="22"/>
      <c r="I9" s="21"/>
      <c r="J9" s="21">
        <v>2800.0</v>
      </c>
      <c r="K9" s="22"/>
      <c r="L9" s="22"/>
      <c r="M9" s="21"/>
      <c r="N9" s="22"/>
      <c r="O9" s="22"/>
      <c r="P9" s="24">
        <v>2800.0</v>
      </c>
      <c r="Q9" s="25">
        <f t="shared" si="1"/>
        <v>0</v>
      </c>
      <c r="R9" s="24" t="s">
        <v>46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34.5" customHeight="1">
      <c r="A10" s="16">
        <v>6.0</v>
      </c>
      <c r="B10" s="28">
        <v>45662.0</v>
      </c>
      <c r="C10" s="18" t="s">
        <v>183</v>
      </c>
      <c r="D10" s="19">
        <v>52611.0</v>
      </c>
      <c r="E10" s="20" t="s">
        <v>182</v>
      </c>
      <c r="F10" s="22"/>
      <c r="G10" s="22"/>
      <c r="H10" s="22"/>
      <c r="I10" s="21"/>
      <c r="J10" s="21">
        <v>100.0</v>
      </c>
      <c r="K10" s="22"/>
      <c r="L10" s="22"/>
      <c r="M10" s="21"/>
      <c r="N10" s="22"/>
      <c r="O10" s="22"/>
      <c r="P10" s="24">
        <v>100.0</v>
      </c>
      <c r="Q10" s="25">
        <f t="shared" si="1"/>
        <v>0</v>
      </c>
      <c r="R10" s="24" t="s">
        <v>46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34.5" customHeight="1">
      <c r="A11" s="16">
        <v>7.0</v>
      </c>
      <c r="B11" s="28">
        <v>45662.0</v>
      </c>
      <c r="C11" s="18" t="s">
        <v>184</v>
      </c>
      <c r="D11" s="19">
        <v>85860.0</v>
      </c>
      <c r="E11" s="20" t="s">
        <v>185</v>
      </c>
      <c r="F11" s="22"/>
      <c r="G11" s="22">
        <v>300.0</v>
      </c>
      <c r="H11" s="22"/>
      <c r="I11" s="21"/>
      <c r="J11" s="21"/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31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34.5" customHeight="1">
      <c r="A12" s="16">
        <v>8.0</v>
      </c>
      <c r="B12" s="28">
        <v>45662.0</v>
      </c>
      <c r="C12" s="18" t="s">
        <v>186</v>
      </c>
      <c r="D12" s="19">
        <v>85859.0</v>
      </c>
      <c r="E12" s="20" t="s">
        <v>187</v>
      </c>
      <c r="F12" s="22"/>
      <c r="G12" s="22">
        <v>4500.0</v>
      </c>
      <c r="H12" s="22"/>
      <c r="I12" s="21"/>
      <c r="J12" s="21"/>
      <c r="K12" s="22"/>
      <c r="L12" s="22"/>
      <c r="M12" s="21"/>
      <c r="N12" s="22"/>
      <c r="O12" s="22"/>
      <c r="P12" s="24">
        <v>4500.0</v>
      </c>
      <c r="Q12" s="25">
        <f t="shared" si="1"/>
        <v>0</v>
      </c>
      <c r="R12" s="24" t="s">
        <v>46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34.5" customHeight="1">
      <c r="A13" s="16">
        <v>9.0</v>
      </c>
      <c r="B13" s="28">
        <v>45662.0</v>
      </c>
      <c r="C13" s="18" t="s">
        <v>188</v>
      </c>
      <c r="D13" s="19">
        <v>85860.0</v>
      </c>
      <c r="E13" s="20" t="s">
        <v>185</v>
      </c>
      <c r="F13" s="22"/>
      <c r="G13" s="22">
        <v>2900.0</v>
      </c>
      <c r="H13" s="22"/>
      <c r="I13" s="21"/>
      <c r="J13" s="21"/>
      <c r="K13" s="22"/>
      <c r="L13" s="22"/>
      <c r="M13" s="21"/>
      <c r="N13" s="22"/>
      <c r="O13" s="22"/>
      <c r="P13" s="24">
        <v>2900.0</v>
      </c>
      <c r="Q13" s="25">
        <f t="shared" si="1"/>
        <v>0</v>
      </c>
      <c r="R13" s="24" t="s">
        <v>46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34.5" customHeight="1">
      <c r="A14" s="16">
        <v>10.0</v>
      </c>
      <c r="B14" s="28">
        <v>45662.0</v>
      </c>
      <c r="C14" s="18" t="s">
        <v>189</v>
      </c>
      <c r="D14" s="19">
        <v>83606.0</v>
      </c>
      <c r="E14" s="20" t="s">
        <v>190</v>
      </c>
      <c r="F14" s="22"/>
      <c r="G14" s="22"/>
      <c r="H14" s="22"/>
      <c r="I14" s="21">
        <v>5100.0</v>
      </c>
      <c r="J14" s="21"/>
      <c r="K14" s="22"/>
      <c r="L14" s="22"/>
      <c r="M14" s="21"/>
      <c r="N14" s="22"/>
      <c r="O14" s="22"/>
      <c r="P14" s="24">
        <v>5100.0</v>
      </c>
      <c r="Q14" s="25">
        <f t="shared" si="1"/>
        <v>0</v>
      </c>
      <c r="R14" s="24" t="s">
        <v>31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34.5" customHeight="1">
      <c r="A15" s="16">
        <v>11.0</v>
      </c>
      <c r="B15" s="28">
        <v>45662.0</v>
      </c>
      <c r="C15" s="18" t="s">
        <v>191</v>
      </c>
      <c r="D15" s="19">
        <v>37078.0</v>
      </c>
      <c r="E15" s="20" t="s">
        <v>192</v>
      </c>
      <c r="F15" s="22"/>
      <c r="G15" s="22"/>
      <c r="H15" s="22"/>
      <c r="I15" s="21">
        <v>1300.0</v>
      </c>
      <c r="J15" s="21"/>
      <c r="K15" s="22"/>
      <c r="L15" s="22"/>
      <c r="M15" s="21"/>
      <c r="N15" s="22"/>
      <c r="O15" s="22"/>
      <c r="P15" s="24">
        <v>1300.0</v>
      </c>
      <c r="Q15" s="25">
        <f t="shared" si="1"/>
        <v>0</v>
      </c>
      <c r="R15" s="24" t="s">
        <v>46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34.5" customHeight="1">
      <c r="A16" s="16">
        <v>12.0</v>
      </c>
      <c r="B16" s="28">
        <v>45662.0</v>
      </c>
      <c r="C16" s="18" t="s">
        <v>193</v>
      </c>
      <c r="D16" s="19">
        <v>36918.0</v>
      </c>
      <c r="E16" s="20" t="s">
        <v>35</v>
      </c>
      <c r="F16" s="22"/>
      <c r="G16" s="22"/>
      <c r="H16" s="22"/>
      <c r="I16" s="21">
        <v>10000.0</v>
      </c>
      <c r="J16" s="21"/>
      <c r="K16" s="22"/>
      <c r="L16" s="22"/>
      <c r="M16" s="21"/>
      <c r="N16" s="22"/>
      <c r="O16" s="22"/>
      <c r="P16" s="24">
        <v>10000.0</v>
      </c>
      <c r="Q16" s="25">
        <f t="shared" si="1"/>
        <v>0</v>
      </c>
      <c r="R16" s="24" t="s">
        <v>31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34.5" customHeight="1">
      <c r="A17" s="16">
        <v>13.0</v>
      </c>
      <c r="B17" s="28">
        <v>45662.0</v>
      </c>
      <c r="C17" s="18" t="s">
        <v>194</v>
      </c>
      <c r="D17" s="19">
        <v>85862.0</v>
      </c>
      <c r="E17" s="20" t="s">
        <v>195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31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34.5" customHeight="1">
      <c r="A18" s="16">
        <v>14.0</v>
      </c>
      <c r="B18" s="28">
        <v>45662.0</v>
      </c>
      <c r="C18" s="18" t="s">
        <v>196</v>
      </c>
      <c r="D18" s="19">
        <v>21818.0</v>
      </c>
      <c r="E18" s="20" t="s">
        <v>65</v>
      </c>
      <c r="F18" s="22"/>
      <c r="G18" s="22"/>
      <c r="H18" s="22"/>
      <c r="I18" s="21"/>
      <c r="J18" s="21"/>
      <c r="K18" s="22">
        <v>240.0</v>
      </c>
      <c r="L18" s="22"/>
      <c r="M18" s="22"/>
      <c r="N18" s="22"/>
      <c r="O18" s="22"/>
      <c r="P18" s="24">
        <v>240.0</v>
      </c>
      <c r="Q18" s="25">
        <f t="shared" si="1"/>
        <v>0</v>
      </c>
      <c r="R18" s="24" t="s">
        <v>46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34.5" customHeight="1">
      <c r="A19" s="16">
        <v>15.0</v>
      </c>
      <c r="B19" s="28">
        <v>45662.0</v>
      </c>
      <c r="C19" s="18" t="s">
        <v>197</v>
      </c>
      <c r="D19" s="19">
        <v>21971.0</v>
      </c>
      <c r="E19" s="20" t="s">
        <v>198</v>
      </c>
      <c r="F19" s="22"/>
      <c r="G19" s="22"/>
      <c r="H19" s="22"/>
      <c r="I19" s="21">
        <v>2600.0</v>
      </c>
      <c r="J19" s="21"/>
      <c r="K19" s="22"/>
      <c r="L19" s="22"/>
      <c r="M19" s="21"/>
      <c r="N19" s="22"/>
      <c r="O19" s="22"/>
      <c r="P19" s="24">
        <v>2600.0</v>
      </c>
      <c r="Q19" s="25">
        <f t="shared" si="1"/>
        <v>0</v>
      </c>
      <c r="R19" s="24" t="s">
        <v>46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34.5" customHeight="1">
      <c r="A20" s="16">
        <v>16.0</v>
      </c>
      <c r="B20" s="28">
        <v>45662.0</v>
      </c>
      <c r="C20" s="18" t="s">
        <v>199</v>
      </c>
      <c r="D20" s="19">
        <v>51309.0</v>
      </c>
      <c r="E20" s="20" t="s">
        <v>200</v>
      </c>
      <c r="F20" s="22"/>
      <c r="G20" s="22"/>
      <c r="H20" s="22"/>
      <c r="I20" s="23">
        <v>3700.0</v>
      </c>
      <c r="J20" s="23"/>
      <c r="K20" s="22"/>
      <c r="L20" s="22"/>
      <c r="M20" s="22"/>
      <c r="N20" s="22"/>
      <c r="O20" s="22"/>
      <c r="P20" s="24">
        <v>3700.0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34.5" customHeight="1">
      <c r="A21" s="16">
        <v>17.0</v>
      </c>
      <c r="B21" s="28">
        <v>45662.0</v>
      </c>
      <c r="C21" s="18" t="s">
        <v>201</v>
      </c>
      <c r="D21" s="19">
        <v>80636.0</v>
      </c>
      <c r="E21" s="20" t="s">
        <v>202</v>
      </c>
      <c r="F21" s="21"/>
      <c r="G21" s="22">
        <v>2750.0</v>
      </c>
      <c r="H21" s="22"/>
      <c r="I21" s="30"/>
      <c r="J21" s="22"/>
      <c r="K21" s="31"/>
      <c r="L21" s="22"/>
      <c r="M21" s="22"/>
      <c r="N21" s="22"/>
      <c r="O21" s="22"/>
      <c r="P21" s="24">
        <v>2750.0</v>
      </c>
      <c r="Q21" s="25">
        <f t="shared" si="1"/>
        <v>0</v>
      </c>
      <c r="R21" s="24" t="s">
        <v>46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34.5" customHeight="1">
      <c r="A22" s="16">
        <v>18.0</v>
      </c>
      <c r="B22" s="28">
        <v>45662.0</v>
      </c>
      <c r="C22" s="18" t="s">
        <v>203</v>
      </c>
      <c r="D22" s="19">
        <v>51782.0</v>
      </c>
      <c r="E22" s="20" t="s">
        <v>204</v>
      </c>
      <c r="F22" s="21"/>
      <c r="G22" s="22"/>
      <c r="H22" s="22">
        <v>2500.0</v>
      </c>
      <c r="I22" s="21"/>
      <c r="J22" s="22"/>
      <c r="K22" s="21"/>
      <c r="L22" s="22"/>
      <c r="M22" s="22"/>
      <c r="N22" s="22"/>
      <c r="O22" s="22"/>
      <c r="P22" s="24">
        <v>2500.0</v>
      </c>
      <c r="Q22" s="25">
        <f t="shared" si="1"/>
        <v>0</v>
      </c>
      <c r="R22" s="24"/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34.5" customHeight="1">
      <c r="A23" s="16">
        <v>19.0</v>
      </c>
      <c r="B23" s="32">
        <v>45662.0</v>
      </c>
      <c r="C23" s="33" t="s">
        <v>205</v>
      </c>
      <c r="D23" s="34">
        <v>47787.0</v>
      </c>
      <c r="E23" s="35" t="s">
        <v>158</v>
      </c>
      <c r="F23" s="30"/>
      <c r="G23" s="36"/>
      <c r="H23" s="36">
        <v>9500.0</v>
      </c>
      <c r="I23" s="30"/>
      <c r="J23" s="30"/>
      <c r="K23" s="37"/>
      <c r="L23" s="36"/>
      <c r="M23" s="36"/>
      <c r="N23" s="36"/>
      <c r="O23" s="36"/>
      <c r="P23" s="38">
        <v>9500.0</v>
      </c>
      <c r="Q23" s="25">
        <f t="shared" si="1"/>
        <v>0</v>
      </c>
      <c r="R23" s="38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34.5" customHeight="1">
      <c r="A24" s="16"/>
      <c r="B24" s="28"/>
      <c r="C24" s="18"/>
      <c r="D24" s="19"/>
      <c r="E24" s="20"/>
      <c r="F24" s="21"/>
      <c r="G24" s="22"/>
      <c r="H24" s="22"/>
      <c r="I24" s="21"/>
      <c r="J24" s="21"/>
      <c r="K24" s="23"/>
      <c r="L24" s="22"/>
      <c r="M24" s="22"/>
      <c r="N24" s="22"/>
      <c r="O24" s="22"/>
      <c r="P24" s="24"/>
      <c r="Q24" s="25">
        <f t="shared" si="1"/>
        <v>0</v>
      </c>
      <c r="R24" s="24"/>
      <c r="S24" s="26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ht="37.5" customHeight="1">
      <c r="A25" s="16"/>
      <c r="B25" s="40"/>
      <c r="C25" s="41"/>
      <c r="D25" s="42" t="s">
        <v>115</v>
      </c>
      <c r="E25" s="43"/>
      <c r="F25" s="44">
        <f t="shared" ref="F25:Q25" si="2">SUM(F5:F24)</f>
        <v>0</v>
      </c>
      <c r="G25" s="44">
        <f t="shared" si="2"/>
        <v>10450</v>
      </c>
      <c r="H25" s="44">
        <f t="shared" si="2"/>
        <v>12000</v>
      </c>
      <c r="I25" s="44">
        <f t="shared" si="2"/>
        <v>59450</v>
      </c>
      <c r="J25" s="44">
        <f t="shared" si="2"/>
        <v>10500</v>
      </c>
      <c r="K25" s="44">
        <f t="shared" si="2"/>
        <v>290</v>
      </c>
      <c r="L25" s="44">
        <f t="shared" si="2"/>
        <v>0</v>
      </c>
      <c r="M25" s="44">
        <f t="shared" si="2"/>
        <v>0</v>
      </c>
      <c r="N25" s="44">
        <f t="shared" si="2"/>
        <v>0</v>
      </c>
      <c r="O25" s="44">
        <f t="shared" si="2"/>
        <v>0</v>
      </c>
      <c r="P25" s="44">
        <f t="shared" si="2"/>
        <v>92690</v>
      </c>
      <c r="Q25" s="44">
        <f t="shared" si="2"/>
        <v>0</v>
      </c>
      <c r="R25" s="45"/>
      <c r="S25" s="46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ht="58.5" customHeight="1">
      <c r="A26" s="47"/>
      <c r="B26" s="47"/>
      <c r="C26" s="48"/>
      <c r="D26" s="47"/>
      <c r="E26" s="47"/>
      <c r="F26" s="49">
        <f>F25+G25+H25+I25+J25+K25+L25+M25+N25+O25</f>
        <v>92690</v>
      </c>
      <c r="P26" s="50"/>
      <c r="Q26" s="50"/>
      <c r="R26" s="47"/>
      <c r="S26" s="4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15.75" customHeight="1">
      <c r="A27" s="4"/>
      <c r="B27" s="4"/>
      <c r="C27" s="5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5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52" t="s">
        <v>115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51"/>
      <c r="D30" s="4"/>
      <c r="E30" s="53" t="s">
        <v>116</v>
      </c>
      <c r="F30" s="54" t="s">
        <v>117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1"/>
      <c r="D31" s="4"/>
      <c r="E31" s="55" t="s">
        <v>118</v>
      </c>
      <c r="F31" s="54" t="s">
        <v>171</v>
      </c>
      <c r="G31" s="4"/>
      <c r="H31" s="4"/>
      <c r="I31" s="4"/>
      <c r="J31" s="4"/>
      <c r="K31" s="4"/>
      <c r="L31" s="4"/>
      <c r="M31" s="4"/>
      <c r="N31" s="4"/>
      <c r="O31" s="56" t="s">
        <v>115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1"/>
      <c r="D32" s="4"/>
      <c r="E32" s="55" t="s">
        <v>120</v>
      </c>
      <c r="F32" s="54" t="s">
        <v>171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1"/>
      <c r="D33" s="4"/>
      <c r="E33" s="55" t="s">
        <v>121</v>
      </c>
      <c r="F33" s="54" t="s">
        <v>170</v>
      </c>
      <c r="G33" s="4"/>
      <c r="H33" s="4"/>
      <c r="I33" s="4"/>
      <c r="J33" s="4"/>
      <c r="K33" s="4" t="s">
        <v>115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1"/>
      <c r="D34" s="4"/>
      <c r="E34" s="55" t="s">
        <v>122</v>
      </c>
      <c r="F34" s="54" t="s">
        <v>172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1"/>
      <c r="D35" s="4"/>
      <c r="E35" s="55" t="s">
        <v>206</v>
      </c>
      <c r="F35" s="54" t="s">
        <v>171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1"/>
      <c r="D36" s="4"/>
      <c r="E36" s="55" t="s">
        <v>124</v>
      </c>
      <c r="F36" s="54" t="s">
        <v>125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1"/>
      <c r="D37" s="4"/>
      <c r="E37" s="55" t="s">
        <v>126</v>
      </c>
      <c r="F37" s="57" t="s">
        <v>117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6" t="s">
        <v>115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1"/>
      <c r="D38" s="4"/>
      <c r="E38" s="4"/>
      <c r="F38" s="4"/>
      <c r="G38" s="4"/>
      <c r="H38" s="4"/>
      <c r="I38" s="4"/>
      <c r="J38" s="4"/>
      <c r="K38" s="4" t="str">
        <f>I72425</f>
        <v/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56" t="s">
        <v>127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>
        <v>7.0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17">
    <mergeCell ref="R2:R4"/>
    <mergeCell ref="S2:S4"/>
    <mergeCell ref="F3:F4"/>
    <mergeCell ref="G3:H3"/>
    <mergeCell ref="I3:J3"/>
    <mergeCell ref="K3:K4"/>
    <mergeCell ref="F26:O2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7.88"/>
    <col customWidth="1" min="3" max="3" width="33.5"/>
    <col customWidth="1" min="4" max="4" width="17.88"/>
    <col customWidth="1" min="5" max="5" width="55.5"/>
    <col customWidth="1" min="6" max="16" width="17.88"/>
    <col customWidth="1" min="17" max="17" width="10.38"/>
    <col customWidth="1" min="18" max="18" width="16.0"/>
    <col customWidth="1" min="19" max="19" width="24.5"/>
  </cols>
  <sheetData>
    <row r="1" ht="69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45662.0</v>
      </c>
      <c r="C5" s="18" t="s">
        <v>208</v>
      </c>
      <c r="D5" s="19">
        <v>10001.0</v>
      </c>
      <c r="E5" s="20" t="s">
        <v>209</v>
      </c>
      <c r="F5" s="21"/>
      <c r="G5" s="22"/>
      <c r="H5" s="21"/>
      <c r="I5" s="23">
        <v>4500.0</v>
      </c>
      <c r="J5" s="23"/>
      <c r="K5" s="22"/>
      <c r="L5" s="22"/>
      <c r="M5" s="21"/>
      <c r="N5" s="22"/>
      <c r="O5" s="22"/>
      <c r="P5" s="24">
        <v>4500.0</v>
      </c>
      <c r="Q5" s="25">
        <f t="shared" ref="Q5:Q27" si="1">F5+G5+H5+I5+J5+K5+L5+M5+N5+O5-P5</f>
        <v>0</v>
      </c>
      <c r="R5" s="24" t="s">
        <v>46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34.5" customHeight="1">
      <c r="A6" s="16">
        <v>2.0</v>
      </c>
      <c r="B6" s="28">
        <v>45663.0</v>
      </c>
      <c r="C6" s="18" t="s">
        <v>210</v>
      </c>
      <c r="D6" s="19">
        <v>22727.0</v>
      </c>
      <c r="E6" s="20" t="s">
        <v>211</v>
      </c>
      <c r="F6" s="21"/>
      <c r="G6" s="22"/>
      <c r="H6" s="22"/>
      <c r="I6" s="21">
        <v>5350.0</v>
      </c>
      <c r="J6" s="22"/>
      <c r="K6" s="22"/>
      <c r="L6" s="22"/>
      <c r="M6" s="21"/>
      <c r="N6" s="22"/>
      <c r="O6" s="22"/>
      <c r="P6" s="24">
        <v>5350.0</v>
      </c>
      <c r="Q6" s="25">
        <f t="shared" si="1"/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34.5" customHeight="1">
      <c r="A7" s="16">
        <v>3.0</v>
      </c>
      <c r="B7" s="28">
        <v>45663.0</v>
      </c>
      <c r="C7" s="18" t="s">
        <v>212</v>
      </c>
      <c r="D7" s="19">
        <v>80423.0</v>
      </c>
      <c r="E7" s="20" t="s">
        <v>213</v>
      </c>
      <c r="F7" s="22"/>
      <c r="G7" s="22"/>
      <c r="H7" s="21"/>
      <c r="I7" s="21">
        <v>17000.0</v>
      </c>
      <c r="J7" s="23"/>
      <c r="K7" s="22"/>
      <c r="L7" s="22"/>
      <c r="M7" s="22"/>
      <c r="N7" s="22"/>
      <c r="O7" s="22"/>
      <c r="P7" s="24">
        <v>17000.0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34.5" customHeight="1">
      <c r="A8" s="16">
        <v>4.0</v>
      </c>
      <c r="B8" s="28">
        <v>45663.0</v>
      </c>
      <c r="C8" s="18" t="s">
        <v>214</v>
      </c>
      <c r="D8" s="19">
        <v>67248.0</v>
      </c>
      <c r="E8" s="20" t="s">
        <v>215</v>
      </c>
      <c r="F8" s="22"/>
      <c r="G8" s="22"/>
      <c r="H8" s="22"/>
      <c r="I8" s="21"/>
      <c r="J8" s="21">
        <v>1500.0</v>
      </c>
      <c r="K8" s="22"/>
      <c r="L8" s="22"/>
      <c r="M8" s="22"/>
      <c r="N8" s="22"/>
      <c r="O8" s="22"/>
      <c r="P8" s="24">
        <v>1500.0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34.5" customHeight="1">
      <c r="A9" s="16">
        <v>5.0</v>
      </c>
      <c r="B9" s="28">
        <v>45663.0</v>
      </c>
      <c r="C9" s="18" t="s">
        <v>216</v>
      </c>
      <c r="D9" s="19">
        <v>25376.0</v>
      </c>
      <c r="E9" s="20" t="s">
        <v>217</v>
      </c>
      <c r="F9" s="22"/>
      <c r="G9" s="22"/>
      <c r="H9" s="22"/>
      <c r="I9" s="21"/>
      <c r="J9" s="21"/>
      <c r="K9" s="22"/>
      <c r="L9" s="22"/>
      <c r="M9" s="21">
        <v>10400.0</v>
      </c>
      <c r="N9" s="22"/>
      <c r="O9" s="22"/>
      <c r="P9" s="24">
        <v>10400.0</v>
      </c>
      <c r="Q9" s="25">
        <f t="shared" si="1"/>
        <v>0</v>
      </c>
      <c r="R9" s="24" t="s">
        <v>28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34.5" customHeight="1">
      <c r="A10" s="16">
        <v>6.0</v>
      </c>
      <c r="B10" s="28">
        <v>45663.0</v>
      </c>
      <c r="C10" s="18" t="s">
        <v>218</v>
      </c>
      <c r="D10" s="19">
        <v>35227.0</v>
      </c>
      <c r="E10" s="20" t="s">
        <v>219</v>
      </c>
      <c r="F10" s="22"/>
      <c r="G10" s="22">
        <v>3400.0</v>
      </c>
      <c r="H10" s="22"/>
      <c r="I10" s="21"/>
      <c r="J10" s="21"/>
      <c r="K10" s="22"/>
      <c r="L10" s="22"/>
      <c r="M10" s="21"/>
      <c r="N10" s="22"/>
      <c r="O10" s="22"/>
      <c r="P10" s="24">
        <v>3400.0</v>
      </c>
      <c r="Q10" s="25">
        <f t="shared" si="1"/>
        <v>0</v>
      </c>
      <c r="R10" s="24" t="s">
        <v>46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34.5" customHeight="1">
      <c r="A11" s="16">
        <v>7.0</v>
      </c>
      <c r="B11" s="28">
        <v>45663.0</v>
      </c>
      <c r="C11" s="18" t="s">
        <v>220</v>
      </c>
      <c r="D11" s="19">
        <v>79487.0</v>
      </c>
      <c r="E11" s="20" t="s">
        <v>221</v>
      </c>
      <c r="F11" s="22"/>
      <c r="G11" s="22"/>
      <c r="H11" s="22"/>
      <c r="I11" s="21"/>
      <c r="J11" s="21"/>
      <c r="K11" s="22"/>
      <c r="L11" s="22"/>
      <c r="M11" s="21">
        <v>2600.0</v>
      </c>
      <c r="N11" s="22"/>
      <c r="O11" s="22"/>
      <c r="P11" s="24">
        <v>2600.0</v>
      </c>
      <c r="Q11" s="25">
        <f t="shared" si="1"/>
        <v>0</v>
      </c>
      <c r="R11" s="24" t="s">
        <v>31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34.5" customHeight="1">
      <c r="A12" s="16">
        <v>8.0</v>
      </c>
      <c r="B12" s="28">
        <v>45663.0</v>
      </c>
      <c r="C12" s="18" t="s">
        <v>222</v>
      </c>
      <c r="D12" s="19">
        <v>44149.0</v>
      </c>
      <c r="E12" s="20" t="s">
        <v>136</v>
      </c>
      <c r="F12" s="22"/>
      <c r="G12" s="22"/>
      <c r="H12" s="22"/>
      <c r="I12" s="21">
        <v>2600.0</v>
      </c>
      <c r="J12" s="21"/>
      <c r="K12" s="22"/>
      <c r="L12" s="22"/>
      <c r="M12" s="21"/>
      <c r="N12" s="22"/>
      <c r="O12" s="22"/>
      <c r="P12" s="24">
        <v>2600.0</v>
      </c>
      <c r="Q12" s="25">
        <f t="shared" si="1"/>
        <v>0</v>
      </c>
      <c r="R12" s="24" t="s">
        <v>31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34.5" customHeight="1">
      <c r="A13" s="16">
        <v>9.0</v>
      </c>
      <c r="B13" s="28">
        <v>45663.0</v>
      </c>
      <c r="C13" s="18" t="s">
        <v>223</v>
      </c>
      <c r="D13" s="19">
        <v>67621.0</v>
      </c>
      <c r="E13" s="20" t="s">
        <v>56</v>
      </c>
      <c r="F13" s="22"/>
      <c r="G13" s="22"/>
      <c r="H13" s="22"/>
      <c r="I13" s="21">
        <v>4500.0</v>
      </c>
      <c r="J13" s="21"/>
      <c r="K13" s="22"/>
      <c r="L13" s="22"/>
      <c r="M13" s="21"/>
      <c r="N13" s="22"/>
      <c r="O13" s="22"/>
      <c r="P13" s="24">
        <v>4500.0</v>
      </c>
      <c r="Q13" s="25">
        <f t="shared" si="1"/>
        <v>0</v>
      </c>
      <c r="R13" s="24" t="s">
        <v>31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34.5" customHeight="1">
      <c r="A14" s="16">
        <v>10.0</v>
      </c>
      <c r="B14" s="28">
        <v>45663.0</v>
      </c>
      <c r="C14" s="18" t="s">
        <v>224</v>
      </c>
      <c r="D14" s="19">
        <v>58257.0</v>
      </c>
      <c r="E14" s="20" t="s">
        <v>225</v>
      </c>
      <c r="F14" s="22">
        <v>400.0</v>
      </c>
      <c r="G14" s="22"/>
      <c r="H14" s="22"/>
      <c r="I14" s="21"/>
      <c r="J14" s="21"/>
      <c r="K14" s="22">
        <v>2000.0</v>
      </c>
      <c r="L14" s="22"/>
      <c r="M14" s="21"/>
      <c r="N14" s="22"/>
      <c r="O14" s="22"/>
      <c r="P14" s="24">
        <v>2400.0</v>
      </c>
      <c r="Q14" s="25">
        <f t="shared" si="1"/>
        <v>0</v>
      </c>
      <c r="R14" s="24" t="s">
        <v>46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34.5" customHeight="1">
      <c r="A15" s="16">
        <v>11.0</v>
      </c>
      <c r="B15" s="28">
        <v>45663.0</v>
      </c>
      <c r="C15" s="18" t="s">
        <v>226</v>
      </c>
      <c r="D15" s="19">
        <v>48471.0</v>
      </c>
      <c r="E15" s="20" t="s">
        <v>227</v>
      </c>
      <c r="F15" s="22"/>
      <c r="G15" s="22"/>
      <c r="H15" s="22"/>
      <c r="I15" s="21">
        <v>5100.0</v>
      </c>
      <c r="J15" s="21"/>
      <c r="K15" s="22"/>
      <c r="L15" s="22"/>
      <c r="M15" s="21"/>
      <c r="N15" s="22"/>
      <c r="O15" s="22"/>
      <c r="P15" s="24">
        <v>5100.0</v>
      </c>
      <c r="Q15" s="25">
        <f t="shared" si="1"/>
        <v>0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34.5" customHeight="1">
      <c r="A16" s="16">
        <v>12.0</v>
      </c>
      <c r="B16" s="28">
        <v>45663.0</v>
      </c>
      <c r="C16" s="18" t="s">
        <v>228</v>
      </c>
      <c r="D16" s="19">
        <v>49682.0</v>
      </c>
      <c r="E16" s="20" t="s">
        <v>229</v>
      </c>
      <c r="F16" s="22"/>
      <c r="G16" s="22"/>
      <c r="H16" s="22"/>
      <c r="I16" s="21">
        <v>2700.0</v>
      </c>
      <c r="J16" s="21"/>
      <c r="K16" s="22"/>
      <c r="L16" s="22"/>
      <c r="M16" s="21"/>
      <c r="N16" s="22"/>
      <c r="O16" s="22"/>
      <c r="P16" s="24">
        <v>2700.0</v>
      </c>
      <c r="Q16" s="25">
        <f t="shared" si="1"/>
        <v>0</v>
      </c>
      <c r="R16" s="24" t="s">
        <v>28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34.5" customHeight="1">
      <c r="A17" s="16">
        <v>13.0</v>
      </c>
      <c r="B17" s="28">
        <v>45663.0</v>
      </c>
      <c r="C17" s="18" t="s">
        <v>230</v>
      </c>
      <c r="D17" s="19">
        <v>85241.0</v>
      </c>
      <c r="E17" s="20" t="s">
        <v>231</v>
      </c>
      <c r="F17" s="22"/>
      <c r="G17" s="22"/>
      <c r="H17" s="22"/>
      <c r="I17" s="21"/>
      <c r="J17" s="21">
        <v>4600.0</v>
      </c>
      <c r="K17" s="22"/>
      <c r="L17" s="22"/>
      <c r="M17" s="21"/>
      <c r="N17" s="22"/>
      <c r="O17" s="22"/>
      <c r="P17" s="24">
        <v>4600.0</v>
      </c>
      <c r="Q17" s="25">
        <f t="shared" si="1"/>
        <v>0</v>
      </c>
      <c r="R17" s="24" t="s">
        <v>46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34.5" customHeight="1">
      <c r="A18" s="16">
        <v>14.0</v>
      </c>
      <c r="B18" s="28">
        <v>45663.0</v>
      </c>
      <c r="C18" s="18" t="s">
        <v>232</v>
      </c>
      <c r="D18" s="19">
        <v>81040.0</v>
      </c>
      <c r="E18" s="20" t="s">
        <v>233</v>
      </c>
      <c r="F18" s="22"/>
      <c r="G18" s="22"/>
      <c r="H18" s="22"/>
      <c r="I18" s="21">
        <v>10000.0</v>
      </c>
      <c r="J18" s="21"/>
      <c r="K18" s="22"/>
      <c r="L18" s="22"/>
      <c r="M18" s="22"/>
      <c r="N18" s="22"/>
      <c r="O18" s="22"/>
      <c r="P18" s="24">
        <v>10000.0</v>
      </c>
      <c r="Q18" s="25">
        <f t="shared" si="1"/>
        <v>0</v>
      </c>
      <c r="R18" s="24" t="s">
        <v>31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34.5" customHeight="1">
      <c r="A19" s="16">
        <v>15.0</v>
      </c>
      <c r="B19" s="28">
        <v>45663.0</v>
      </c>
      <c r="C19" s="18" t="s">
        <v>234</v>
      </c>
      <c r="D19" s="19">
        <v>58257.0</v>
      </c>
      <c r="E19" s="20" t="s">
        <v>225</v>
      </c>
      <c r="F19" s="22">
        <v>1000.0</v>
      </c>
      <c r="G19" s="22"/>
      <c r="H19" s="22"/>
      <c r="I19" s="21"/>
      <c r="J19" s="21"/>
      <c r="K19" s="22"/>
      <c r="L19" s="22"/>
      <c r="M19" s="21"/>
      <c r="N19" s="22"/>
      <c r="O19" s="22"/>
      <c r="P19" s="24">
        <v>1000.0</v>
      </c>
      <c r="Q19" s="25">
        <f t="shared" si="1"/>
        <v>0</v>
      </c>
      <c r="R19" s="24" t="s">
        <v>46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34.5" customHeight="1">
      <c r="A20" s="16">
        <v>16.0</v>
      </c>
      <c r="B20" s="28">
        <v>45663.0</v>
      </c>
      <c r="C20" s="18" t="s">
        <v>235</v>
      </c>
      <c r="D20" s="19">
        <v>77665.0</v>
      </c>
      <c r="E20" s="20" t="s">
        <v>236</v>
      </c>
      <c r="F20" s="22"/>
      <c r="G20" s="22"/>
      <c r="H20" s="22"/>
      <c r="I20" s="23"/>
      <c r="J20" s="23">
        <v>7600.0</v>
      </c>
      <c r="K20" s="22"/>
      <c r="L20" s="22"/>
      <c r="M20" s="22"/>
      <c r="N20" s="22"/>
      <c r="O20" s="22"/>
      <c r="P20" s="24">
        <v>7600.0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34.5" customHeight="1">
      <c r="A21" s="16">
        <v>17.0</v>
      </c>
      <c r="B21" s="28">
        <v>45663.0</v>
      </c>
      <c r="C21" s="18" t="s">
        <v>237</v>
      </c>
      <c r="D21" s="19">
        <v>48387.0</v>
      </c>
      <c r="E21" s="20" t="s">
        <v>238</v>
      </c>
      <c r="F21" s="21"/>
      <c r="G21" s="22"/>
      <c r="H21" s="22"/>
      <c r="I21" s="30">
        <v>10000.0</v>
      </c>
      <c r="J21" s="22"/>
      <c r="K21" s="31"/>
      <c r="L21" s="22"/>
      <c r="M21" s="22"/>
      <c r="N21" s="22"/>
      <c r="O21" s="22"/>
      <c r="P21" s="24">
        <v>10000.0</v>
      </c>
      <c r="Q21" s="25">
        <f t="shared" si="1"/>
        <v>0</v>
      </c>
      <c r="R21" s="24" t="s">
        <v>31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34.5" customHeight="1">
      <c r="A22" s="16">
        <v>18.0</v>
      </c>
      <c r="B22" s="28">
        <v>45663.0</v>
      </c>
      <c r="C22" s="18" t="s">
        <v>239</v>
      </c>
      <c r="D22" s="19">
        <v>47576.0</v>
      </c>
      <c r="E22" s="20" t="s">
        <v>48</v>
      </c>
      <c r="F22" s="21"/>
      <c r="G22" s="22"/>
      <c r="H22" s="22"/>
      <c r="I22" s="21">
        <v>2800.0</v>
      </c>
      <c r="J22" s="22"/>
      <c r="K22" s="21"/>
      <c r="L22" s="22"/>
      <c r="M22" s="22"/>
      <c r="N22" s="22"/>
      <c r="O22" s="22"/>
      <c r="P22" s="24">
        <v>2800.0</v>
      </c>
      <c r="Q22" s="25">
        <f t="shared" si="1"/>
        <v>0</v>
      </c>
      <c r="R22" s="24" t="s">
        <v>31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34.5" customHeight="1">
      <c r="A23" s="16">
        <v>19.0</v>
      </c>
      <c r="B23" s="32">
        <v>45663.0</v>
      </c>
      <c r="C23" s="33" t="s">
        <v>240</v>
      </c>
      <c r="D23" s="34">
        <v>55446.0</v>
      </c>
      <c r="E23" s="35" t="s">
        <v>241</v>
      </c>
      <c r="F23" s="30"/>
      <c r="G23" s="36"/>
      <c r="H23" s="36">
        <v>2500.0</v>
      </c>
      <c r="I23" s="30"/>
      <c r="J23" s="30"/>
      <c r="K23" s="37"/>
      <c r="L23" s="36"/>
      <c r="M23" s="36"/>
      <c r="N23" s="36"/>
      <c r="O23" s="36"/>
      <c r="P23" s="38">
        <v>2500.0</v>
      </c>
      <c r="Q23" s="25">
        <f t="shared" si="1"/>
        <v>0</v>
      </c>
      <c r="R23" s="38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34.5" customHeight="1">
      <c r="A24" s="16">
        <v>20.0</v>
      </c>
      <c r="B24" s="32">
        <v>45663.0</v>
      </c>
      <c r="C24" s="33" t="s">
        <v>242</v>
      </c>
      <c r="D24" s="34">
        <v>51782.0</v>
      </c>
      <c r="E24" s="35" t="s">
        <v>204</v>
      </c>
      <c r="F24" s="30"/>
      <c r="G24" s="36"/>
      <c r="H24" s="36">
        <v>2500.0</v>
      </c>
      <c r="I24" s="30"/>
      <c r="J24" s="30"/>
      <c r="K24" s="37"/>
      <c r="L24" s="36"/>
      <c r="M24" s="36"/>
      <c r="N24" s="36"/>
      <c r="O24" s="36"/>
      <c r="P24" s="38">
        <v>2500.0</v>
      </c>
      <c r="Q24" s="25">
        <f t="shared" si="1"/>
        <v>0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34.5" customHeight="1">
      <c r="A25" s="16">
        <v>21.0</v>
      </c>
      <c r="B25" s="32">
        <v>45663.0</v>
      </c>
      <c r="C25" s="33" t="s">
        <v>243</v>
      </c>
      <c r="D25" s="34">
        <v>58633.0</v>
      </c>
      <c r="E25" s="35" t="s">
        <v>244</v>
      </c>
      <c r="F25" s="30"/>
      <c r="G25" s="36"/>
      <c r="H25" s="36"/>
      <c r="I25" s="30"/>
      <c r="J25" s="30"/>
      <c r="K25" s="37">
        <v>5000.0</v>
      </c>
      <c r="L25" s="36"/>
      <c r="M25" s="36"/>
      <c r="N25" s="36"/>
      <c r="O25" s="36"/>
      <c r="P25" s="38">
        <v>5000.0</v>
      </c>
      <c r="Q25" s="25">
        <f t="shared" si="1"/>
        <v>0</v>
      </c>
      <c r="R25" s="38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34.5" customHeight="1">
      <c r="A26" s="16">
        <v>22.0</v>
      </c>
      <c r="B26" s="32">
        <v>45663.0</v>
      </c>
      <c r="C26" s="33" t="s">
        <v>245</v>
      </c>
      <c r="D26" s="34">
        <v>59137.0</v>
      </c>
      <c r="E26" s="35" t="s">
        <v>246</v>
      </c>
      <c r="F26" s="30"/>
      <c r="G26" s="36"/>
      <c r="H26" s="36">
        <v>5900.0</v>
      </c>
      <c r="I26" s="30"/>
      <c r="J26" s="30"/>
      <c r="K26" s="37"/>
      <c r="L26" s="36"/>
      <c r="M26" s="36"/>
      <c r="N26" s="36"/>
      <c r="O26" s="36"/>
      <c r="P26" s="38">
        <v>5900.0</v>
      </c>
      <c r="Q26" s="25">
        <f t="shared" si="1"/>
        <v>0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34.5" customHeight="1">
      <c r="A27" s="16">
        <v>23.0</v>
      </c>
      <c r="B27" s="32">
        <v>45663.0</v>
      </c>
      <c r="C27" s="33" t="s">
        <v>247</v>
      </c>
      <c r="D27" s="34">
        <v>85648.0</v>
      </c>
      <c r="E27" s="35" t="s">
        <v>248</v>
      </c>
      <c r="F27" s="30"/>
      <c r="G27" s="36"/>
      <c r="H27" s="36"/>
      <c r="I27" s="30"/>
      <c r="J27" s="30"/>
      <c r="K27" s="37">
        <v>4500.0</v>
      </c>
      <c r="L27" s="36"/>
      <c r="M27" s="36"/>
      <c r="N27" s="36"/>
      <c r="O27" s="36"/>
      <c r="P27" s="38">
        <v>4500.0</v>
      </c>
      <c r="Q27" s="25">
        <f t="shared" si="1"/>
        <v>0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37.5" customHeight="1">
      <c r="A28" s="16"/>
      <c r="B28" s="40"/>
      <c r="C28" s="41"/>
      <c r="D28" s="42" t="s">
        <v>115</v>
      </c>
      <c r="E28" s="43"/>
      <c r="F28" s="44">
        <f t="shared" ref="F28:Q28" si="2">SUM(F5:F27)</f>
        <v>1400</v>
      </c>
      <c r="G28" s="44">
        <f t="shared" si="2"/>
        <v>3400</v>
      </c>
      <c r="H28" s="44">
        <f t="shared" si="2"/>
        <v>10900</v>
      </c>
      <c r="I28" s="44">
        <f t="shared" si="2"/>
        <v>64550</v>
      </c>
      <c r="J28" s="44">
        <f t="shared" si="2"/>
        <v>13700</v>
      </c>
      <c r="K28" s="44">
        <f t="shared" si="2"/>
        <v>11500</v>
      </c>
      <c r="L28" s="44">
        <f t="shared" si="2"/>
        <v>0</v>
      </c>
      <c r="M28" s="44">
        <f t="shared" si="2"/>
        <v>13000</v>
      </c>
      <c r="N28" s="44">
        <f t="shared" si="2"/>
        <v>0</v>
      </c>
      <c r="O28" s="44">
        <f t="shared" si="2"/>
        <v>0</v>
      </c>
      <c r="P28" s="44">
        <f t="shared" si="2"/>
        <v>118450</v>
      </c>
      <c r="Q28" s="44">
        <f t="shared" si="2"/>
        <v>0</v>
      </c>
      <c r="R28" s="45"/>
      <c r="S28" s="46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58.5" customHeight="1">
      <c r="A29" s="47"/>
      <c r="B29" s="47"/>
      <c r="C29" s="48"/>
      <c r="D29" s="47"/>
      <c r="E29" s="47"/>
      <c r="F29" s="49">
        <f>F28+G28+H28+I28+J28+K28+L28+M28+N28+O28</f>
        <v>118450</v>
      </c>
      <c r="P29" s="50"/>
      <c r="Q29" s="50"/>
      <c r="R29" s="47"/>
      <c r="S29" s="4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15.75" customHeight="1">
      <c r="A30" s="4"/>
      <c r="B30" s="4"/>
      <c r="C30" s="5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5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52" t="s">
        <v>115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51"/>
      <c r="D33" s="4"/>
      <c r="E33" s="53" t="s">
        <v>116</v>
      </c>
      <c r="F33" s="54" t="s">
        <v>117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51"/>
      <c r="D34" s="4"/>
      <c r="E34" s="55" t="s">
        <v>118</v>
      </c>
      <c r="F34" s="54" t="s">
        <v>170</v>
      </c>
      <c r="G34" s="4"/>
      <c r="H34" s="4"/>
      <c r="I34" s="4"/>
      <c r="J34" s="4"/>
      <c r="K34" s="4"/>
      <c r="L34" s="4"/>
      <c r="M34" s="4"/>
      <c r="N34" s="4"/>
      <c r="O34" s="56" t="s">
        <v>115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51"/>
      <c r="D35" s="4"/>
      <c r="E35" s="55" t="s">
        <v>120</v>
      </c>
      <c r="F35" s="54" t="s">
        <v>171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51"/>
      <c r="D36" s="4"/>
      <c r="E36" s="55" t="s">
        <v>121</v>
      </c>
      <c r="F36" s="54" t="s">
        <v>119</v>
      </c>
      <c r="G36" s="4"/>
      <c r="H36" s="4"/>
      <c r="I36" s="4"/>
      <c r="J36" s="4"/>
      <c r="K36" s="4" t="s">
        <v>115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51"/>
      <c r="D37" s="4"/>
      <c r="E37" s="55" t="s">
        <v>122</v>
      </c>
      <c r="F37" s="54" t="s">
        <v>249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51"/>
      <c r="D38" s="4"/>
      <c r="E38" s="55" t="s">
        <v>250</v>
      </c>
      <c r="F38" s="54" t="s">
        <v>119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51"/>
      <c r="D39" s="4"/>
      <c r="E39" s="55" t="s">
        <v>124</v>
      </c>
      <c r="F39" s="54" t="s">
        <v>125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51"/>
      <c r="D40" s="4"/>
      <c r="E40" s="55" t="s">
        <v>126</v>
      </c>
      <c r="F40" s="57" t="s">
        <v>117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6" t="s">
        <v>115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 t="str">
        <f>I72428</f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56" t="s">
        <v>127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>
        <v>7.0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7">
    <mergeCell ref="R2:R4"/>
    <mergeCell ref="S2:S4"/>
    <mergeCell ref="F3:F4"/>
    <mergeCell ref="G3:H3"/>
    <mergeCell ref="I3:J3"/>
    <mergeCell ref="K3:K4"/>
    <mergeCell ref="F29:O2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73.3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69.0" customHeight="1">
      <c r="A1" s="58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8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9" t="s">
        <v>252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37.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2.0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2.0" customHeight="1">
      <c r="A5" s="16">
        <v>1.0</v>
      </c>
      <c r="B5" s="17">
        <v>45663.0</v>
      </c>
      <c r="C5" s="18" t="s">
        <v>253</v>
      </c>
      <c r="D5" s="19">
        <v>51301.0</v>
      </c>
      <c r="E5" s="20" t="s">
        <v>254</v>
      </c>
      <c r="F5" s="21">
        <v>240.0</v>
      </c>
      <c r="G5" s="22"/>
      <c r="H5" s="21"/>
      <c r="I5" s="23"/>
      <c r="J5" s="23"/>
      <c r="K5" s="22"/>
      <c r="L5" s="22"/>
      <c r="M5" s="21"/>
      <c r="N5" s="22"/>
      <c r="O5" s="22"/>
      <c r="P5" s="24">
        <v>240.0</v>
      </c>
      <c r="Q5" s="25" t="s">
        <v>255</v>
      </c>
      <c r="R5" s="24" t="s">
        <v>46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42.0" customHeight="1">
      <c r="A6" s="16">
        <v>2.0</v>
      </c>
      <c r="B6" s="28">
        <v>45663.0</v>
      </c>
      <c r="C6" s="18" t="s">
        <v>256</v>
      </c>
      <c r="D6" s="19">
        <v>42278.0</v>
      </c>
      <c r="E6" s="20" t="s">
        <v>257</v>
      </c>
      <c r="F6" s="21"/>
      <c r="G6" s="22">
        <v>7500.0</v>
      </c>
      <c r="H6" s="22"/>
      <c r="I6" s="21"/>
      <c r="J6" s="22"/>
      <c r="K6" s="22"/>
      <c r="L6" s="22"/>
      <c r="M6" s="21"/>
      <c r="N6" s="22"/>
      <c r="O6" s="22"/>
      <c r="P6" s="24">
        <v>7500.0</v>
      </c>
      <c r="Q6" s="25" t="s">
        <v>255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2.0" customHeight="1">
      <c r="A7" s="16">
        <v>3.0</v>
      </c>
      <c r="B7" s="28">
        <v>45663.0</v>
      </c>
      <c r="C7" s="18" t="s">
        <v>258</v>
      </c>
      <c r="D7" s="19">
        <v>42278.0</v>
      </c>
      <c r="E7" s="20" t="s">
        <v>257</v>
      </c>
      <c r="F7" s="22"/>
      <c r="G7" s="22">
        <v>10000.0</v>
      </c>
      <c r="H7" s="21"/>
      <c r="I7" s="21"/>
      <c r="J7" s="23"/>
      <c r="K7" s="22"/>
      <c r="L7" s="22"/>
      <c r="M7" s="22"/>
      <c r="N7" s="22"/>
      <c r="O7" s="22"/>
      <c r="P7" s="24">
        <v>10000.0</v>
      </c>
      <c r="Q7" s="25" t="s">
        <v>255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2.0" customHeight="1">
      <c r="A8" s="16">
        <v>4.0</v>
      </c>
      <c r="B8" s="28">
        <v>45664.0</v>
      </c>
      <c r="C8" s="18" t="s">
        <v>259</v>
      </c>
      <c r="D8" s="19">
        <v>67621.0</v>
      </c>
      <c r="E8" s="20" t="s">
        <v>56</v>
      </c>
      <c r="F8" s="22"/>
      <c r="G8" s="22"/>
      <c r="H8" s="22"/>
      <c r="I8" s="21">
        <v>5000.0</v>
      </c>
      <c r="J8" s="21"/>
      <c r="K8" s="22"/>
      <c r="L8" s="22"/>
      <c r="M8" s="22"/>
      <c r="N8" s="22"/>
      <c r="O8" s="22"/>
      <c r="P8" s="24">
        <v>5000.0</v>
      </c>
      <c r="Q8" s="25" t="s">
        <v>255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2.0" customHeight="1">
      <c r="A9" s="16">
        <v>5.0</v>
      </c>
      <c r="B9" s="28">
        <v>45664.0</v>
      </c>
      <c r="C9" s="18" t="s">
        <v>260</v>
      </c>
      <c r="D9" s="19">
        <v>67797.0</v>
      </c>
      <c r="E9" s="20" t="s">
        <v>261</v>
      </c>
      <c r="F9" s="22"/>
      <c r="G9" s="22"/>
      <c r="H9" s="22"/>
      <c r="I9" s="21"/>
      <c r="J9" s="21">
        <v>15000.0</v>
      </c>
      <c r="K9" s="22"/>
      <c r="L9" s="22"/>
      <c r="M9" s="21"/>
      <c r="N9" s="22"/>
      <c r="O9" s="22"/>
      <c r="P9" s="24">
        <v>15000.0</v>
      </c>
      <c r="Q9" s="25" t="s">
        <v>255</v>
      </c>
      <c r="R9" s="24" t="s">
        <v>46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2.0" customHeight="1">
      <c r="A10" s="16">
        <v>6.0</v>
      </c>
      <c r="B10" s="28">
        <v>45664.0</v>
      </c>
      <c r="C10" s="18" t="s">
        <v>262</v>
      </c>
      <c r="D10" s="19">
        <v>10288.0</v>
      </c>
      <c r="E10" s="20" t="s">
        <v>263</v>
      </c>
      <c r="F10" s="22"/>
      <c r="G10" s="22"/>
      <c r="H10" s="22"/>
      <c r="I10" s="21">
        <v>2350.0</v>
      </c>
      <c r="J10" s="21"/>
      <c r="K10" s="22"/>
      <c r="L10" s="22"/>
      <c r="M10" s="21"/>
      <c r="N10" s="22"/>
      <c r="O10" s="22"/>
      <c r="P10" s="24">
        <v>2350.0</v>
      </c>
      <c r="Q10" s="25" t="s">
        <v>255</v>
      </c>
      <c r="R10" s="24" t="s">
        <v>46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2.0" customHeight="1">
      <c r="A11" s="16">
        <v>7.0</v>
      </c>
      <c r="B11" s="28">
        <v>45664.0</v>
      </c>
      <c r="C11" s="18" t="s">
        <v>264</v>
      </c>
      <c r="D11" s="19">
        <v>42278.0</v>
      </c>
      <c r="E11" s="20" t="s">
        <v>257</v>
      </c>
      <c r="F11" s="22"/>
      <c r="G11" s="22">
        <v>10000.0</v>
      </c>
      <c r="H11" s="22"/>
      <c r="I11" s="21"/>
      <c r="J11" s="21"/>
      <c r="K11" s="22"/>
      <c r="L11" s="22"/>
      <c r="M11" s="21"/>
      <c r="N11" s="22"/>
      <c r="O11" s="22"/>
      <c r="P11" s="24">
        <v>10000.0</v>
      </c>
      <c r="Q11" s="25" t="s">
        <v>255</v>
      </c>
      <c r="R11" s="24" t="s">
        <v>46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2.0" customHeight="1">
      <c r="A12" s="16">
        <v>8.0</v>
      </c>
      <c r="B12" s="28">
        <v>45664.0</v>
      </c>
      <c r="C12" s="18" t="s">
        <v>265</v>
      </c>
      <c r="D12" s="19">
        <v>85559.0</v>
      </c>
      <c r="E12" s="20" t="s">
        <v>27</v>
      </c>
      <c r="F12" s="22"/>
      <c r="G12" s="22"/>
      <c r="H12" s="22"/>
      <c r="I12" s="21"/>
      <c r="J12" s="21"/>
      <c r="K12" s="22"/>
      <c r="L12" s="22"/>
      <c r="M12" s="21">
        <v>2760.0</v>
      </c>
      <c r="N12" s="22"/>
      <c r="O12" s="22"/>
      <c r="P12" s="24">
        <v>2760.0</v>
      </c>
      <c r="Q12" s="25" t="s">
        <v>255</v>
      </c>
      <c r="R12" s="24" t="s">
        <v>46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2.0" customHeight="1">
      <c r="A13" s="16">
        <v>9.0</v>
      </c>
      <c r="B13" s="28">
        <v>45664.0</v>
      </c>
      <c r="C13" s="18" t="s">
        <v>266</v>
      </c>
      <c r="D13" s="19">
        <v>54209.0</v>
      </c>
      <c r="E13" s="20" t="s">
        <v>267</v>
      </c>
      <c r="F13" s="22"/>
      <c r="G13" s="22"/>
      <c r="H13" s="22"/>
      <c r="I13" s="21"/>
      <c r="J13" s="21">
        <v>10000.0</v>
      </c>
      <c r="K13" s="22"/>
      <c r="L13" s="22"/>
      <c r="M13" s="21"/>
      <c r="N13" s="22"/>
      <c r="O13" s="22"/>
      <c r="P13" s="24">
        <v>10000.0</v>
      </c>
      <c r="Q13" s="25" t="s">
        <v>255</v>
      </c>
      <c r="R13" s="24" t="s">
        <v>28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2.0" customHeight="1">
      <c r="A14" s="16">
        <v>10.0</v>
      </c>
      <c r="B14" s="28">
        <v>45664.0</v>
      </c>
      <c r="C14" s="18" t="s">
        <v>268</v>
      </c>
      <c r="D14" s="19">
        <v>53249.0</v>
      </c>
      <c r="E14" s="20" t="s">
        <v>269</v>
      </c>
      <c r="F14" s="22"/>
      <c r="G14" s="22"/>
      <c r="H14" s="22"/>
      <c r="I14" s="21"/>
      <c r="J14" s="21">
        <v>16300.0</v>
      </c>
      <c r="K14" s="22"/>
      <c r="L14" s="22"/>
      <c r="M14" s="21"/>
      <c r="N14" s="22"/>
      <c r="O14" s="22"/>
      <c r="P14" s="24">
        <v>16300.0</v>
      </c>
      <c r="Q14" s="25" t="s">
        <v>255</v>
      </c>
      <c r="R14" s="24" t="s">
        <v>28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2.0" customHeight="1">
      <c r="A15" s="16">
        <v>11.0</v>
      </c>
      <c r="B15" s="28">
        <v>45664.0</v>
      </c>
      <c r="C15" s="18" t="s">
        <v>270</v>
      </c>
      <c r="D15" s="19">
        <v>10744.0</v>
      </c>
      <c r="E15" s="20" t="s">
        <v>271</v>
      </c>
      <c r="F15" s="22"/>
      <c r="G15" s="22"/>
      <c r="H15" s="22"/>
      <c r="I15" s="21">
        <v>15300.0</v>
      </c>
      <c r="J15" s="21"/>
      <c r="K15" s="22"/>
      <c r="L15" s="22"/>
      <c r="M15" s="21"/>
      <c r="N15" s="22"/>
      <c r="O15" s="22"/>
      <c r="P15" s="24">
        <v>15300.0</v>
      </c>
      <c r="Q15" s="25" t="s">
        <v>255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2.0" customHeight="1">
      <c r="A16" s="16">
        <v>12.0</v>
      </c>
      <c r="B16" s="28">
        <v>45664.0</v>
      </c>
      <c r="C16" s="18" t="s">
        <v>272</v>
      </c>
      <c r="D16" s="19">
        <v>53249.0</v>
      </c>
      <c r="E16" s="20" t="s">
        <v>269</v>
      </c>
      <c r="F16" s="22"/>
      <c r="G16" s="22"/>
      <c r="H16" s="22"/>
      <c r="I16" s="21"/>
      <c r="J16" s="21">
        <v>100.0</v>
      </c>
      <c r="K16" s="22"/>
      <c r="L16" s="22"/>
      <c r="M16" s="21"/>
      <c r="N16" s="22"/>
      <c r="O16" s="22"/>
      <c r="P16" s="24">
        <v>100.0</v>
      </c>
      <c r="Q16" s="25" t="s">
        <v>255</v>
      </c>
      <c r="R16" s="24" t="s">
        <v>28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2.0" customHeight="1">
      <c r="A17" s="16">
        <v>13.0</v>
      </c>
      <c r="B17" s="28">
        <v>45664.0</v>
      </c>
      <c r="C17" s="18" t="s">
        <v>273</v>
      </c>
      <c r="D17" s="19">
        <v>62815.0</v>
      </c>
      <c r="E17" s="20" t="s">
        <v>70</v>
      </c>
      <c r="F17" s="22"/>
      <c r="G17" s="22"/>
      <c r="H17" s="22"/>
      <c r="I17" s="21">
        <v>11300.0</v>
      </c>
      <c r="J17" s="21"/>
      <c r="K17" s="22">
        <v>5700.0</v>
      </c>
      <c r="L17" s="22"/>
      <c r="M17" s="21"/>
      <c r="N17" s="22"/>
      <c r="O17" s="22"/>
      <c r="P17" s="24">
        <v>17000.0</v>
      </c>
      <c r="Q17" s="25" t="s">
        <v>255</v>
      </c>
      <c r="R17" s="24" t="s">
        <v>28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2.0" customHeight="1">
      <c r="A18" s="16">
        <v>14.0</v>
      </c>
      <c r="B18" s="28">
        <v>45664.0</v>
      </c>
      <c r="C18" s="18" t="s">
        <v>274</v>
      </c>
      <c r="D18" s="19">
        <v>10250.0</v>
      </c>
      <c r="E18" s="20" t="s">
        <v>148</v>
      </c>
      <c r="F18" s="22"/>
      <c r="G18" s="22"/>
      <c r="H18" s="22"/>
      <c r="I18" s="21">
        <v>1000.0</v>
      </c>
      <c r="J18" s="21"/>
      <c r="K18" s="22"/>
      <c r="L18" s="22"/>
      <c r="M18" s="22"/>
      <c r="N18" s="22"/>
      <c r="O18" s="22"/>
      <c r="P18" s="24">
        <v>1000.0</v>
      </c>
      <c r="Q18" s="25" t="s">
        <v>255</v>
      </c>
      <c r="R18" s="24" t="s">
        <v>46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2.0" customHeight="1">
      <c r="A19" s="16">
        <v>15.0</v>
      </c>
      <c r="B19" s="28">
        <v>45664.0</v>
      </c>
      <c r="C19" s="18" t="s">
        <v>275</v>
      </c>
      <c r="D19" s="19">
        <v>21818.0</v>
      </c>
      <c r="E19" s="20" t="s">
        <v>65</v>
      </c>
      <c r="F19" s="22"/>
      <c r="G19" s="22"/>
      <c r="H19" s="22"/>
      <c r="I19" s="21"/>
      <c r="J19" s="21"/>
      <c r="K19" s="22">
        <v>15899.0</v>
      </c>
      <c r="L19" s="22"/>
      <c r="M19" s="21"/>
      <c r="N19" s="22"/>
      <c r="O19" s="22"/>
      <c r="P19" s="24">
        <v>15899.0</v>
      </c>
      <c r="Q19" s="25" t="s">
        <v>255</v>
      </c>
      <c r="R19" s="24" t="s">
        <v>276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2.0" customHeight="1">
      <c r="A20" s="16">
        <v>16.0</v>
      </c>
      <c r="B20" s="28">
        <v>45664.0</v>
      </c>
      <c r="C20" s="18" t="s">
        <v>277</v>
      </c>
      <c r="D20" s="19">
        <v>52247.0</v>
      </c>
      <c r="E20" s="20" t="s">
        <v>278</v>
      </c>
      <c r="F20" s="22"/>
      <c r="G20" s="22"/>
      <c r="H20" s="22"/>
      <c r="I20" s="23">
        <v>20000.0</v>
      </c>
      <c r="J20" s="23"/>
      <c r="K20" s="22"/>
      <c r="L20" s="22"/>
      <c r="M20" s="22"/>
      <c r="N20" s="22"/>
      <c r="O20" s="22"/>
      <c r="P20" s="24">
        <v>20000.0</v>
      </c>
      <c r="Q20" s="25" t="s">
        <v>255</v>
      </c>
      <c r="R20" s="24" t="s">
        <v>46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2.0" customHeight="1">
      <c r="A21" s="16">
        <v>17.0</v>
      </c>
      <c r="B21" s="28">
        <v>45664.0</v>
      </c>
      <c r="C21" s="18" t="s">
        <v>279</v>
      </c>
      <c r="D21" s="19">
        <v>84812.0</v>
      </c>
      <c r="E21" s="20" t="s">
        <v>280</v>
      </c>
      <c r="F21" s="21"/>
      <c r="G21" s="22"/>
      <c r="H21" s="22"/>
      <c r="I21" s="30">
        <v>5000.0</v>
      </c>
      <c r="J21" s="22"/>
      <c r="K21" s="31"/>
      <c r="L21" s="22"/>
      <c r="M21" s="22"/>
      <c r="N21" s="22"/>
      <c r="O21" s="22"/>
      <c r="P21" s="24">
        <v>5000.0</v>
      </c>
      <c r="Q21" s="25" t="s">
        <v>255</v>
      </c>
      <c r="R21" s="24" t="s">
        <v>46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2.0" customHeight="1">
      <c r="A22" s="16">
        <v>18.0</v>
      </c>
      <c r="B22" s="28">
        <v>45664.0</v>
      </c>
      <c r="C22" s="18" t="s">
        <v>281</v>
      </c>
      <c r="D22" s="19">
        <v>74797.0</v>
      </c>
      <c r="E22" s="20" t="s">
        <v>282</v>
      </c>
      <c r="F22" s="21"/>
      <c r="G22" s="22"/>
      <c r="H22" s="22"/>
      <c r="I22" s="21">
        <v>5000.0</v>
      </c>
      <c r="J22" s="22"/>
      <c r="K22" s="21"/>
      <c r="L22" s="22"/>
      <c r="M22" s="22"/>
      <c r="N22" s="22"/>
      <c r="O22" s="22"/>
      <c r="P22" s="24">
        <v>5000.0</v>
      </c>
      <c r="Q22" s="25" t="s">
        <v>255</v>
      </c>
      <c r="R22" s="24" t="s">
        <v>46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2.0" customHeight="1">
      <c r="A23" s="16">
        <v>19.0</v>
      </c>
      <c r="B23" s="32">
        <v>45664.0</v>
      </c>
      <c r="C23" s="33" t="s">
        <v>283</v>
      </c>
      <c r="D23" s="34">
        <v>75676.0</v>
      </c>
      <c r="E23" s="35" t="s">
        <v>284</v>
      </c>
      <c r="F23" s="30"/>
      <c r="G23" s="36"/>
      <c r="H23" s="36"/>
      <c r="I23" s="30">
        <v>5000.0</v>
      </c>
      <c r="J23" s="30"/>
      <c r="K23" s="37"/>
      <c r="L23" s="36"/>
      <c r="M23" s="36"/>
      <c r="N23" s="36"/>
      <c r="O23" s="36"/>
      <c r="P23" s="38">
        <v>5000.0</v>
      </c>
      <c r="Q23" s="25" t="s">
        <v>255</v>
      </c>
      <c r="R23" s="38" t="s">
        <v>46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2.0" customHeight="1">
      <c r="A24" s="16">
        <v>20.0</v>
      </c>
      <c r="B24" s="32">
        <v>45664.0</v>
      </c>
      <c r="C24" s="33" t="s">
        <v>285</v>
      </c>
      <c r="D24" s="34">
        <v>77817.0</v>
      </c>
      <c r="E24" s="35" t="s">
        <v>286</v>
      </c>
      <c r="F24" s="30"/>
      <c r="G24" s="36"/>
      <c r="H24" s="36"/>
      <c r="I24" s="30">
        <v>5000.0</v>
      </c>
      <c r="J24" s="30"/>
      <c r="K24" s="37"/>
      <c r="L24" s="36"/>
      <c r="M24" s="36"/>
      <c r="N24" s="36"/>
      <c r="O24" s="36"/>
      <c r="P24" s="38">
        <v>5000.0</v>
      </c>
      <c r="Q24" s="25" t="s">
        <v>255</v>
      </c>
      <c r="R24" s="38" t="s">
        <v>46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2.0" customHeight="1">
      <c r="A25" s="16">
        <v>21.0</v>
      </c>
      <c r="B25" s="32">
        <v>45664.0</v>
      </c>
      <c r="C25" s="33" t="s">
        <v>287</v>
      </c>
      <c r="D25" s="34">
        <v>78517.0</v>
      </c>
      <c r="E25" s="35" t="s">
        <v>288</v>
      </c>
      <c r="F25" s="30"/>
      <c r="G25" s="36"/>
      <c r="H25" s="36"/>
      <c r="I25" s="30">
        <v>5000.0</v>
      </c>
      <c r="J25" s="30"/>
      <c r="K25" s="37"/>
      <c r="L25" s="36"/>
      <c r="M25" s="36"/>
      <c r="N25" s="36"/>
      <c r="O25" s="36"/>
      <c r="P25" s="38">
        <v>5000.0</v>
      </c>
      <c r="Q25" s="25" t="s">
        <v>255</v>
      </c>
      <c r="R25" s="38" t="s">
        <v>46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2.0" customHeight="1">
      <c r="A26" s="16">
        <v>22.0</v>
      </c>
      <c r="B26" s="32">
        <v>45664.0</v>
      </c>
      <c r="C26" s="33" t="s">
        <v>289</v>
      </c>
      <c r="D26" s="34">
        <v>82292.0</v>
      </c>
      <c r="E26" s="35" t="s">
        <v>290</v>
      </c>
      <c r="F26" s="30"/>
      <c r="G26" s="36"/>
      <c r="H26" s="36"/>
      <c r="I26" s="30">
        <v>5000.0</v>
      </c>
      <c r="J26" s="30"/>
      <c r="K26" s="37"/>
      <c r="L26" s="36"/>
      <c r="M26" s="36"/>
      <c r="N26" s="36"/>
      <c r="O26" s="36"/>
      <c r="P26" s="38">
        <v>5000.0</v>
      </c>
      <c r="Q26" s="25" t="s">
        <v>255</v>
      </c>
      <c r="R26" s="38" t="s">
        <v>46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2.0" customHeight="1">
      <c r="A27" s="16">
        <v>23.0</v>
      </c>
      <c r="B27" s="32">
        <v>45664.0</v>
      </c>
      <c r="C27" s="33" t="s">
        <v>291</v>
      </c>
      <c r="D27" s="34">
        <v>85873.0</v>
      </c>
      <c r="E27" s="35" t="s">
        <v>292</v>
      </c>
      <c r="F27" s="30">
        <v>300.0</v>
      </c>
      <c r="G27" s="36"/>
      <c r="H27" s="36"/>
      <c r="I27" s="30"/>
      <c r="J27" s="30"/>
      <c r="K27" s="37"/>
      <c r="L27" s="36"/>
      <c r="M27" s="36"/>
      <c r="N27" s="36"/>
      <c r="O27" s="36"/>
      <c r="P27" s="38">
        <v>300.0</v>
      </c>
      <c r="Q27" s="25" t="s">
        <v>255</v>
      </c>
      <c r="R27" s="38" t="s">
        <v>46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2.0" customHeight="1">
      <c r="A28" s="16">
        <v>24.0</v>
      </c>
      <c r="B28" s="32">
        <v>45664.0</v>
      </c>
      <c r="C28" s="33" t="s">
        <v>293</v>
      </c>
      <c r="D28" s="34">
        <v>85872.0</v>
      </c>
      <c r="E28" s="35" t="s">
        <v>294</v>
      </c>
      <c r="F28" s="30">
        <v>300.0</v>
      </c>
      <c r="G28" s="36"/>
      <c r="H28" s="36"/>
      <c r="I28" s="30"/>
      <c r="J28" s="30"/>
      <c r="K28" s="37"/>
      <c r="L28" s="36"/>
      <c r="M28" s="36"/>
      <c r="N28" s="36"/>
      <c r="O28" s="36"/>
      <c r="P28" s="38">
        <v>300.0</v>
      </c>
      <c r="Q28" s="25" t="s">
        <v>255</v>
      </c>
      <c r="R28" s="38" t="s">
        <v>46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2.0" customHeight="1">
      <c r="A29" s="16">
        <v>25.0</v>
      </c>
      <c r="B29" s="32">
        <v>45664.0</v>
      </c>
      <c r="C29" s="33" t="s">
        <v>295</v>
      </c>
      <c r="D29" s="34">
        <v>85874.0</v>
      </c>
      <c r="E29" s="35" t="s">
        <v>296</v>
      </c>
      <c r="F29" s="30"/>
      <c r="G29" s="36">
        <v>300.0</v>
      </c>
      <c r="H29" s="36"/>
      <c r="I29" s="30"/>
      <c r="J29" s="30"/>
      <c r="K29" s="37"/>
      <c r="L29" s="36"/>
      <c r="M29" s="36"/>
      <c r="N29" s="36"/>
      <c r="O29" s="36"/>
      <c r="P29" s="38">
        <v>300.0</v>
      </c>
      <c r="Q29" s="25" t="s">
        <v>255</v>
      </c>
      <c r="R29" s="38" t="s">
        <v>46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2.0" customHeight="1">
      <c r="A30" s="16">
        <v>26.0</v>
      </c>
      <c r="B30" s="32">
        <v>45664.0</v>
      </c>
      <c r="C30" s="33" t="s">
        <v>297</v>
      </c>
      <c r="D30" s="34">
        <v>39832.0</v>
      </c>
      <c r="E30" s="35" t="s">
        <v>298</v>
      </c>
      <c r="F30" s="30">
        <v>450.0</v>
      </c>
      <c r="G30" s="36">
        <v>4500.0</v>
      </c>
      <c r="H30" s="36"/>
      <c r="I30" s="30">
        <v>1450.0</v>
      </c>
      <c r="J30" s="30"/>
      <c r="K30" s="37"/>
      <c r="L30" s="36"/>
      <c r="M30" s="36">
        <v>4050.0</v>
      </c>
      <c r="N30" s="36"/>
      <c r="O30" s="36"/>
      <c r="P30" s="38">
        <v>10450.0</v>
      </c>
      <c r="Q30" s="25" t="s">
        <v>255</v>
      </c>
      <c r="R30" s="38" t="s">
        <v>46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2.0" customHeight="1">
      <c r="A31" s="16">
        <v>27.0</v>
      </c>
      <c r="B31" s="32">
        <v>45664.0</v>
      </c>
      <c r="C31" s="33" t="s">
        <v>299</v>
      </c>
      <c r="D31" s="34">
        <v>19688.0</v>
      </c>
      <c r="E31" s="35" t="s">
        <v>300</v>
      </c>
      <c r="F31" s="30"/>
      <c r="G31" s="36"/>
      <c r="H31" s="36"/>
      <c r="I31" s="30"/>
      <c r="J31" s="30">
        <v>5000.0</v>
      </c>
      <c r="K31" s="37"/>
      <c r="L31" s="36"/>
      <c r="M31" s="36"/>
      <c r="N31" s="36"/>
      <c r="O31" s="36"/>
      <c r="P31" s="38">
        <v>5000.0</v>
      </c>
      <c r="Q31" s="25" t="s">
        <v>255</v>
      </c>
      <c r="R31" s="38" t="s">
        <v>28</v>
      </c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2.0" customHeight="1">
      <c r="A32" s="16">
        <v>28.0</v>
      </c>
      <c r="B32" s="32">
        <v>45664.0</v>
      </c>
      <c r="C32" s="33" t="s">
        <v>301</v>
      </c>
      <c r="D32" s="34">
        <v>22341.0</v>
      </c>
      <c r="E32" s="35" t="s">
        <v>302</v>
      </c>
      <c r="F32" s="30"/>
      <c r="G32" s="36"/>
      <c r="H32" s="36"/>
      <c r="I32" s="30">
        <v>5100.0</v>
      </c>
      <c r="J32" s="30"/>
      <c r="K32" s="37"/>
      <c r="L32" s="36"/>
      <c r="M32" s="36"/>
      <c r="N32" s="36"/>
      <c r="O32" s="36"/>
      <c r="P32" s="38">
        <v>5100.0</v>
      </c>
      <c r="Q32" s="25" t="s">
        <v>255</v>
      </c>
      <c r="R32" s="38" t="s">
        <v>46</v>
      </c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2.0" customHeight="1">
      <c r="A33" s="16">
        <v>29.0</v>
      </c>
      <c r="B33" s="32">
        <v>45664.0</v>
      </c>
      <c r="C33" s="33" t="s">
        <v>303</v>
      </c>
      <c r="D33" s="34">
        <v>77096.0</v>
      </c>
      <c r="E33" s="35" t="s">
        <v>304</v>
      </c>
      <c r="F33" s="30"/>
      <c r="G33" s="36"/>
      <c r="H33" s="36"/>
      <c r="I33" s="30">
        <v>2600.0</v>
      </c>
      <c r="J33" s="30"/>
      <c r="K33" s="37"/>
      <c r="L33" s="36"/>
      <c r="M33" s="36"/>
      <c r="N33" s="36"/>
      <c r="O33" s="36"/>
      <c r="P33" s="38">
        <v>2600.0</v>
      </c>
      <c r="Q33" s="25" t="s">
        <v>255</v>
      </c>
      <c r="R33" s="38" t="s">
        <v>28</v>
      </c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2.0" customHeight="1">
      <c r="A34" s="16">
        <v>30.0</v>
      </c>
      <c r="B34" s="32">
        <v>45664.0</v>
      </c>
      <c r="C34" s="33" t="s">
        <v>305</v>
      </c>
      <c r="D34" s="34">
        <v>54763.0</v>
      </c>
      <c r="E34" s="35" t="s">
        <v>24</v>
      </c>
      <c r="F34" s="30"/>
      <c r="G34" s="36"/>
      <c r="H34" s="36"/>
      <c r="I34" s="30">
        <v>5000.0</v>
      </c>
      <c r="J34" s="30"/>
      <c r="K34" s="37"/>
      <c r="L34" s="36"/>
      <c r="M34" s="36"/>
      <c r="N34" s="36"/>
      <c r="O34" s="36"/>
      <c r="P34" s="38">
        <v>5000.0</v>
      </c>
      <c r="Q34" s="25" t="s">
        <v>255</v>
      </c>
      <c r="R34" s="38" t="s">
        <v>28</v>
      </c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42.0" customHeight="1">
      <c r="A35" s="16">
        <v>31.0</v>
      </c>
      <c r="B35" s="32">
        <v>45663.0</v>
      </c>
      <c r="C35" s="33" t="s">
        <v>306</v>
      </c>
      <c r="D35" s="34">
        <v>69659.0</v>
      </c>
      <c r="E35" s="35" t="s">
        <v>307</v>
      </c>
      <c r="F35" s="30"/>
      <c r="G35" s="36"/>
      <c r="H35" s="36"/>
      <c r="I35" s="30"/>
      <c r="J35" s="30"/>
      <c r="K35" s="37"/>
      <c r="L35" s="36"/>
      <c r="M35" s="36">
        <v>1450.0</v>
      </c>
      <c r="N35" s="36"/>
      <c r="O35" s="36"/>
      <c r="P35" s="38">
        <v>1450.0</v>
      </c>
      <c r="Q35" s="25" t="s">
        <v>255</v>
      </c>
      <c r="R35" s="38"/>
      <c r="S35" s="26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42.0" customHeight="1">
      <c r="A36" s="16">
        <v>32.0</v>
      </c>
      <c r="B36" s="32">
        <v>45663.0</v>
      </c>
      <c r="C36" s="33" t="s">
        <v>308</v>
      </c>
      <c r="D36" s="34">
        <v>51017.0</v>
      </c>
      <c r="E36" s="35" t="s">
        <v>167</v>
      </c>
      <c r="F36" s="30"/>
      <c r="G36" s="36"/>
      <c r="H36" s="36">
        <v>8200.0</v>
      </c>
      <c r="I36" s="30"/>
      <c r="J36" s="30"/>
      <c r="K36" s="37"/>
      <c r="L36" s="36"/>
      <c r="M36" s="36"/>
      <c r="N36" s="36"/>
      <c r="O36" s="36"/>
      <c r="P36" s="38">
        <v>8200.0</v>
      </c>
      <c r="Q36" s="25" t="s">
        <v>255</v>
      </c>
      <c r="R36" s="38"/>
      <c r="S36" s="26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58.5" customHeight="1">
      <c r="A37" s="60"/>
      <c r="B37" s="61"/>
      <c r="C37" s="62"/>
      <c r="D37" s="63" t="s">
        <v>115</v>
      </c>
      <c r="E37" s="64"/>
      <c r="F37" s="65">
        <f t="shared" ref="F37:P37" si="1">SUM(F5:F36)</f>
        <v>1290</v>
      </c>
      <c r="G37" s="65">
        <f t="shared" si="1"/>
        <v>32300</v>
      </c>
      <c r="H37" s="65">
        <f t="shared" si="1"/>
        <v>8200</v>
      </c>
      <c r="I37" s="65">
        <f t="shared" si="1"/>
        <v>99100</v>
      </c>
      <c r="J37" s="65">
        <f t="shared" si="1"/>
        <v>46400</v>
      </c>
      <c r="K37" s="65">
        <f t="shared" si="1"/>
        <v>21599</v>
      </c>
      <c r="L37" s="65">
        <f t="shared" si="1"/>
        <v>0</v>
      </c>
      <c r="M37" s="65">
        <f t="shared" si="1"/>
        <v>8260</v>
      </c>
      <c r="N37" s="65">
        <f t="shared" si="1"/>
        <v>0</v>
      </c>
      <c r="O37" s="65">
        <f t="shared" si="1"/>
        <v>0</v>
      </c>
      <c r="P37" s="65">
        <f t="shared" si="1"/>
        <v>217149</v>
      </c>
      <c r="Q37" s="65">
        <f>SUM(Q5:Q27)</f>
        <v>0</v>
      </c>
      <c r="R37" s="66"/>
      <c r="S37" s="67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</row>
    <row r="38" ht="58.5" customHeight="1">
      <c r="A38" s="69"/>
      <c r="B38" s="70"/>
      <c r="C38" s="71"/>
      <c r="D38" s="70"/>
      <c r="E38" s="70"/>
      <c r="F38" s="72">
        <f>F37+G37+H37+I37+J37+K37+L37+M37+N37+O37</f>
        <v>217149</v>
      </c>
      <c r="G38" s="2"/>
      <c r="H38" s="2"/>
      <c r="I38" s="2"/>
      <c r="J38" s="2"/>
      <c r="K38" s="2"/>
      <c r="L38" s="2"/>
      <c r="M38" s="2"/>
      <c r="N38" s="2"/>
      <c r="O38" s="2"/>
      <c r="P38" s="73"/>
      <c r="Q38" s="73"/>
      <c r="R38" s="70"/>
      <c r="S38" s="74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15.75" customHeight="1">
      <c r="A39" s="27"/>
      <c r="B39" s="27"/>
      <c r="C39" s="75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15.75" customHeight="1">
      <c r="A40" s="27"/>
      <c r="B40" s="27"/>
      <c r="C40" s="75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ht="15.75" customHeight="1">
      <c r="A41" s="27"/>
      <c r="B41" s="27"/>
      <c r="C41" s="75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ht="15.75" customHeight="1">
      <c r="A42" s="27"/>
      <c r="B42" s="27"/>
      <c r="C42" s="75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t="15.75" customHeight="1">
      <c r="A43" s="27"/>
      <c r="B43" s="27"/>
      <c r="C43" s="75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 ht="15.75" customHeight="1">
      <c r="A44" s="27"/>
      <c r="B44" s="27"/>
      <c r="C44" s="75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ht="15.75" customHeight="1">
      <c r="A45" s="27"/>
      <c r="B45" s="27"/>
      <c r="C45" s="75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 ht="26.25" customHeight="1">
      <c r="A46" s="27"/>
      <c r="B46" s="27"/>
      <c r="C46" s="75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</row>
    <row r="47" ht="87.0" customHeight="1">
      <c r="A47" s="76" t="s">
        <v>309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3.0" customHeight="1">
      <c r="A48" s="77" t="s">
        <v>1</v>
      </c>
      <c r="B48" s="78" t="s">
        <v>2</v>
      </c>
      <c r="C48" s="78" t="s">
        <v>3</v>
      </c>
      <c r="D48" s="78" t="s">
        <v>4</v>
      </c>
      <c r="E48" s="78" t="s">
        <v>5</v>
      </c>
      <c r="F48" s="79" t="s">
        <v>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9"/>
      <c r="R48" s="78" t="s">
        <v>7</v>
      </c>
      <c r="S48" s="78" t="s">
        <v>8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3.0" customHeight="1">
      <c r="A49" s="10"/>
      <c r="B49" s="11"/>
      <c r="C49" s="11"/>
      <c r="D49" s="11"/>
      <c r="E49" s="11"/>
      <c r="F49" s="80" t="s">
        <v>9</v>
      </c>
      <c r="G49" s="79" t="s">
        <v>10</v>
      </c>
      <c r="H49" s="9"/>
      <c r="I49" s="79" t="s">
        <v>11</v>
      </c>
      <c r="J49" s="9"/>
      <c r="K49" s="78" t="s">
        <v>12</v>
      </c>
      <c r="L49" s="81"/>
      <c r="M49" s="81"/>
      <c r="N49" s="81"/>
      <c r="O49" s="82" t="s">
        <v>310</v>
      </c>
      <c r="P49" s="78" t="s">
        <v>14</v>
      </c>
      <c r="Q49" s="78" t="s">
        <v>15</v>
      </c>
      <c r="R49" s="11"/>
      <c r="S49" s="1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3.0" customHeight="1">
      <c r="A50" s="14"/>
      <c r="B50" s="9"/>
      <c r="C50" s="9"/>
      <c r="D50" s="9"/>
      <c r="E50" s="9"/>
      <c r="F50" s="9"/>
      <c r="G50" s="83" t="s">
        <v>16</v>
      </c>
      <c r="H50" s="83" t="s">
        <v>17</v>
      </c>
      <c r="I50" s="83" t="s">
        <v>18</v>
      </c>
      <c r="J50" s="83" t="s">
        <v>19</v>
      </c>
      <c r="K50" s="9"/>
      <c r="L50" s="83" t="s">
        <v>20</v>
      </c>
      <c r="M50" s="83" t="s">
        <v>21</v>
      </c>
      <c r="N50" s="83" t="s">
        <v>22</v>
      </c>
      <c r="O50" s="9"/>
      <c r="P50" s="9"/>
      <c r="Q50" s="9"/>
      <c r="R50" s="9"/>
      <c r="S50" s="9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45.0" customHeight="1">
      <c r="A51" s="16">
        <v>1.0</v>
      </c>
      <c r="B51" s="28">
        <v>45663.0</v>
      </c>
      <c r="C51" s="18" t="s">
        <v>311</v>
      </c>
      <c r="D51" s="19">
        <v>30909.0</v>
      </c>
      <c r="E51" s="20" t="s">
        <v>312</v>
      </c>
      <c r="F51" s="21"/>
      <c r="G51" s="22"/>
      <c r="H51" s="21"/>
      <c r="I51" s="23"/>
      <c r="J51" s="23"/>
      <c r="K51" s="22"/>
      <c r="L51" s="22"/>
      <c r="M51" s="21"/>
      <c r="N51" s="22"/>
      <c r="O51" s="84">
        <v>735.0</v>
      </c>
      <c r="P51" s="24">
        <v>735.0</v>
      </c>
      <c r="Q51" s="25" t="s">
        <v>255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45.0" customHeight="1">
      <c r="A52" s="16">
        <v>2.0</v>
      </c>
      <c r="B52" s="28">
        <v>45664.0</v>
      </c>
      <c r="C52" s="18" t="s">
        <v>313</v>
      </c>
      <c r="D52" s="19">
        <v>83598.0</v>
      </c>
      <c r="E52" s="20" t="s">
        <v>314</v>
      </c>
      <c r="F52" s="21"/>
      <c r="G52" s="22"/>
      <c r="H52" s="22"/>
      <c r="I52" s="21"/>
      <c r="J52" s="22"/>
      <c r="K52" s="22"/>
      <c r="L52" s="22"/>
      <c r="M52" s="21"/>
      <c r="N52" s="22"/>
      <c r="O52" s="84">
        <v>46.0</v>
      </c>
      <c r="P52" s="24">
        <v>46.0</v>
      </c>
      <c r="Q52" s="25" t="s">
        <v>255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45.0" customHeight="1">
      <c r="A53" s="16">
        <v>3.0</v>
      </c>
      <c r="B53" s="28">
        <v>45664.0</v>
      </c>
      <c r="C53" s="18" t="s">
        <v>315</v>
      </c>
      <c r="D53" s="19">
        <v>69371.0</v>
      </c>
      <c r="E53" s="20" t="s">
        <v>316</v>
      </c>
      <c r="F53" s="22"/>
      <c r="G53" s="22"/>
      <c r="H53" s="21"/>
      <c r="I53" s="21"/>
      <c r="J53" s="23"/>
      <c r="K53" s="22"/>
      <c r="L53" s="22"/>
      <c r="M53" s="22"/>
      <c r="N53" s="22"/>
      <c r="O53" s="84">
        <v>35.0</v>
      </c>
      <c r="P53" s="24">
        <v>35.0</v>
      </c>
      <c r="Q53" s="25" t="s">
        <v>255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54.0" customHeight="1">
      <c r="A54" s="85"/>
      <c r="B54" s="86"/>
      <c r="C54" s="87"/>
      <c r="D54" s="88" t="s">
        <v>115</v>
      </c>
      <c r="E54" s="89"/>
      <c r="F54" s="90">
        <f t="shared" ref="F54:P54" si="2">SUM(F51:F53)</f>
        <v>0</v>
      </c>
      <c r="G54" s="90">
        <f t="shared" si="2"/>
        <v>0</v>
      </c>
      <c r="H54" s="90">
        <f t="shared" si="2"/>
        <v>0</v>
      </c>
      <c r="I54" s="90">
        <f t="shared" si="2"/>
        <v>0</v>
      </c>
      <c r="J54" s="90">
        <f t="shared" si="2"/>
        <v>0</v>
      </c>
      <c r="K54" s="90">
        <f t="shared" si="2"/>
        <v>0</v>
      </c>
      <c r="L54" s="90">
        <f t="shared" si="2"/>
        <v>0</v>
      </c>
      <c r="M54" s="90">
        <f t="shared" si="2"/>
        <v>0</v>
      </c>
      <c r="N54" s="90">
        <f t="shared" si="2"/>
        <v>0</v>
      </c>
      <c r="O54" s="90">
        <f t="shared" si="2"/>
        <v>816</v>
      </c>
      <c r="P54" s="90">
        <f t="shared" si="2"/>
        <v>816</v>
      </c>
      <c r="Q54" s="90">
        <v>0.0</v>
      </c>
      <c r="R54" s="89"/>
      <c r="S54" s="91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</row>
    <row r="55" ht="48.0" customHeight="1">
      <c r="A55" s="93"/>
      <c r="B55" s="94"/>
      <c r="C55" s="95"/>
      <c r="D55" s="94"/>
      <c r="E55" s="94"/>
      <c r="F55" s="96">
        <f>F54+G54+H54+I54+J54+K54+L54+M54+N54+O54</f>
        <v>816</v>
      </c>
      <c r="G55" s="2"/>
      <c r="H55" s="2"/>
      <c r="I55" s="2"/>
      <c r="J55" s="2"/>
      <c r="K55" s="2"/>
      <c r="L55" s="2"/>
      <c r="M55" s="2"/>
      <c r="N55" s="2"/>
      <c r="O55" s="2"/>
      <c r="P55" s="97"/>
      <c r="Q55" s="97"/>
      <c r="R55" s="94"/>
      <c r="S55" s="9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8.0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51"/>
      <c r="D58" s="4"/>
      <c r="E58" s="53" t="s">
        <v>116</v>
      </c>
      <c r="F58" s="54" t="s">
        <v>117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51"/>
      <c r="D59" s="4"/>
      <c r="E59" s="55" t="s">
        <v>118</v>
      </c>
      <c r="F59" s="54" t="s">
        <v>119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51"/>
      <c r="D60" s="4"/>
      <c r="E60" s="55" t="s">
        <v>120</v>
      </c>
      <c r="F60" s="54" t="s">
        <v>317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55" t="s">
        <v>121</v>
      </c>
      <c r="F61" s="54" t="s">
        <v>119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55" t="s">
        <v>122</v>
      </c>
      <c r="F62" s="54" t="s">
        <v>119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55" t="s">
        <v>318</v>
      </c>
      <c r="F63" s="54" t="s">
        <v>119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55" t="s">
        <v>124</v>
      </c>
      <c r="F64" s="54" t="s">
        <v>317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55" t="s">
        <v>126</v>
      </c>
      <c r="F65" s="57" t="s">
        <v>117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57.0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57.0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53" t="s">
        <v>116</v>
      </c>
      <c r="F102" s="54" t="s">
        <v>117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55" t="s">
        <v>118</v>
      </c>
      <c r="F103" s="54" t="s">
        <v>119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55" t="s">
        <v>120</v>
      </c>
      <c r="F104" s="54" t="s">
        <v>119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55" t="s">
        <v>121</v>
      </c>
      <c r="F105" s="54" t="s">
        <v>119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55" t="s">
        <v>122</v>
      </c>
      <c r="F106" s="54" t="s">
        <v>119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55" t="s">
        <v>319</v>
      </c>
      <c r="F107" s="54" t="s">
        <v>119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55" t="s">
        <v>124</v>
      </c>
      <c r="F108" s="54" t="s">
        <v>317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55" t="s">
        <v>126</v>
      </c>
      <c r="F109" s="57" t="s">
        <v>117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mergeCells count="34">
    <mergeCell ref="R2:R4"/>
    <mergeCell ref="S2:S4"/>
    <mergeCell ref="F3:F4"/>
    <mergeCell ref="G3:H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  <mergeCell ref="D48:D50"/>
    <mergeCell ref="E48:E50"/>
    <mergeCell ref="I3:J3"/>
    <mergeCell ref="K3:K4"/>
    <mergeCell ref="F38:O38"/>
    <mergeCell ref="A47:S47"/>
    <mergeCell ref="A48:A50"/>
    <mergeCell ref="B48:B50"/>
    <mergeCell ref="C48:C50"/>
    <mergeCell ref="S48:S50"/>
    <mergeCell ref="P49:P50"/>
    <mergeCell ref="Q49:Q50"/>
    <mergeCell ref="F48:Q48"/>
    <mergeCell ref="R48:R50"/>
    <mergeCell ref="F49:F50"/>
    <mergeCell ref="G49:H49"/>
    <mergeCell ref="I49:J49"/>
    <mergeCell ref="K49:K50"/>
    <mergeCell ref="O49:O50"/>
    <mergeCell ref="F55:O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8.88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69.0" customHeight="1">
      <c r="A1" s="58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2.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99" t="s">
        <v>252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37.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2.0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2.0" customHeight="1">
      <c r="A5" s="16">
        <v>1.0</v>
      </c>
      <c r="B5" s="17">
        <v>45664.0</v>
      </c>
      <c r="C5" s="18" t="s">
        <v>321</v>
      </c>
      <c r="D5" s="19">
        <v>80020.0</v>
      </c>
      <c r="E5" s="20" t="s">
        <v>322</v>
      </c>
      <c r="F5" s="21"/>
      <c r="G5" s="22"/>
      <c r="H5" s="21"/>
      <c r="I5" s="23"/>
      <c r="J5" s="23">
        <v>2600.0</v>
      </c>
      <c r="K5" s="22"/>
      <c r="L5" s="22"/>
      <c r="M5" s="21"/>
      <c r="N5" s="22"/>
      <c r="O5" s="22"/>
      <c r="P5" s="100">
        <v>2600.0</v>
      </c>
      <c r="Q5" s="25" t="s">
        <v>255</v>
      </c>
      <c r="R5" s="24" t="s">
        <v>46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42.0" customHeight="1">
      <c r="A6" s="16">
        <v>2.0</v>
      </c>
      <c r="B6" s="28">
        <v>45664.0</v>
      </c>
      <c r="C6" s="18" t="s">
        <v>323</v>
      </c>
      <c r="D6" s="19">
        <v>78354.0</v>
      </c>
      <c r="E6" s="20" t="s">
        <v>324</v>
      </c>
      <c r="F6" s="21"/>
      <c r="G6" s="22"/>
      <c r="H6" s="22"/>
      <c r="I6" s="21"/>
      <c r="J6" s="22">
        <v>7100.0</v>
      </c>
      <c r="K6" s="22"/>
      <c r="L6" s="22"/>
      <c r="M6" s="21"/>
      <c r="N6" s="22"/>
      <c r="O6" s="22"/>
      <c r="P6" s="24">
        <v>7100.0</v>
      </c>
      <c r="Q6" s="25" t="s">
        <v>255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2.0" customHeight="1">
      <c r="A7" s="16">
        <v>3.0</v>
      </c>
      <c r="B7" s="28">
        <v>45665.0</v>
      </c>
      <c r="C7" s="18" t="s">
        <v>325</v>
      </c>
      <c r="D7" s="19">
        <v>50753.0</v>
      </c>
      <c r="E7" s="20" t="s">
        <v>326</v>
      </c>
      <c r="F7" s="22"/>
      <c r="G7" s="22"/>
      <c r="H7" s="21"/>
      <c r="I7" s="21">
        <v>1500.0</v>
      </c>
      <c r="J7" s="23"/>
      <c r="K7" s="22"/>
      <c r="L7" s="22"/>
      <c r="M7" s="22"/>
      <c r="N7" s="22"/>
      <c r="O7" s="22"/>
      <c r="P7" s="24">
        <v>1500.0</v>
      </c>
      <c r="Q7" s="25" t="s">
        <v>255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2.0" customHeight="1">
      <c r="A8" s="16">
        <v>4.0</v>
      </c>
      <c r="B8" s="28">
        <v>45665.0</v>
      </c>
      <c r="C8" s="18" t="s">
        <v>327</v>
      </c>
      <c r="D8" s="19">
        <v>81108.0</v>
      </c>
      <c r="E8" s="20" t="s">
        <v>328</v>
      </c>
      <c r="F8" s="22"/>
      <c r="G8" s="22"/>
      <c r="H8" s="22"/>
      <c r="I8" s="21">
        <v>16900.0</v>
      </c>
      <c r="J8" s="21"/>
      <c r="K8" s="22"/>
      <c r="L8" s="22"/>
      <c r="M8" s="22"/>
      <c r="N8" s="22"/>
      <c r="O8" s="22"/>
      <c r="P8" s="24">
        <v>16900.0</v>
      </c>
      <c r="Q8" s="25" t="s">
        <v>255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2.0" customHeight="1">
      <c r="A9" s="16">
        <v>5.0</v>
      </c>
      <c r="B9" s="28">
        <v>45665.0</v>
      </c>
      <c r="C9" s="18" t="s">
        <v>329</v>
      </c>
      <c r="D9" s="19">
        <v>21818.0</v>
      </c>
      <c r="E9" s="20" t="s">
        <v>65</v>
      </c>
      <c r="F9" s="22"/>
      <c r="G9" s="22"/>
      <c r="H9" s="22"/>
      <c r="I9" s="21"/>
      <c r="J9" s="21"/>
      <c r="K9" s="22">
        <v>2494.0</v>
      </c>
      <c r="L9" s="22"/>
      <c r="M9" s="21"/>
      <c r="N9" s="22"/>
      <c r="O9" s="22"/>
      <c r="P9" s="24">
        <v>2494.0</v>
      </c>
      <c r="Q9" s="25" t="s">
        <v>255</v>
      </c>
      <c r="R9" s="24" t="s">
        <v>276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2.0" customHeight="1">
      <c r="A10" s="16">
        <v>6.0</v>
      </c>
      <c r="B10" s="28">
        <v>45665.0</v>
      </c>
      <c r="C10" s="18" t="s">
        <v>330</v>
      </c>
      <c r="D10" s="19">
        <v>61436.0</v>
      </c>
      <c r="E10" s="20" t="s">
        <v>331</v>
      </c>
      <c r="F10" s="22"/>
      <c r="G10" s="22"/>
      <c r="H10" s="22"/>
      <c r="I10" s="21">
        <v>100.0</v>
      </c>
      <c r="J10" s="21"/>
      <c r="K10" s="22"/>
      <c r="L10" s="22"/>
      <c r="M10" s="21"/>
      <c r="N10" s="22"/>
      <c r="O10" s="22"/>
      <c r="P10" s="24">
        <v>100.0</v>
      </c>
      <c r="Q10" s="25" t="s">
        <v>255</v>
      </c>
      <c r="R10" s="24" t="s">
        <v>46</v>
      </c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2.0" customHeight="1">
      <c r="A11" s="16">
        <v>7.0</v>
      </c>
      <c r="B11" s="28">
        <v>45665.0</v>
      </c>
      <c r="C11" s="18" t="s">
        <v>332</v>
      </c>
      <c r="D11" s="19">
        <v>71418.0</v>
      </c>
      <c r="E11" s="20" t="s">
        <v>333</v>
      </c>
      <c r="F11" s="22"/>
      <c r="G11" s="22"/>
      <c r="H11" s="22"/>
      <c r="I11" s="21"/>
      <c r="J11" s="21">
        <v>5100.0</v>
      </c>
      <c r="K11" s="22"/>
      <c r="L11" s="22"/>
      <c r="M11" s="21"/>
      <c r="N11" s="22"/>
      <c r="O11" s="22"/>
      <c r="P11" s="24">
        <v>5100.0</v>
      </c>
      <c r="Q11" s="25" t="s">
        <v>255</v>
      </c>
      <c r="R11" s="24" t="s">
        <v>28</v>
      </c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2.0" customHeight="1">
      <c r="A12" s="16">
        <v>8.0</v>
      </c>
      <c r="B12" s="28">
        <v>45665.0</v>
      </c>
      <c r="C12" s="18" t="s">
        <v>334</v>
      </c>
      <c r="D12" s="19">
        <v>19688.0</v>
      </c>
      <c r="E12" s="20" t="s">
        <v>300</v>
      </c>
      <c r="F12" s="22"/>
      <c r="G12" s="22"/>
      <c r="H12" s="22"/>
      <c r="I12" s="21"/>
      <c r="J12" s="21">
        <v>10000.0</v>
      </c>
      <c r="K12" s="22"/>
      <c r="L12" s="22"/>
      <c r="M12" s="21"/>
      <c r="N12" s="22"/>
      <c r="O12" s="22"/>
      <c r="P12" s="24">
        <v>10000.0</v>
      </c>
      <c r="Q12" s="25" t="s">
        <v>255</v>
      </c>
      <c r="R12" s="24" t="s">
        <v>28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2.0" customHeight="1">
      <c r="A13" s="16">
        <v>9.0</v>
      </c>
      <c r="B13" s="28">
        <v>45665.0</v>
      </c>
      <c r="C13" s="18" t="s">
        <v>335</v>
      </c>
      <c r="D13" s="19">
        <v>69620.0</v>
      </c>
      <c r="E13" s="20" t="s">
        <v>336</v>
      </c>
      <c r="F13" s="22"/>
      <c r="G13" s="22"/>
      <c r="H13" s="22"/>
      <c r="I13" s="21"/>
      <c r="J13" s="21">
        <v>1300.0</v>
      </c>
      <c r="K13" s="22">
        <v>1300.0</v>
      </c>
      <c r="L13" s="22"/>
      <c r="M13" s="21"/>
      <c r="N13" s="22"/>
      <c r="O13" s="22"/>
      <c r="P13" s="24">
        <v>2600.0</v>
      </c>
      <c r="Q13" s="25" t="s">
        <v>255</v>
      </c>
      <c r="R13" s="24" t="s">
        <v>31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2.0" customHeight="1">
      <c r="A14" s="16">
        <v>10.0</v>
      </c>
      <c r="B14" s="28">
        <v>45665.0</v>
      </c>
      <c r="C14" s="18" t="s">
        <v>337</v>
      </c>
      <c r="D14" s="19">
        <v>47787.0</v>
      </c>
      <c r="E14" s="20" t="s">
        <v>158</v>
      </c>
      <c r="F14" s="22"/>
      <c r="G14" s="22"/>
      <c r="H14" s="22"/>
      <c r="I14" s="21">
        <v>2500.0</v>
      </c>
      <c r="J14" s="21"/>
      <c r="K14" s="22"/>
      <c r="L14" s="22"/>
      <c r="M14" s="21"/>
      <c r="N14" s="22"/>
      <c r="O14" s="22"/>
      <c r="P14" s="24">
        <v>2500.0</v>
      </c>
      <c r="Q14" s="25" t="s">
        <v>255</v>
      </c>
      <c r="R14" s="24" t="s">
        <v>31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2.0" customHeight="1">
      <c r="A15" s="16">
        <v>11.0</v>
      </c>
      <c r="B15" s="28">
        <v>45665.0</v>
      </c>
      <c r="C15" s="18" t="s">
        <v>338</v>
      </c>
      <c r="D15" s="19">
        <v>37642.0</v>
      </c>
      <c r="E15" s="20" t="s">
        <v>339</v>
      </c>
      <c r="F15" s="22"/>
      <c r="G15" s="22"/>
      <c r="H15" s="22"/>
      <c r="I15" s="21">
        <v>4500.0</v>
      </c>
      <c r="J15" s="21"/>
      <c r="K15" s="22">
        <v>3000.0</v>
      </c>
      <c r="L15" s="22"/>
      <c r="M15" s="21"/>
      <c r="N15" s="22"/>
      <c r="O15" s="22"/>
      <c r="P15" s="24">
        <v>7500.0</v>
      </c>
      <c r="Q15" s="25" t="s">
        <v>255</v>
      </c>
      <c r="R15" s="24" t="s">
        <v>31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2.0" customHeight="1">
      <c r="A16" s="16">
        <v>12.0</v>
      </c>
      <c r="B16" s="28">
        <v>45665.0</v>
      </c>
      <c r="C16" s="18" t="s">
        <v>340</v>
      </c>
      <c r="D16" s="19">
        <v>81539.0</v>
      </c>
      <c r="E16" s="20" t="s">
        <v>341</v>
      </c>
      <c r="F16" s="22"/>
      <c r="G16" s="22"/>
      <c r="H16" s="22"/>
      <c r="I16" s="21">
        <v>5100.0</v>
      </c>
      <c r="J16" s="21"/>
      <c r="K16" s="22"/>
      <c r="L16" s="22"/>
      <c r="M16" s="21"/>
      <c r="N16" s="22"/>
      <c r="O16" s="22"/>
      <c r="P16" s="24">
        <v>5100.0</v>
      </c>
      <c r="Q16" s="25" t="s">
        <v>255</v>
      </c>
      <c r="R16" s="24" t="s">
        <v>46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2.0" customHeight="1">
      <c r="A17" s="16">
        <v>13.0</v>
      </c>
      <c r="B17" s="28">
        <v>45665.0</v>
      </c>
      <c r="C17" s="18" t="s">
        <v>342</v>
      </c>
      <c r="D17" s="19">
        <v>22727.0</v>
      </c>
      <c r="E17" s="20" t="s">
        <v>211</v>
      </c>
      <c r="F17" s="22"/>
      <c r="G17" s="22"/>
      <c r="H17" s="22"/>
      <c r="I17" s="21">
        <v>7250.0</v>
      </c>
      <c r="J17" s="21"/>
      <c r="K17" s="22"/>
      <c r="L17" s="22"/>
      <c r="M17" s="21"/>
      <c r="N17" s="22"/>
      <c r="O17" s="22"/>
      <c r="P17" s="24">
        <v>7250.0</v>
      </c>
      <c r="Q17" s="25" t="s">
        <v>255</v>
      </c>
      <c r="R17" s="24" t="s">
        <v>31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2.0" customHeight="1">
      <c r="A18" s="16">
        <v>14.0</v>
      </c>
      <c r="B18" s="28">
        <v>45665.0</v>
      </c>
      <c r="C18" s="18" t="s">
        <v>343</v>
      </c>
      <c r="D18" s="19">
        <v>85890.0</v>
      </c>
      <c r="E18" s="20" t="s">
        <v>344</v>
      </c>
      <c r="F18" s="22"/>
      <c r="G18" s="22"/>
      <c r="H18" s="22"/>
      <c r="I18" s="21">
        <v>300.0</v>
      </c>
      <c r="J18" s="21"/>
      <c r="K18" s="22"/>
      <c r="L18" s="22"/>
      <c r="M18" s="22"/>
      <c r="N18" s="22"/>
      <c r="O18" s="22"/>
      <c r="P18" s="24">
        <v>300.0</v>
      </c>
      <c r="Q18" s="25" t="s">
        <v>255</v>
      </c>
      <c r="R18" s="24" t="s">
        <v>46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2.0" customHeight="1">
      <c r="A19" s="16">
        <v>15.0</v>
      </c>
      <c r="B19" s="28">
        <v>45665.0</v>
      </c>
      <c r="C19" s="18" t="s">
        <v>345</v>
      </c>
      <c r="D19" s="19">
        <v>50436.0</v>
      </c>
      <c r="E19" s="20" t="s">
        <v>154</v>
      </c>
      <c r="F19" s="22"/>
      <c r="G19" s="22"/>
      <c r="H19" s="22"/>
      <c r="I19" s="21">
        <v>15600.0</v>
      </c>
      <c r="J19" s="21"/>
      <c r="K19" s="22"/>
      <c r="L19" s="22"/>
      <c r="M19" s="21"/>
      <c r="N19" s="22"/>
      <c r="O19" s="22"/>
      <c r="P19" s="24">
        <v>15600.0</v>
      </c>
      <c r="Q19" s="25" t="s">
        <v>255</v>
      </c>
      <c r="R19" s="24" t="s">
        <v>28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2.0" customHeight="1">
      <c r="A20" s="16">
        <v>16.0</v>
      </c>
      <c r="B20" s="28">
        <v>45665.0</v>
      </c>
      <c r="C20" s="18" t="s">
        <v>346</v>
      </c>
      <c r="D20" s="19">
        <v>66770.0</v>
      </c>
      <c r="E20" s="20" t="s">
        <v>58</v>
      </c>
      <c r="F20" s="22"/>
      <c r="G20" s="22"/>
      <c r="H20" s="22"/>
      <c r="I20" s="23"/>
      <c r="J20" s="23">
        <v>8950.0</v>
      </c>
      <c r="K20" s="22"/>
      <c r="L20" s="22"/>
      <c r="M20" s="22"/>
      <c r="N20" s="22"/>
      <c r="O20" s="22"/>
      <c r="P20" s="24">
        <v>8950.0</v>
      </c>
      <c r="Q20" s="25" t="s">
        <v>255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2.0" customHeight="1">
      <c r="A21" s="16">
        <v>17.0</v>
      </c>
      <c r="B21" s="28">
        <v>45665.0</v>
      </c>
      <c r="C21" s="18" t="s">
        <v>347</v>
      </c>
      <c r="D21" s="19">
        <v>85891.0</v>
      </c>
      <c r="E21" s="20" t="s">
        <v>348</v>
      </c>
      <c r="F21" s="21"/>
      <c r="G21" s="22"/>
      <c r="H21" s="22">
        <v>300.0</v>
      </c>
      <c r="I21" s="30"/>
      <c r="J21" s="22"/>
      <c r="K21" s="31"/>
      <c r="L21" s="22"/>
      <c r="M21" s="22"/>
      <c r="N21" s="22"/>
      <c r="O21" s="22"/>
      <c r="P21" s="24">
        <v>300.0</v>
      </c>
      <c r="Q21" s="25" t="s">
        <v>255</v>
      </c>
      <c r="R21" s="24" t="s">
        <v>46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2.0" customHeight="1">
      <c r="A22" s="16">
        <v>18.0</v>
      </c>
      <c r="B22" s="28">
        <v>45665.0</v>
      </c>
      <c r="C22" s="18" t="s">
        <v>349</v>
      </c>
      <c r="D22" s="19">
        <v>22332.0</v>
      </c>
      <c r="E22" s="20" t="s">
        <v>350</v>
      </c>
      <c r="F22" s="21"/>
      <c r="G22" s="22"/>
      <c r="H22" s="22"/>
      <c r="I22" s="21">
        <v>4600.0</v>
      </c>
      <c r="J22" s="22"/>
      <c r="K22" s="21"/>
      <c r="L22" s="22"/>
      <c r="M22" s="22"/>
      <c r="N22" s="22"/>
      <c r="O22" s="22"/>
      <c r="P22" s="24">
        <v>4600.0</v>
      </c>
      <c r="Q22" s="25" t="s">
        <v>255</v>
      </c>
      <c r="R22" s="24" t="s">
        <v>31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2.0" customHeight="1">
      <c r="A23" s="16">
        <v>19.0</v>
      </c>
      <c r="B23" s="32">
        <v>45665.0</v>
      </c>
      <c r="C23" s="33" t="s">
        <v>351</v>
      </c>
      <c r="D23" s="34">
        <v>76189.0</v>
      </c>
      <c r="E23" s="35" t="s">
        <v>352</v>
      </c>
      <c r="F23" s="30"/>
      <c r="G23" s="36"/>
      <c r="H23" s="36"/>
      <c r="I23" s="30">
        <v>5100.0</v>
      </c>
      <c r="J23" s="30"/>
      <c r="K23" s="37"/>
      <c r="L23" s="36"/>
      <c r="M23" s="36"/>
      <c r="N23" s="36"/>
      <c r="O23" s="36"/>
      <c r="P23" s="38">
        <v>5100.0</v>
      </c>
      <c r="Q23" s="25" t="s">
        <v>255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2.0" customHeight="1">
      <c r="A24" s="16">
        <v>20.0</v>
      </c>
      <c r="B24" s="32">
        <v>45664.0</v>
      </c>
      <c r="C24" s="33" t="s">
        <v>353</v>
      </c>
      <c r="D24" s="34">
        <v>85562.0</v>
      </c>
      <c r="E24" s="35" t="s">
        <v>162</v>
      </c>
      <c r="F24" s="30"/>
      <c r="G24" s="36"/>
      <c r="H24" s="36"/>
      <c r="I24" s="30"/>
      <c r="J24" s="30"/>
      <c r="K24" s="37">
        <v>2500.0</v>
      </c>
      <c r="L24" s="36"/>
      <c r="M24" s="36"/>
      <c r="N24" s="36"/>
      <c r="O24" s="36"/>
      <c r="P24" s="38">
        <v>2500.0</v>
      </c>
      <c r="Q24" s="25" t="s">
        <v>255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2.0" customHeight="1">
      <c r="A25" s="16">
        <v>21.0</v>
      </c>
      <c r="B25" s="32">
        <v>45664.0</v>
      </c>
      <c r="C25" s="33" t="s">
        <v>354</v>
      </c>
      <c r="D25" s="34">
        <v>51017.0</v>
      </c>
      <c r="E25" s="35" t="s">
        <v>167</v>
      </c>
      <c r="F25" s="30"/>
      <c r="G25" s="36"/>
      <c r="H25" s="36">
        <v>10000.0</v>
      </c>
      <c r="I25" s="30"/>
      <c r="J25" s="30"/>
      <c r="K25" s="37"/>
      <c r="L25" s="36"/>
      <c r="M25" s="36"/>
      <c r="N25" s="36"/>
      <c r="O25" s="36"/>
      <c r="P25" s="38">
        <v>10000.0</v>
      </c>
      <c r="Q25" s="25" t="s">
        <v>255</v>
      </c>
      <c r="R25" s="38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2.0" customHeight="1">
      <c r="A26" s="16">
        <v>22.0</v>
      </c>
      <c r="B26" s="32">
        <v>45665.0</v>
      </c>
      <c r="C26" s="33" t="s">
        <v>355</v>
      </c>
      <c r="D26" s="34">
        <v>52669.0</v>
      </c>
      <c r="E26" s="35" t="s">
        <v>169</v>
      </c>
      <c r="F26" s="30"/>
      <c r="G26" s="36"/>
      <c r="H26" s="36">
        <v>17450.0</v>
      </c>
      <c r="I26" s="30"/>
      <c r="J26" s="30"/>
      <c r="K26" s="37"/>
      <c r="L26" s="36"/>
      <c r="M26" s="36"/>
      <c r="N26" s="36"/>
      <c r="O26" s="36"/>
      <c r="P26" s="38">
        <v>17450.0</v>
      </c>
      <c r="Q26" s="25" t="s">
        <v>255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2.0" customHeight="1">
      <c r="A27" s="16">
        <v>23.0</v>
      </c>
      <c r="B27" s="32">
        <v>45665.0</v>
      </c>
      <c r="C27" s="33" t="s">
        <v>356</v>
      </c>
      <c r="D27" s="34">
        <v>42046.0</v>
      </c>
      <c r="E27" s="35" t="s">
        <v>357</v>
      </c>
      <c r="F27" s="30"/>
      <c r="G27" s="36"/>
      <c r="H27" s="36">
        <v>2750.0</v>
      </c>
      <c r="I27" s="30"/>
      <c r="J27" s="30"/>
      <c r="K27" s="37"/>
      <c r="L27" s="36"/>
      <c r="M27" s="36"/>
      <c r="N27" s="36"/>
      <c r="O27" s="36"/>
      <c r="P27" s="38">
        <v>2750.0</v>
      </c>
      <c r="Q27" s="25" t="s">
        <v>255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2.0" customHeight="1">
      <c r="A28" s="16">
        <v>24.0</v>
      </c>
      <c r="B28" s="32">
        <v>45665.0</v>
      </c>
      <c r="C28" s="33" t="s">
        <v>358</v>
      </c>
      <c r="D28" s="34">
        <v>30909.0</v>
      </c>
      <c r="E28" s="35" t="s">
        <v>312</v>
      </c>
      <c r="F28" s="30"/>
      <c r="G28" s="36"/>
      <c r="H28" s="36">
        <v>4500.0</v>
      </c>
      <c r="I28" s="30"/>
      <c r="J28" s="30"/>
      <c r="K28" s="37"/>
      <c r="L28" s="36"/>
      <c r="M28" s="36"/>
      <c r="N28" s="36"/>
      <c r="O28" s="36"/>
      <c r="P28" s="38">
        <v>4500.0</v>
      </c>
      <c r="Q28" s="25" t="s">
        <v>255</v>
      </c>
      <c r="R28" s="38"/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2.0" customHeight="1">
      <c r="A29" s="16">
        <v>25.0</v>
      </c>
      <c r="B29" s="32">
        <v>45665.0</v>
      </c>
      <c r="C29" s="33" t="s">
        <v>359</v>
      </c>
      <c r="D29" s="34">
        <v>52215.0</v>
      </c>
      <c r="E29" s="35" t="s">
        <v>360</v>
      </c>
      <c r="F29" s="30"/>
      <c r="G29" s="36"/>
      <c r="H29" s="36">
        <v>2500.0</v>
      </c>
      <c r="I29" s="30"/>
      <c r="J29" s="30"/>
      <c r="K29" s="37"/>
      <c r="L29" s="36"/>
      <c r="M29" s="36"/>
      <c r="N29" s="36"/>
      <c r="O29" s="36"/>
      <c r="P29" s="38">
        <v>2500.0</v>
      </c>
      <c r="Q29" s="25" t="s">
        <v>255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2.0" customHeight="1">
      <c r="A30" s="16">
        <v>29.0</v>
      </c>
      <c r="B30" s="32">
        <v>45665.0</v>
      </c>
      <c r="C30" s="33" t="s">
        <v>361</v>
      </c>
      <c r="D30" s="34">
        <v>27880.0</v>
      </c>
      <c r="E30" s="35" t="s">
        <v>362</v>
      </c>
      <c r="F30" s="30"/>
      <c r="G30" s="36"/>
      <c r="H30" s="36">
        <v>4500.0</v>
      </c>
      <c r="I30" s="30"/>
      <c r="J30" s="30"/>
      <c r="K30" s="37"/>
      <c r="L30" s="36"/>
      <c r="M30" s="36"/>
      <c r="N30" s="36"/>
      <c r="O30" s="36"/>
      <c r="P30" s="38">
        <v>4500.0</v>
      </c>
      <c r="Q30" s="25" t="s">
        <v>255</v>
      </c>
      <c r="R30" s="38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2.0" customHeight="1">
      <c r="A31" s="16">
        <v>30.0</v>
      </c>
      <c r="B31" s="32">
        <v>45665.0</v>
      </c>
      <c r="C31" s="33" t="s">
        <v>363</v>
      </c>
      <c r="D31" s="34">
        <v>72839.0</v>
      </c>
      <c r="E31" s="35" t="s">
        <v>364</v>
      </c>
      <c r="F31" s="30"/>
      <c r="G31" s="36"/>
      <c r="H31" s="36">
        <v>10000.0</v>
      </c>
      <c r="I31" s="30"/>
      <c r="J31" s="30"/>
      <c r="K31" s="37"/>
      <c r="L31" s="36"/>
      <c r="M31" s="36"/>
      <c r="N31" s="36"/>
      <c r="O31" s="36"/>
      <c r="P31" s="38">
        <v>10000.0</v>
      </c>
      <c r="Q31" s="25" t="s">
        <v>255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2.0" customHeight="1">
      <c r="A32" s="16">
        <v>31.0</v>
      </c>
      <c r="B32" s="32">
        <v>45665.0</v>
      </c>
      <c r="C32" s="33" t="s">
        <v>365</v>
      </c>
      <c r="D32" s="34">
        <v>25542.0</v>
      </c>
      <c r="E32" s="35" t="s">
        <v>366</v>
      </c>
      <c r="F32" s="30"/>
      <c r="G32" s="36"/>
      <c r="H32" s="36">
        <v>7000.0</v>
      </c>
      <c r="I32" s="30"/>
      <c r="J32" s="30"/>
      <c r="K32" s="37"/>
      <c r="L32" s="36"/>
      <c r="M32" s="36"/>
      <c r="N32" s="36"/>
      <c r="O32" s="36"/>
      <c r="P32" s="38">
        <v>7000.0</v>
      </c>
      <c r="Q32" s="25" t="s">
        <v>255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2.0" customHeight="1">
      <c r="A33" s="16">
        <v>32.0</v>
      </c>
      <c r="B33" s="32">
        <v>45665.0</v>
      </c>
      <c r="C33" s="33" t="s">
        <v>367</v>
      </c>
      <c r="D33" s="34">
        <v>85888.0</v>
      </c>
      <c r="E33" s="35" t="s">
        <v>368</v>
      </c>
      <c r="F33" s="30"/>
      <c r="G33" s="36"/>
      <c r="H33" s="36"/>
      <c r="I33" s="30"/>
      <c r="J33" s="30"/>
      <c r="K33" s="37"/>
      <c r="L33" s="36"/>
      <c r="M33" s="36">
        <v>300.0</v>
      </c>
      <c r="N33" s="36"/>
      <c r="O33" s="36"/>
      <c r="P33" s="38">
        <v>300.0</v>
      </c>
      <c r="Q33" s="25" t="s">
        <v>255</v>
      </c>
      <c r="R33" s="38"/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2.0" customHeight="1">
      <c r="A34" s="16">
        <v>34.0</v>
      </c>
      <c r="B34" s="32">
        <v>45665.0</v>
      </c>
      <c r="C34" s="33" t="s">
        <v>369</v>
      </c>
      <c r="D34" s="34">
        <v>31927.0</v>
      </c>
      <c r="E34" s="35" t="s">
        <v>104</v>
      </c>
      <c r="F34" s="30"/>
      <c r="G34" s="36"/>
      <c r="H34" s="36"/>
      <c r="I34" s="30"/>
      <c r="J34" s="30"/>
      <c r="K34" s="37"/>
      <c r="L34" s="36"/>
      <c r="M34" s="36">
        <v>5600.0</v>
      </c>
      <c r="N34" s="36"/>
      <c r="O34" s="36"/>
      <c r="P34" s="38">
        <v>5600.0</v>
      </c>
      <c r="Q34" s="25" t="s">
        <v>255</v>
      </c>
      <c r="R34" s="38"/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58.5" customHeight="1">
      <c r="A35" s="60"/>
      <c r="B35" s="61"/>
      <c r="C35" s="62"/>
      <c r="D35" s="63" t="s">
        <v>115</v>
      </c>
      <c r="E35" s="64" t="s">
        <v>115</v>
      </c>
      <c r="F35" s="65">
        <f t="shared" ref="F35:P35" si="1">SUM(F5:F34)</f>
        <v>0</v>
      </c>
      <c r="G35" s="65">
        <f t="shared" si="1"/>
        <v>0</v>
      </c>
      <c r="H35" s="65">
        <f t="shared" si="1"/>
        <v>59000</v>
      </c>
      <c r="I35" s="65">
        <f t="shared" si="1"/>
        <v>63450</v>
      </c>
      <c r="J35" s="65">
        <f t="shared" si="1"/>
        <v>35050</v>
      </c>
      <c r="K35" s="65">
        <f t="shared" si="1"/>
        <v>9294</v>
      </c>
      <c r="L35" s="65">
        <f t="shared" si="1"/>
        <v>0</v>
      </c>
      <c r="M35" s="65">
        <f t="shared" si="1"/>
        <v>5900</v>
      </c>
      <c r="N35" s="65">
        <f t="shared" si="1"/>
        <v>0</v>
      </c>
      <c r="O35" s="65">
        <f t="shared" si="1"/>
        <v>0</v>
      </c>
      <c r="P35" s="65">
        <f t="shared" si="1"/>
        <v>172694</v>
      </c>
      <c r="Q35" s="65">
        <f>SUM(Q5:Q27)</f>
        <v>0</v>
      </c>
      <c r="R35" s="66"/>
      <c r="S35" s="67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</row>
    <row r="36" ht="58.5" customHeight="1">
      <c r="A36" s="69"/>
      <c r="B36" s="70"/>
      <c r="C36" s="71"/>
      <c r="D36" s="70"/>
      <c r="E36" s="70"/>
      <c r="F36" s="72">
        <f>F35+G35+H35+I35+J35+K35+L35+M35+N35+O35</f>
        <v>172694</v>
      </c>
      <c r="G36" s="2"/>
      <c r="H36" s="2"/>
      <c r="I36" s="2"/>
      <c r="J36" s="2"/>
      <c r="K36" s="2"/>
      <c r="L36" s="2"/>
      <c r="M36" s="2"/>
      <c r="N36" s="2"/>
      <c r="O36" s="2"/>
      <c r="P36" s="73"/>
      <c r="Q36" s="73"/>
      <c r="R36" s="70"/>
      <c r="S36" s="74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15.75" customHeight="1">
      <c r="A37" s="27"/>
      <c r="B37" s="27"/>
      <c r="C37" s="75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t="26.25" customHeight="1">
      <c r="A38" s="27"/>
      <c r="B38" s="27"/>
      <c r="C38" s="75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87.0" customHeight="1">
      <c r="A39" s="76" t="s">
        <v>370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42.0" customHeight="1">
      <c r="A40" s="77" t="s">
        <v>1</v>
      </c>
      <c r="B40" s="78" t="s">
        <v>2</v>
      </c>
      <c r="C40" s="78" t="s">
        <v>3</v>
      </c>
      <c r="D40" s="78" t="s">
        <v>4</v>
      </c>
      <c r="E40" s="78" t="s">
        <v>5</v>
      </c>
      <c r="F40" s="101" t="s">
        <v>371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78" t="s">
        <v>7</v>
      </c>
      <c r="S40" s="78" t="s">
        <v>8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3.0" customHeight="1">
      <c r="A41" s="10"/>
      <c r="B41" s="11"/>
      <c r="C41" s="11"/>
      <c r="D41" s="11"/>
      <c r="E41" s="11"/>
      <c r="F41" s="80" t="s">
        <v>9</v>
      </c>
      <c r="G41" s="79" t="s">
        <v>10</v>
      </c>
      <c r="H41" s="9"/>
      <c r="I41" s="79" t="s">
        <v>11</v>
      </c>
      <c r="J41" s="9"/>
      <c r="K41" s="78" t="s">
        <v>12</v>
      </c>
      <c r="L41" s="81"/>
      <c r="M41" s="81"/>
      <c r="N41" s="81"/>
      <c r="O41" s="82" t="s">
        <v>372</v>
      </c>
      <c r="P41" s="78" t="s">
        <v>14</v>
      </c>
      <c r="Q41" s="78" t="s">
        <v>15</v>
      </c>
      <c r="R41" s="11"/>
      <c r="S41" s="1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3.0" customHeight="1">
      <c r="A42" s="14"/>
      <c r="B42" s="9"/>
      <c r="C42" s="9"/>
      <c r="D42" s="9"/>
      <c r="E42" s="9"/>
      <c r="F42" s="9"/>
      <c r="G42" s="83" t="s">
        <v>16</v>
      </c>
      <c r="H42" s="83" t="s">
        <v>17</v>
      </c>
      <c r="I42" s="83" t="s">
        <v>18</v>
      </c>
      <c r="J42" s="83" t="s">
        <v>19</v>
      </c>
      <c r="K42" s="9"/>
      <c r="L42" s="83" t="s">
        <v>20</v>
      </c>
      <c r="M42" s="83" t="s">
        <v>21</v>
      </c>
      <c r="N42" s="83" t="s">
        <v>22</v>
      </c>
      <c r="O42" s="9"/>
      <c r="P42" s="9"/>
      <c r="Q42" s="9"/>
      <c r="R42" s="9"/>
      <c r="S42" s="9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45.0" customHeight="1">
      <c r="A43" s="16">
        <v>1.0</v>
      </c>
      <c r="B43" s="32">
        <v>45665.0</v>
      </c>
      <c r="C43" s="33" t="s">
        <v>373</v>
      </c>
      <c r="D43" s="34">
        <v>61436.0</v>
      </c>
      <c r="E43" s="35" t="s">
        <v>331</v>
      </c>
      <c r="F43" s="30"/>
      <c r="G43" s="36"/>
      <c r="H43" s="36"/>
      <c r="I43" s="30"/>
      <c r="J43" s="30"/>
      <c r="K43" s="37"/>
      <c r="L43" s="36"/>
      <c r="M43" s="36"/>
      <c r="N43" s="36"/>
      <c r="O43" s="36">
        <v>35.0</v>
      </c>
      <c r="P43" s="38">
        <v>35.0</v>
      </c>
      <c r="Q43" s="25" t="s">
        <v>255</v>
      </c>
      <c r="R43" s="38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45.0" customHeight="1">
      <c r="A44" s="16">
        <v>2.0</v>
      </c>
      <c r="B44" s="32">
        <v>45665.0</v>
      </c>
      <c r="C44" s="33" t="s">
        <v>374</v>
      </c>
      <c r="D44" s="34">
        <v>49557.0</v>
      </c>
      <c r="E44" s="35" t="s">
        <v>375</v>
      </c>
      <c r="F44" s="30"/>
      <c r="G44" s="36"/>
      <c r="H44" s="36"/>
      <c r="I44" s="30"/>
      <c r="J44" s="30"/>
      <c r="K44" s="37"/>
      <c r="L44" s="36"/>
      <c r="M44" s="36"/>
      <c r="N44" s="36"/>
      <c r="O44" s="36">
        <v>46.0</v>
      </c>
      <c r="P44" s="38">
        <v>46.0</v>
      </c>
      <c r="Q44" s="25" t="s">
        <v>255</v>
      </c>
      <c r="R44" s="38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45.0" customHeight="1">
      <c r="A45" s="16">
        <v>3.0</v>
      </c>
      <c r="B45" s="32">
        <v>45665.0</v>
      </c>
      <c r="C45" s="33" t="s">
        <v>376</v>
      </c>
      <c r="D45" s="34">
        <v>36786.0</v>
      </c>
      <c r="E45" s="35" t="s">
        <v>377</v>
      </c>
      <c r="F45" s="30"/>
      <c r="G45" s="36"/>
      <c r="H45" s="36"/>
      <c r="I45" s="30"/>
      <c r="J45" s="30"/>
      <c r="K45" s="37"/>
      <c r="L45" s="36"/>
      <c r="M45" s="36"/>
      <c r="N45" s="36"/>
      <c r="O45" s="36">
        <v>46.0</v>
      </c>
      <c r="P45" s="38">
        <v>46.0</v>
      </c>
      <c r="Q45" s="25" t="s">
        <v>255</v>
      </c>
      <c r="R45" s="38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45.0" customHeight="1">
      <c r="A46" s="16">
        <v>4.0</v>
      </c>
      <c r="B46" s="32">
        <v>45665.0</v>
      </c>
      <c r="C46" s="33" t="s">
        <v>378</v>
      </c>
      <c r="D46" s="34">
        <v>36768.0</v>
      </c>
      <c r="E46" s="35" t="s">
        <v>379</v>
      </c>
      <c r="F46" s="30"/>
      <c r="G46" s="36"/>
      <c r="H46" s="36"/>
      <c r="I46" s="30"/>
      <c r="J46" s="30"/>
      <c r="K46" s="37"/>
      <c r="L46" s="36"/>
      <c r="M46" s="36"/>
      <c r="N46" s="36"/>
      <c r="O46" s="36">
        <v>23.0</v>
      </c>
      <c r="P46" s="38">
        <v>23.0</v>
      </c>
      <c r="Q46" s="25" t="s">
        <v>255</v>
      </c>
      <c r="R46" s="38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54.0" customHeight="1">
      <c r="A47" s="85"/>
      <c r="B47" s="86"/>
      <c r="C47" s="87"/>
      <c r="D47" s="88" t="s">
        <v>115</v>
      </c>
      <c r="E47" s="89"/>
      <c r="F47" s="90">
        <f t="shared" ref="F47:O47" si="2">SUM(F43:F45)</f>
        <v>0</v>
      </c>
      <c r="G47" s="90">
        <f t="shared" si="2"/>
        <v>0</v>
      </c>
      <c r="H47" s="90">
        <f t="shared" si="2"/>
        <v>0</v>
      </c>
      <c r="I47" s="90">
        <f t="shared" si="2"/>
        <v>0</v>
      </c>
      <c r="J47" s="90">
        <f t="shared" si="2"/>
        <v>0</v>
      </c>
      <c r="K47" s="90">
        <f t="shared" si="2"/>
        <v>0</v>
      </c>
      <c r="L47" s="90">
        <f t="shared" si="2"/>
        <v>0</v>
      </c>
      <c r="M47" s="90">
        <f t="shared" si="2"/>
        <v>0</v>
      </c>
      <c r="N47" s="90">
        <f t="shared" si="2"/>
        <v>0</v>
      </c>
      <c r="O47" s="90">
        <f t="shared" si="2"/>
        <v>127</v>
      </c>
      <c r="P47" s="90"/>
      <c r="Q47" s="90">
        <v>0.0</v>
      </c>
      <c r="R47" s="89"/>
      <c r="S47" s="91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 ht="48.0" customHeight="1">
      <c r="A48" s="93"/>
      <c r="B48" s="94"/>
      <c r="C48" s="95"/>
      <c r="D48" s="94"/>
      <c r="E48" s="94"/>
      <c r="F48" s="96">
        <f>F47+G47+H47+I47+J47+K47+L47+M47+N47+O47</f>
        <v>127</v>
      </c>
      <c r="G48" s="2"/>
      <c r="H48" s="2"/>
      <c r="I48" s="2"/>
      <c r="J48" s="2"/>
      <c r="K48" s="2"/>
      <c r="L48" s="2"/>
      <c r="M48" s="2"/>
      <c r="N48" s="2"/>
      <c r="O48" s="2"/>
      <c r="P48" s="97"/>
      <c r="Q48" s="97"/>
      <c r="R48" s="94"/>
      <c r="S48" s="9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27"/>
      <c r="B49" s="27"/>
      <c r="C49" s="75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57.0" customHeight="1">
      <c r="A50" s="27"/>
      <c r="B50" s="27"/>
      <c r="C50" s="75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58.5" customHeight="1">
      <c r="A51" s="102" t="s">
        <v>380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58.5" customHeight="1">
      <c r="A52" s="103" t="s">
        <v>1</v>
      </c>
      <c r="B52" s="104" t="s">
        <v>2</v>
      </c>
      <c r="C52" s="104" t="s">
        <v>3</v>
      </c>
      <c r="D52" s="104" t="s">
        <v>4</v>
      </c>
      <c r="E52" s="104" t="s">
        <v>5</v>
      </c>
      <c r="F52" s="105" t="s">
        <v>371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9"/>
      <c r="R52" s="104" t="s">
        <v>7</v>
      </c>
      <c r="S52" s="104" t="s">
        <v>8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58.5" customHeight="1">
      <c r="A53" s="10"/>
      <c r="B53" s="11"/>
      <c r="C53" s="11"/>
      <c r="D53" s="11"/>
      <c r="E53" s="11"/>
      <c r="F53" s="106" t="s">
        <v>9</v>
      </c>
      <c r="G53" s="107" t="s">
        <v>10</v>
      </c>
      <c r="H53" s="9"/>
      <c r="I53" s="107" t="s">
        <v>11</v>
      </c>
      <c r="J53" s="9"/>
      <c r="K53" s="104" t="s">
        <v>12</v>
      </c>
      <c r="L53" s="108"/>
      <c r="M53" s="108"/>
      <c r="N53" s="108"/>
      <c r="O53" s="109" t="s">
        <v>381</v>
      </c>
      <c r="P53" s="104" t="s">
        <v>14</v>
      </c>
      <c r="Q53" s="104" t="s">
        <v>15</v>
      </c>
      <c r="R53" s="11"/>
      <c r="S53" s="1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58.5" customHeight="1">
      <c r="A54" s="14"/>
      <c r="B54" s="9"/>
      <c r="C54" s="9"/>
      <c r="D54" s="9"/>
      <c r="E54" s="9"/>
      <c r="F54" s="9"/>
      <c r="G54" s="110" t="s">
        <v>16</v>
      </c>
      <c r="H54" s="110" t="s">
        <v>17</v>
      </c>
      <c r="I54" s="110" t="s">
        <v>18</v>
      </c>
      <c r="J54" s="110" t="s">
        <v>19</v>
      </c>
      <c r="K54" s="9"/>
      <c r="L54" s="110" t="s">
        <v>20</v>
      </c>
      <c r="M54" s="110" t="s">
        <v>21</v>
      </c>
      <c r="N54" s="110" t="s">
        <v>22</v>
      </c>
      <c r="O54" s="9"/>
      <c r="P54" s="9"/>
      <c r="Q54" s="9"/>
      <c r="R54" s="9"/>
      <c r="S54" s="9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58.5" customHeight="1">
      <c r="A55" s="16">
        <v>1.0</v>
      </c>
      <c r="B55" s="32">
        <v>45665.0</v>
      </c>
      <c r="C55" s="33" t="s">
        <v>382</v>
      </c>
      <c r="D55" s="34">
        <v>22332.0</v>
      </c>
      <c r="E55" s="35" t="s">
        <v>350</v>
      </c>
      <c r="F55" s="30"/>
      <c r="G55" s="36"/>
      <c r="H55" s="36"/>
      <c r="I55" s="30"/>
      <c r="J55" s="30"/>
      <c r="K55" s="37"/>
      <c r="L55" s="36"/>
      <c r="M55" s="36"/>
      <c r="N55" s="36"/>
      <c r="O55" s="36"/>
      <c r="P55" s="38">
        <v>8.0</v>
      </c>
      <c r="Q55" s="25" t="s">
        <v>255</v>
      </c>
      <c r="R55" s="38" t="s">
        <v>31</v>
      </c>
      <c r="S55" s="111" t="s">
        <v>383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58.5" customHeight="1">
      <c r="A56" s="16">
        <v>2.0</v>
      </c>
      <c r="B56" s="32">
        <v>45665.0</v>
      </c>
      <c r="C56" s="33" t="s">
        <v>384</v>
      </c>
      <c r="D56" s="34">
        <v>61436.0</v>
      </c>
      <c r="E56" s="35" t="s">
        <v>331</v>
      </c>
      <c r="F56" s="30"/>
      <c r="G56" s="36"/>
      <c r="H56" s="36"/>
      <c r="I56" s="30"/>
      <c r="J56" s="30"/>
      <c r="K56" s="37"/>
      <c r="L56" s="36"/>
      <c r="M56" s="36"/>
      <c r="N56" s="36"/>
      <c r="O56" s="36"/>
      <c r="P56" s="38">
        <v>6.0</v>
      </c>
      <c r="Q56" s="25" t="s">
        <v>255</v>
      </c>
      <c r="R56" s="38" t="s">
        <v>46</v>
      </c>
      <c r="S56" s="111" t="s">
        <v>383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58.5" customHeight="1">
      <c r="A57" s="112"/>
      <c r="B57" s="113"/>
      <c r="C57" s="114"/>
      <c r="D57" s="115" t="s">
        <v>115</v>
      </c>
      <c r="E57" s="116"/>
      <c r="F57" s="117">
        <f t="shared" ref="F57:P57" si="3">SUM(F55:F56)</f>
        <v>0</v>
      </c>
      <c r="G57" s="117">
        <f t="shared" si="3"/>
        <v>0</v>
      </c>
      <c r="H57" s="117">
        <f t="shared" si="3"/>
        <v>0</v>
      </c>
      <c r="I57" s="117">
        <f t="shared" si="3"/>
        <v>0</v>
      </c>
      <c r="J57" s="117">
        <f t="shared" si="3"/>
        <v>0</v>
      </c>
      <c r="K57" s="117">
        <f t="shared" si="3"/>
        <v>0</v>
      </c>
      <c r="L57" s="117">
        <f t="shared" si="3"/>
        <v>0</v>
      </c>
      <c r="M57" s="117">
        <f t="shared" si="3"/>
        <v>0</v>
      </c>
      <c r="N57" s="117">
        <f t="shared" si="3"/>
        <v>0</v>
      </c>
      <c r="O57" s="117">
        <f t="shared" si="3"/>
        <v>0</v>
      </c>
      <c r="P57" s="117">
        <f t="shared" si="3"/>
        <v>14</v>
      </c>
      <c r="Q57" s="117">
        <v>0.0</v>
      </c>
      <c r="R57" s="116"/>
      <c r="S57" s="11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58.5" customHeight="1">
      <c r="A58" s="119"/>
      <c r="B58" s="120"/>
      <c r="C58" s="121"/>
      <c r="D58" s="120"/>
      <c r="E58" s="120"/>
      <c r="F58" s="122">
        <v>14.0</v>
      </c>
      <c r="G58" s="2"/>
      <c r="H58" s="2"/>
      <c r="I58" s="2"/>
      <c r="J58" s="2"/>
      <c r="K58" s="2"/>
      <c r="L58" s="2"/>
      <c r="M58" s="2"/>
      <c r="N58" s="2"/>
      <c r="O58" s="2"/>
      <c r="P58" s="123"/>
      <c r="Q58" s="123"/>
      <c r="R58" s="120"/>
      <c r="S58" s="1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51"/>
      <c r="D60" s="4"/>
      <c r="E60" s="53" t="s">
        <v>116</v>
      </c>
      <c r="F60" s="54" t="s">
        <v>117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55" t="s">
        <v>118</v>
      </c>
      <c r="F61" s="54" t="s">
        <v>119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55" t="s">
        <v>120</v>
      </c>
      <c r="F62" s="54" t="s">
        <v>317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55" t="s">
        <v>121</v>
      </c>
      <c r="F63" s="54" t="s">
        <v>119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55" t="s">
        <v>122</v>
      </c>
      <c r="F64" s="54" t="s">
        <v>119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55" t="s">
        <v>385</v>
      </c>
      <c r="F65" s="54" t="s">
        <v>119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51"/>
      <c r="D66" s="4"/>
      <c r="E66" s="55" t="s">
        <v>124</v>
      </c>
      <c r="F66" s="54" t="s">
        <v>317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51"/>
      <c r="D67" s="4"/>
      <c r="E67" s="55" t="s">
        <v>126</v>
      </c>
      <c r="F67" s="57" t="s">
        <v>117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48.0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48.0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48.0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</sheetData>
  <mergeCells count="51">
    <mergeCell ref="I3:J3"/>
    <mergeCell ref="K3:K4"/>
    <mergeCell ref="F36:O36"/>
    <mergeCell ref="A39:S39"/>
    <mergeCell ref="A40:A42"/>
    <mergeCell ref="B40:B42"/>
    <mergeCell ref="C40:C42"/>
    <mergeCell ref="S40:S42"/>
    <mergeCell ref="F40:Q40"/>
    <mergeCell ref="R40:R42"/>
    <mergeCell ref="F41:F42"/>
    <mergeCell ref="G41:H41"/>
    <mergeCell ref="I41:J41"/>
    <mergeCell ref="K41:K42"/>
    <mergeCell ref="O41:O42"/>
    <mergeCell ref="F48:O48"/>
    <mergeCell ref="A51:S51"/>
    <mergeCell ref="A52:A54"/>
    <mergeCell ref="B52:B54"/>
    <mergeCell ref="C52:C54"/>
    <mergeCell ref="D52:D54"/>
    <mergeCell ref="E52:E54"/>
    <mergeCell ref="S52:S54"/>
    <mergeCell ref="F52:Q52"/>
    <mergeCell ref="R52:R54"/>
    <mergeCell ref="F53:F54"/>
    <mergeCell ref="G53:H53"/>
    <mergeCell ref="I53:J53"/>
    <mergeCell ref="K53:K54"/>
    <mergeCell ref="O53:O54"/>
    <mergeCell ref="R2:R4"/>
    <mergeCell ref="S2:S4"/>
    <mergeCell ref="F3:F4"/>
    <mergeCell ref="G3:H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  <mergeCell ref="D40:D42"/>
    <mergeCell ref="E40:E42"/>
    <mergeCell ref="P41:P42"/>
    <mergeCell ref="Q41:Q42"/>
    <mergeCell ref="P53:P54"/>
    <mergeCell ref="Q53:Q54"/>
    <mergeCell ref="F58:O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386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17">
        <v>45666.0</v>
      </c>
      <c r="C6" s="18" t="s">
        <v>388</v>
      </c>
      <c r="D6" s="19">
        <v>62146.0</v>
      </c>
      <c r="E6" s="20" t="s">
        <v>389</v>
      </c>
      <c r="F6" s="21"/>
      <c r="G6" s="22"/>
      <c r="H6" s="21"/>
      <c r="I6" s="23">
        <v>100.0</v>
      </c>
      <c r="J6" s="23"/>
      <c r="K6" s="22"/>
      <c r="L6" s="22"/>
      <c r="M6" s="21"/>
      <c r="N6" s="22"/>
      <c r="O6" s="22"/>
      <c r="P6" s="24">
        <v>100.0</v>
      </c>
      <c r="Q6" s="25">
        <f t="shared" ref="Q6:Q34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45666.0</v>
      </c>
      <c r="C7" s="18" t="s">
        <v>390</v>
      </c>
      <c r="D7" s="19">
        <v>19688.0</v>
      </c>
      <c r="E7" s="20" t="s">
        <v>300</v>
      </c>
      <c r="F7" s="21"/>
      <c r="G7" s="22"/>
      <c r="H7" s="22"/>
      <c r="I7" s="21"/>
      <c r="J7" s="22">
        <v>9500.0</v>
      </c>
      <c r="K7" s="22"/>
      <c r="L7" s="22"/>
      <c r="M7" s="21"/>
      <c r="N7" s="22"/>
      <c r="O7" s="22"/>
      <c r="P7" s="24">
        <v>9500.0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45666.0</v>
      </c>
      <c r="C8" s="18" t="s">
        <v>391</v>
      </c>
      <c r="D8" s="19">
        <v>52373.0</v>
      </c>
      <c r="E8" s="20" t="s">
        <v>392</v>
      </c>
      <c r="F8" s="22"/>
      <c r="G8" s="22"/>
      <c r="H8" s="21"/>
      <c r="I8" s="21"/>
      <c r="J8" s="23">
        <v>10000.0</v>
      </c>
      <c r="K8" s="22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28">
        <v>45666.0</v>
      </c>
      <c r="C9" s="18" t="s">
        <v>393</v>
      </c>
      <c r="D9" s="19">
        <v>10249.0</v>
      </c>
      <c r="E9" s="20" t="s">
        <v>394</v>
      </c>
      <c r="F9" s="22"/>
      <c r="G9" s="22"/>
      <c r="H9" s="22"/>
      <c r="I9" s="21"/>
      <c r="J9" s="21">
        <v>2800.0</v>
      </c>
      <c r="K9" s="22"/>
      <c r="L9" s="22"/>
      <c r="M9" s="22"/>
      <c r="N9" s="22"/>
      <c r="O9" s="22"/>
      <c r="P9" s="24">
        <v>2800.0</v>
      </c>
      <c r="Q9" s="25">
        <f t="shared" si="1"/>
        <v>0</v>
      </c>
      <c r="R9" s="24" t="s">
        <v>28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5.0" customHeight="1">
      <c r="A10" s="16">
        <v>5.0</v>
      </c>
      <c r="B10" s="28">
        <v>45666.0</v>
      </c>
      <c r="C10" s="18" t="s">
        <v>395</v>
      </c>
      <c r="D10" s="19">
        <v>83066.0</v>
      </c>
      <c r="E10" s="20" t="s">
        <v>396</v>
      </c>
      <c r="F10" s="22"/>
      <c r="G10" s="22"/>
      <c r="H10" s="22"/>
      <c r="I10" s="21"/>
      <c r="J10" s="21">
        <v>4500.0</v>
      </c>
      <c r="K10" s="22"/>
      <c r="L10" s="22"/>
      <c r="M10" s="21"/>
      <c r="N10" s="22"/>
      <c r="O10" s="22"/>
      <c r="P10" s="24">
        <v>4500.0</v>
      </c>
      <c r="Q10" s="25">
        <f t="shared" si="1"/>
        <v>0</v>
      </c>
      <c r="R10" s="24" t="s">
        <v>28</v>
      </c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5.0" customHeight="1">
      <c r="A11" s="16">
        <v>6.0</v>
      </c>
      <c r="B11" s="28">
        <v>45666.0</v>
      </c>
      <c r="C11" s="18" t="s">
        <v>397</v>
      </c>
      <c r="D11" s="19">
        <v>19688.0</v>
      </c>
      <c r="E11" s="20" t="s">
        <v>300</v>
      </c>
      <c r="F11" s="22"/>
      <c r="G11" s="22"/>
      <c r="H11" s="22"/>
      <c r="I11" s="21"/>
      <c r="J11" s="21">
        <v>5000.0</v>
      </c>
      <c r="K11" s="22"/>
      <c r="L11" s="22"/>
      <c r="M11" s="21"/>
      <c r="N11" s="22"/>
      <c r="O11" s="22"/>
      <c r="P11" s="24">
        <v>5000.0</v>
      </c>
      <c r="Q11" s="25">
        <f t="shared" si="1"/>
        <v>0</v>
      </c>
      <c r="R11" s="24" t="s">
        <v>28</v>
      </c>
      <c r="S11" s="29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5.0" customHeight="1">
      <c r="A12" s="16">
        <v>7.0</v>
      </c>
      <c r="B12" s="28">
        <v>45666.0</v>
      </c>
      <c r="C12" s="18" t="s">
        <v>398</v>
      </c>
      <c r="D12" s="19">
        <v>62751.0</v>
      </c>
      <c r="E12" s="20" t="s">
        <v>399</v>
      </c>
      <c r="F12" s="22"/>
      <c r="G12" s="22"/>
      <c r="H12" s="22"/>
      <c r="I12" s="21"/>
      <c r="J12" s="21">
        <v>2600.0</v>
      </c>
      <c r="K12" s="22"/>
      <c r="L12" s="22"/>
      <c r="M12" s="21"/>
      <c r="N12" s="22"/>
      <c r="O12" s="22"/>
      <c r="P12" s="24">
        <v>2600.0</v>
      </c>
      <c r="Q12" s="25">
        <f t="shared" si="1"/>
        <v>0</v>
      </c>
      <c r="R12" s="24" t="s">
        <v>28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5.0" customHeight="1">
      <c r="A13" s="16">
        <v>8.0</v>
      </c>
      <c r="B13" s="28">
        <v>45666.0</v>
      </c>
      <c r="C13" s="18" t="s">
        <v>400</v>
      </c>
      <c r="D13" s="19">
        <v>49252.0</v>
      </c>
      <c r="E13" s="20" t="s">
        <v>401</v>
      </c>
      <c r="F13" s="22"/>
      <c r="G13" s="22"/>
      <c r="H13" s="22"/>
      <c r="I13" s="21"/>
      <c r="J13" s="21">
        <v>5100.0</v>
      </c>
      <c r="K13" s="22"/>
      <c r="L13" s="22"/>
      <c r="M13" s="21"/>
      <c r="N13" s="22"/>
      <c r="O13" s="22"/>
      <c r="P13" s="24">
        <v>5100.0</v>
      </c>
      <c r="Q13" s="25">
        <f t="shared" si="1"/>
        <v>0</v>
      </c>
      <c r="R13" s="24" t="s">
        <v>28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5.0" customHeight="1">
      <c r="A14" s="16">
        <v>9.0</v>
      </c>
      <c r="B14" s="28">
        <v>45666.0</v>
      </c>
      <c r="C14" s="18" t="s">
        <v>402</v>
      </c>
      <c r="D14" s="19">
        <v>67252.0</v>
      </c>
      <c r="E14" s="20" t="s">
        <v>403</v>
      </c>
      <c r="F14" s="22"/>
      <c r="G14" s="22"/>
      <c r="H14" s="22"/>
      <c r="I14" s="21">
        <v>1350.0</v>
      </c>
      <c r="J14" s="21"/>
      <c r="K14" s="22"/>
      <c r="L14" s="22"/>
      <c r="M14" s="21"/>
      <c r="N14" s="22"/>
      <c r="O14" s="22"/>
      <c r="P14" s="24">
        <v>1350.0</v>
      </c>
      <c r="Q14" s="25">
        <f t="shared" si="1"/>
        <v>0</v>
      </c>
      <c r="R14" s="24" t="s">
        <v>28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5.0" customHeight="1">
      <c r="A15" s="16">
        <v>10.0</v>
      </c>
      <c r="B15" s="28">
        <v>45666.0</v>
      </c>
      <c r="C15" s="18" t="s">
        <v>404</v>
      </c>
      <c r="D15" s="19">
        <v>46778.0</v>
      </c>
      <c r="E15" s="20" t="s">
        <v>405</v>
      </c>
      <c r="F15" s="22"/>
      <c r="G15" s="22"/>
      <c r="H15" s="22"/>
      <c r="I15" s="21"/>
      <c r="J15" s="21">
        <v>4600.0</v>
      </c>
      <c r="K15" s="22"/>
      <c r="L15" s="22"/>
      <c r="M15" s="21"/>
      <c r="N15" s="22"/>
      <c r="O15" s="22"/>
      <c r="P15" s="24">
        <v>4600.0</v>
      </c>
      <c r="Q15" s="25">
        <f t="shared" si="1"/>
        <v>0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5.0" customHeight="1">
      <c r="A16" s="16">
        <v>11.0</v>
      </c>
      <c r="B16" s="28">
        <v>45666.0</v>
      </c>
      <c r="C16" s="18" t="s">
        <v>406</v>
      </c>
      <c r="D16" s="19">
        <v>49953.0</v>
      </c>
      <c r="E16" s="20" t="s">
        <v>407</v>
      </c>
      <c r="F16" s="22"/>
      <c r="G16" s="22"/>
      <c r="H16" s="22"/>
      <c r="I16" s="21">
        <v>100.0</v>
      </c>
      <c r="J16" s="21"/>
      <c r="K16" s="22"/>
      <c r="L16" s="22"/>
      <c r="M16" s="21"/>
      <c r="N16" s="22"/>
      <c r="O16" s="22"/>
      <c r="P16" s="24">
        <v>100.0</v>
      </c>
      <c r="Q16" s="25">
        <f t="shared" si="1"/>
        <v>0</v>
      </c>
      <c r="R16" s="24" t="s">
        <v>31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5.0" customHeight="1">
      <c r="A17" s="16">
        <v>12.0</v>
      </c>
      <c r="B17" s="28">
        <v>45666.0</v>
      </c>
      <c r="C17" s="18" t="s">
        <v>408</v>
      </c>
      <c r="D17" s="19">
        <v>72590.0</v>
      </c>
      <c r="E17" s="20" t="s">
        <v>409</v>
      </c>
      <c r="F17" s="22"/>
      <c r="G17" s="22"/>
      <c r="H17" s="22"/>
      <c r="I17" s="21">
        <v>1550.0</v>
      </c>
      <c r="J17" s="21"/>
      <c r="K17" s="22"/>
      <c r="L17" s="22"/>
      <c r="M17" s="21"/>
      <c r="N17" s="22"/>
      <c r="O17" s="22"/>
      <c r="P17" s="24">
        <v>1550.0</v>
      </c>
      <c r="Q17" s="25">
        <f t="shared" si="1"/>
        <v>0</v>
      </c>
      <c r="R17" s="24" t="s">
        <v>31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5.0" customHeight="1">
      <c r="A18" s="16">
        <v>13.0</v>
      </c>
      <c r="B18" s="28">
        <v>45666.0</v>
      </c>
      <c r="C18" s="18" t="s">
        <v>410</v>
      </c>
      <c r="D18" s="19">
        <v>53209.0</v>
      </c>
      <c r="E18" s="20" t="s">
        <v>411</v>
      </c>
      <c r="F18" s="22"/>
      <c r="G18" s="22"/>
      <c r="H18" s="22"/>
      <c r="I18" s="21">
        <v>4600.0</v>
      </c>
      <c r="J18" s="21"/>
      <c r="K18" s="22"/>
      <c r="L18" s="22"/>
      <c r="M18" s="21"/>
      <c r="N18" s="22"/>
      <c r="O18" s="22"/>
      <c r="P18" s="24">
        <v>4600.0</v>
      </c>
      <c r="Q18" s="25">
        <f t="shared" si="1"/>
        <v>0</v>
      </c>
      <c r="R18" s="24" t="s">
        <v>31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5.0" customHeight="1">
      <c r="A19" s="16">
        <v>14.0</v>
      </c>
      <c r="B19" s="28">
        <v>45666.0</v>
      </c>
      <c r="C19" s="18" t="s">
        <v>412</v>
      </c>
      <c r="D19" s="19">
        <v>47787.0</v>
      </c>
      <c r="E19" s="20" t="s">
        <v>158</v>
      </c>
      <c r="F19" s="22"/>
      <c r="G19" s="22"/>
      <c r="H19" s="22"/>
      <c r="I19" s="21">
        <v>2500.0</v>
      </c>
      <c r="J19" s="21"/>
      <c r="K19" s="22"/>
      <c r="L19" s="22"/>
      <c r="M19" s="22"/>
      <c r="N19" s="22"/>
      <c r="O19" s="22"/>
      <c r="P19" s="24">
        <v>2500.0</v>
      </c>
      <c r="Q19" s="25">
        <f t="shared" si="1"/>
        <v>0</v>
      </c>
      <c r="R19" s="24" t="s">
        <v>31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5.0" customHeight="1">
      <c r="A20" s="16">
        <v>15.0</v>
      </c>
      <c r="B20" s="28">
        <v>45666.0</v>
      </c>
      <c r="C20" s="18" t="s">
        <v>413</v>
      </c>
      <c r="D20" s="19">
        <v>77587.0</v>
      </c>
      <c r="E20" s="20" t="s">
        <v>414</v>
      </c>
      <c r="F20" s="22"/>
      <c r="G20" s="22"/>
      <c r="H20" s="22"/>
      <c r="I20" s="21">
        <v>8750.0</v>
      </c>
      <c r="J20" s="21"/>
      <c r="K20" s="22"/>
      <c r="L20" s="22"/>
      <c r="M20" s="21"/>
      <c r="N20" s="22"/>
      <c r="O20" s="22"/>
      <c r="P20" s="24">
        <v>8750.0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5.0" customHeight="1">
      <c r="A21" s="16">
        <v>16.0</v>
      </c>
      <c r="B21" s="28">
        <v>45666.0</v>
      </c>
      <c r="C21" s="18" t="s">
        <v>415</v>
      </c>
      <c r="D21" s="19">
        <v>51934.0</v>
      </c>
      <c r="E21" s="20" t="s">
        <v>416</v>
      </c>
      <c r="F21" s="22"/>
      <c r="G21" s="22"/>
      <c r="H21" s="22"/>
      <c r="I21" s="23">
        <v>3850.0</v>
      </c>
      <c r="J21" s="23"/>
      <c r="K21" s="22"/>
      <c r="L21" s="22"/>
      <c r="M21" s="22"/>
      <c r="N21" s="22"/>
      <c r="O21" s="22"/>
      <c r="P21" s="24">
        <v>3850.0</v>
      </c>
      <c r="Q21" s="25">
        <f t="shared" si="1"/>
        <v>0</v>
      </c>
      <c r="R21" s="24" t="s">
        <v>31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5.0" customHeight="1">
      <c r="A22" s="16">
        <v>17.0</v>
      </c>
      <c r="B22" s="28">
        <v>45666.0</v>
      </c>
      <c r="C22" s="18" t="s">
        <v>417</v>
      </c>
      <c r="D22" s="19">
        <v>85559.0</v>
      </c>
      <c r="E22" s="20" t="s">
        <v>27</v>
      </c>
      <c r="F22" s="21"/>
      <c r="G22" s="22"/>
      <c r="H22" s="22"/>
      <c r="I22" s="30"/>
      <c r="J22" s="22"/>
      <c r="K22" s="31"/>
      <c r="L22" s="22"/>
      <c r="M22" s="22">
        <v>1630.0</v>
      </c>
      <c r="N22" s="22"/>
      <c r="O22" s="22"/>
      <c r="P22" s="24">
        <v>1630.0</v>
      </c>
      <c r="Q22" s="25">
        <f t="shared" si="1"/>
        <v>0</v>
      </c>
      <c r="R22" s="24" t="s">
        <v>31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5.0" customHeight="1">
      <c r="A23" s="16">
        <v>18.0</v>
      </c>
      <c r="B23" s="28">
        <v>45666.0</v>
      </c>
      <c r="C23" s="18" t="s">
        <v>418</v>
      </c>
      <c r="D23" s="19">
        <v>50173.0</v>
      </c>
      <c r="E23" s="20" t="s">
        <v>419</v>
      </c>
      <c r="F23" s="21"/>
      <c r="G23" s="22"/>
      <c r="H23" s="22"/>
      <c r="I23" s="21">
        <v>1300.0</v>
      </c>
      <c r="J23" s="22"/>
      <c r="K23" s="21"/>
      <c r="L23" s="22"/>
      <c r="M23" s="22"/>
      <c r="N23" s="22"/>
      <c r="O23" s="22"/>
      <c r="P23" s="24">
        <v>1300.0</v>
      </c>
      <c r="Q23" s="25">
        <f t="shared" si="1"/>
        <v>0</v>
      </c>
      <c r="R23" s="24" t="s">
        <v>31</v>
      </c>
      <c r="S23" s="26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ht="45.0" customHeight="1">
      <c r="A24" s="16">
        <v>19.0</v>
      </c>
      <c r="B24" s="32">
        <v>45666.0</v>
      </c>
      <c r="C24" s="33" t="s">
        <v>420</v>
      </c>
      <c r="D24" s="34">
        <v>13762.0</v>
      </c>
      <c r="E24" s="35" t="s">
        <v>421</v>
      </c>
      <c r="F24" s="30"/>
      <c r="G24" s="36"/>
      <c r="H24" s="36"/>
      <c r="I24" s="30"/>
      <c r="J24" s="30"/>
      <c r="K24" s="37"/>
      <c r="L24" s="36"/>
      <c r="M24" s="36">
        <v>50000.0</v>
      </c>
      <c r="N24" s="36"/>
      <c r="O24" s="36"/>
      <c r="P24" s="38">
        <v>50000.0</v>
      </c>
      <c r="Q24" s="25">
        <f t="shared" si="1"/>
        <v>0</v>
      </c>
      <c r="R24" s="38" t="s">
        <v>28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45666.0</v>
      </c>
      <c r="C25" s="33" t="s">
        <v>422</v>
      </c>
      <c r="D25" s="34">
        <v>52083.0</v>
      </c>
      <c r="E25" s="35" t="s">
        <v>423</v>
      </c>
      <c r="F25" s="30"/>
      <c r="G25" s="36"/>
      <c r="H25" s="36"/>
      <c r="I25" s="30">
        <v>200.0</v>
      </c>
      <c r="J25" s="30"/>
      <c r="K25" s="37"/>
      <c r="L25" s="36"/>
      <c r="M25" s="36"/>
      <c r="N25" s="36"/>
      <c r="O25" s="36"/>
      <c r="P25" s="38">
        <v>200.0</v>
      </c>
      <c r="Q25" s="25">
        <f t="shared" si="1"/>
        <v>0</v>
      </c>
      <c r="R25" s="38" t="s">
        <v>28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45666.0</v>
      </c>
      <c r="C26" s="33" t="s">
        <v>424</v>
      </c>
      <c r="D26" s="34">
        <v>85907.0</v>
      </c>
      <c r="E26" s="35" t="s">
        <v>425</v>
      </c>
      <c r="F26" s="30"/>
      <c r="G26" s="36"/>
      <c r="H26" s="36"/>
      <c r="I26" s="30">
        <v>7300.0</v>
      </c>
      <c r="J26" s="30"/>
      <c r="K26" s="37"/>
      <c r="L26" s="36"/>
      <c r="M26" s="36"/>
      <c r="N26" s="36"/>
      <c r="O26" s="36"/>
      <c r="P26" s="38">
        <v>7300.0</v>
      </c>
      <c r="Q26" s="25">
        <f t="shared" si="1"/>
        <v>0</v>
      </c>
      <c r="R26" s="38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45666.0</v>
      </c>
      <c r="C27" s="33" t="s">
        <v>426</v>
      </c>
      <c r="D27" s="34">
        <v>85909.0</v>
      </c>
      <c r="E27" s="35" t="s">
        <v>427</v>
      </c>
      <c r="F27" s="30"/>
      <c r="G27" s="36"/>
      <c r="H27" s="36"/>
      <c r="I27" s="30"/>
      <c r="J27" s="30">
        <v>300.0</v>
      </c>
      <c r="K27" s="37"/>
      <c r="L27" s="36"/>
      <c r="M27" s="36"/>
      <c r="N27" s="36"/>
      <c r="O27" s="36"/>
      <c r="P27" s="38">
        <v>300.0</v>
      </c>
      <c r="Q27" s="25">
        <f t="shared" si="1"/>
        <v>0</v>
      </c>
      <c r="R27" s="38" t="s">
        <v>28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45666.0</v>
      </c>
      <c r="C28" s="33" t="s">
        <v>428</v>
      </c>
      <c r="D28" s="34">
        <v>36555.0</v>
      </c>
      <c r="E28" s="35" t="s">
        <v>429</v>
      </c>
      <c r="F28" s="30"/>
      <c r="G28" s="36"/>
      <c r="H28" s="36"/>
      <c r="I28" s="30">
        <v>100.0</v>
      </c>
      <c r="J28" s="30"/>
      <c r="K28" s="37"/>
      <c r="L28" s="36"/>
      <c r="M28" s="36"/>
      <c r="N28" s="36"/>
      <c r="O28" s="36"/>
      <c r="P28" s="38">
        <v>100.0</v>
      </c>
      <c r="Q28" s="25">
        <f t="shared" si="1"/>
        <v>0</v>
      </c>
      <c r="R28" s="38" t="s">
        <v>28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45666.0</v>
      </c>
      <c r="C29" s="33" t="s">
        <v>430</v>
      </c>
      <c r="D29" s="34">
        <v>85910.0</v>
      </c>
      <c r="E29" s="35" t="s">
        <v>431</v>
      </c>
      <c r="F29" s="30"/>
      <c r="G29" s="36"/>
      <c r="H29" s="36"/>
      <c r="I29" s="30">
        <v>7000.0</v>
      </c>
      <c r="J29" s="30"/>
      <c r="K29" s="37"/>
      <c r="L29" s="36"/>
      <c r="M29" s="36"/>
      <c r="N29" s="36"/>
      <c r="O29" s="36"/>
      <c r="P29" s="38">
        <v>7000.0</v>
      </c>
      <c r="Q29" s="25">
        <f t="shared" si="1"/>
        <v>0</v>
      </c>
      <c r="R29" s="38" t="s">
        <v>28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45665.0</v>
      </c>
      <c r="C30" s="33" t="s">
        <v>432</v>
      </c>
      <c r="D30" s="34">
        <v>51017.0</v>
      </c>
      <c r="E30" s="35" t="s">
        <v>167</v>
      </c>
      <c r="F30" s="30"/>
      <c r="G30" s="36"/>
      <c r="H30" s="36">
        <v>15000.0</v>
      </c>
      <c r="I30" s="30"/>
      <c r="J30" s="30"/>
      <c r="K30" s="37"/>
      <c r="L30" s="36"/>
      <c r="M30" s="36"/>
      <c r="N30" s="36"/>
      <c r="O30" s="36"/>
      <c r="P30" s="38">
        <v>15000.0</v>
      </c>
      <c r="Q30" s="25">
        <f t="shared" si="1"/>
        <v>0</v>
      </c>
      <c r="R30" s="38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45666.0</v>
      </c>
      <c r="C31" s="33" t="s">
        <v>433</v>
      </c>
      <c r="D31" s="34">
        <v>55446.0</v>
      </c>
      <c r="E31" s="35" t="s">
        <v>241</v>
      </c>
      <c r="F31" s="30"/>
      <c r="G31" s="36"/>
      <c r="H31" s="36">
        <v>1440.0</v>
      </c>
      <c r="I31" s="30"/>
      <c r="J31" s="30"/>
      <c r="K31" s="37"/>
      <c r="L31" s="36"/>
      <c r="M31" s="36"/>
      <c r="N31" s="36"/>
      <c r="O31" s="36"/>
      <c r="P31" s="38">
        <v>1440.0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45666.0</v>
      </c>
      <c r="C32" s="33" t="s">
        <v>434</v>
      </c>
      <c r="D32" s="34">
        <v>80636.0</v>
      </c>
      <c r="E32" s="35" t="s">
        <v>202</v>
      </c>
      <c r="F32" s="30"/>
      <c r="G32" s="36"/>
      <c r="H32" s="36">
        <v>200.0</v>
      </c>
      <c r="I32" s="30"/>
      <c r="J32" s="30"/>
      <c r="K32" s="37"/>
      <c r="L32" s="36"/>
      <c r="M32" s="36"/>
      <c r="N32" s="36"/>
      <c r="O32" s="36"/>
      <c r="P32" s="38">
        <v>200.0</v>
      </c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6">
        <v>28.0</v>
      </c>
      <c r="B33" s="32">
        <v>45666.0</v>
      </c>
      <c r="C33" s="33" t="s">
        <v>435</v>
      </c>
      <c r="D33" s="34">
        <v>36555.0</v>
      </c>
      <c r="E33" s="35" t="s">
        <v>429</v>
      </c>
      <c r="F33" s="30"/>
      <c r="G33" s="36"/>
      <c r="H33" s="36">
        <v>5000.0</v>
      </c>
      <c r="I33" s="30"/>
      <c r="J33" s="30"/>
      <c r="K33" s="37"/>
      <c r="L33" s="36"/>
      <c r="M33" s="36"/>
      <c r="N33" s="36"/>
      <c r="O33" s="36"/>
      <c r="P33" s="38">
        <v>5000.0</v>
      </c>
      <c r="Q33" s="25">
        <f t="shared" si="1"/>
        <v>0</v>
      </c>
      <c r="R33" s="38"/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5.0" customHeight="1">
      <c r="A34" s="16">
        <v>29.0</v>
      </c>
      <c r="B34" s="32">
        <v>45666.0</v>
      </c>
      <c r="C34" s="33" t="s">
        <v>436</v>
      </c>
      <c r="D34" s="34">
        <v>51017.0</v>
      </c>
      <c r="E34" s="35" t="s">
        <v>167</v>
      </c>
      <c r="F34" s="30"/>
      <c r="G34" s="36"/>
      <c r="H34" s="36">
        <v>4500.0</v>
      </c>
      <c r="I34" s="30"/>
      <c r="J34" s="30"/>
      <c r="K34" s="37"/>
      <c r="L34" s="36"/>
      <c r="M34" s="36"/>
      <c r="N34" s="36"/>
      <c r="O34" s="36"/>
      <c r="P34" s="38">
        <v>4500.0</v>
      </c>
      <c r="Q34" s="25">
        <f t="shared" si="1"/>
        <v>0</v>
      </c>
      <c r="R34" s="38"/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45.0" customHeight="1">
      <c r="A35" s="127"/>
      <c r="B35" s="128"/>
      <c r="C35" s="129"/>
      <c r="D35" s="130"/>
      <c r="E35" s="131"/>
      <c r="F35" s="132">
        <f t="shared" ref="F35:P35" si="2">SUM(F6:F34)</f>
        <v>0</v>
      </c>
      <c r="G35" s="132">
        <f t="shared" si="2"/>
        <v>0</v>
      </c>
      <c r="H35" s="132">
        <f t="shared" si="2"/>
        <v>26140</v>
      </c>
      <c r="I35" s="132">
        <f t="shared" si="2"/>
        <v>38700</v>
      </c>
      <c r="J35" s="132">
        <f t="shared" si="2"/>
        <v>44400</v>
      </c>
      <c r="K35" s="132">
        <f t="shared" si="2"/>
        <v>0</v>
      </c>
      <c r="L35" s="132">
        <f t="shared" si="2"/>
        <v>0</v>
      </c>
      <c r="M35" s="132">
        <f t="shared" si="2"/>
        <v>51630</v>
      </c>
      <c r="N35" s="132">
        <f t="shared" si="2"/>
        <v>0</v>
      </c>
      <c r="O35" s="132">
        <f t="shared" si="2"/>
        <v>0</v>
      </c>
      <c r="P35" s="132">
        <f t="shared" si="2"/>
        <v>160870</v>
      </c>
      <c r="Q35" s="133"/>
      <c r="R35" s="134"/>
      <c r="S35" s="135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</row>
    <row r="36" ht="45.0" customHeight="1">
      <c r="A36" s="136"/>
      <c r="B36" s="137"/>
      <c r="C36" s="138"/>
      <c r="D36" s="137"/>
      <c r="E36" s="137"/>
      <c r="F36" s="139">
        <f>F35+G35+H35+I35+J35+K35+L35+M35+N35+O35</f>
        <v>160870</v>
      </c>
      <c r="G36" s="2"/>
      <c r="H36" s="2"/>
      <c r="I36" s="2"/>
      <c r="J36" s="2"/>
      <c r="K36" s="2"/>
      <c r="L36" s="2"/>
      <c r="M36" s="2"/>
      <c r="N36" s="2"/>
      <c r="O36" s="2"/>
      <c r="P36" s="140"/>
      <c r="Q36" s="140"/>
      <c r="R36" s="137"/>
      <c r="S36" s="141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45.0" customHeight="1">
      <c r="A37" s="27"/>
      <c r="B37" s="27"/>
      <c r="C37" s="75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t="45.0" customHeight="1">
      <c r="A38" s="142" t="s">
        <v>437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45.0" customHeight="1">
      <c r="A39" s="143" t="s">
        <v>1</v>
      </c>
      <c r="B39" s="144" t="s">
        <v>2</v>
      </c>
      <c r="C39" s="144" t="s">
        <v>3</v>
      </c>
      <c r="D39" s="144" t="s">
        <v>4</v>
      </c>
      <c r="E39" s="144" t="s">
        <v>5</v>
      </c>
      <c r="F39" s="145" t="s">
        <v>371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144" t="s">
        <v>7</v>
      </c>
      <c r="S39" s="144" t="s">
        <v>8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45.0" customHeight="1">
      <c r="A40" s="10"/>
      <c r="B40" s="11"/>
      <c r="C40" s="11"/>
      <c r="D40" s="11"/>
      <c r="E40" s="11"/>
      <c r="F40" s="146" t="s">
        <v>9</v>
      </c>
      <c r="G40" s="147" t="s">
        <v>10</v>
      </c>
      <c r="H40" s="9"/>
      <c r="I40" s="147" t="s">
        <v>11</v>
      </c>
      <c r="J40" s="9"/>
      <c r="K40" s="144" t="s">
        <v>12</v>
      </c>
      <c r="L40" s="148"/>
      <c r="M40" s="148"/>
      <c r="N40" s="148"/>
      <c r="O40" s="149" t="s">
        <v>438</v>
      </c>
      <c r="P40" s="144" t="s">
        <v>14</v>
      </c>
      <c r="Q40" s="144" t="s">
        <v>15</v>
      </c>
      <c r="R40" s="11"/>
      <c r="S40" s="1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45.0" customHeight="1">
      <c r="A41" s="14"/>
      <c r="B41" s="9"/>
      <c r="C41" s="9"/>
      <c r="D41" s="9"/>
      <c r="E41" s="9"/>
      <c r="F41" s="9"/>
      <c r="G41" s="150" t="s">
        <v>16</v>
      </c>
      <c r="H41" s="150" t="s">
        <v>17</v>
      </c>
      <c r="I41" s="150" t="s">
        <v>18</v>
      </c>
      <c r="J41" s="150" t="s">
        <v>19</v>
      </c>
      <c r="K41" s="9"/>
      <c r="L41" s="150" t="s">
        <v>20</v>
      </c>
      <c r="M41" s="150" t="s">
        <v>21</v>
      </c>
      <c r="N41" s="150" t="s">
        <v>22</v>
      </c>
      <c r="O41" s="9"/>
      <c r="P41" s="9"/>
      <c r="Q41" s="9"/>
      <c r="R41" s="9"/>
      <c r="S41" s="9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45.0" customHeight="1">
      <c r="A42" s="16">
        <v>1.0</v>
      </c>
      <c r="B42" s="32">
        <v>45665.0</v>
      </c>
      <c r="C42" s="33" t="s">
        <v>439</v>
      </c>
      <c r="D42" s="34">
        <v>22332.0</v>
      </c>
      <c r="E42" s="35" t="s">
        <v>350</v>
      </c>
      <c r="F42" s="30"/>
      <c r="G42" s="36"/>
      <c r="H42" s="36"/>
      <c r="I42" s="30"/>
      <c r="J42" s="30"/>
      <c r="K42" s="37"/>
      <c r="L42" s="36"/>
      <c r="M42" s="36"/>
      <c r="N42" s="36"/>
      <c r="O42" s="36">
        <v>35.0</v>
      </c>
      <c r="P42" s="38">
        <v>35.0</v>
      </c>
      <c r="Q42" s="25">
        <f>F42+G42+H42+I42+J42+K42+L42+M42+N42+O42-P42</f>
        <v>0</v>
      </c>
      <c r="R42" s="38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45.0" customHeight="1">
      <c r="A43" s="16">
        <v>2.0</v>
      </c>
      <c r="B43" s="32">
        <v>45666.0</v>
      </c>
      <c r="C43" s="33" t="s">
        <v>440</v>
      </c>
      <c r="D43" s="34">
        <v>83280.0</v>
      </c>
      <c r="E43" s="35" t="s">
        <v>441</v>
      </c>
      <c r="F43" s="30"/>
      <c r="G43" s="36"/>
      <c r="H43" s="36"/>
      <c r="I43" s="30"/>
      <c r="J43" s="30"/>
      <c r="K43" s="37"/>
      <c r="L43" s="36"/>
      <c r="M43" s="36"/>
      <c r="N43" s="36"/>
      <c r="O43" s="36">
        <v>35.0</v>
      </c>
      <c r="P43" s="38">
        <v>35.0</v>
      </c>
      <c r="Q43" s="25">
        <v>0.0</v>
      </c>
      <c r="R43" s="38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45.0" customHeight="1">
      <c r="A44" s="16">
        <v>3.0</v>
      </c>
      <c r="B44" s="32">
        <v>45666.0</v>
      </c>
      <c r="C44" s="33" t="s">
        <v>442</v>
      </c>
      <c r="D44" s="34">
        <v>73445.0</v>
      </c>
      <c r="E44" s="35" t="s">
        <v>443</v>
      </c>
      <c r="F44" s="30"/>
      <c r="G44" s="36"/>
      <c r="H44" s="36"/>
      <c r="I44" s="30"/>
      <c r="J44" s="30"/>
      <c r="K44" s="37"/>
      <c r="L44" s="36"/>
      <c r="M44" s="36"/>
      <c r="N44" s="36"/>
      <c r="O44" s="36">
        <v>108.0</v>
      </c>
      <c r="P44" s="38">
        <v>108.0</v>
      </c>
      <c r="Q44" s="25">
        <v>0.0</v>
      </c>
      <c r="R44" s="38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45.0" customHeight="1">
      <c r="A45" s="16">
        <v>4.0</v>
      </c>
      <c r="B45" s="32">
        <v>45666.0</v>
      </c>
      <c r="C45" s="33" t="s">
        <v>444</v>
      </c>
      <c r="D45" s="34">
        <v>49953.0</v>
      </c>
      <c r="E45" s="35" t="s">
        <v>407</v>
      </c>
      <c r="F45" s="30"/>
      <c r="G45" s="36"/>
      <c r="H45" s="36"/>
      <c r="I45" s="30"/>
      <c r="J45" s="30"/>
      <c r="K45" s="37"/>
      <c r="L45" s="36"/>
      <c r="M45" s="36"/>
      <c r="N45" s="36"/>
      <c r="O45" s="36">
        <v>23.0</v>
      </c>
      <c r="P45" s="38">
        <v>23.0</v>
      </c>
      <c r="Q45" s="25">
        <v>0.0</v>
      </c>
      <c r="R45" s="38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45.0" customHeight="1">
      <c r="A46" s="151"/>
      <c r="B46" s="152"/>
      <c r="C46" s="153"/>
      <c r="D46" s="154" t="s">
        <v>115</v>
      </c>
      <c r="E46" s="155"/>
      <c r="F46" s="156">
        <f t="shared" ref="F46:N46" si="3">SUM(F42:F44)</f>
        <v>0</v>
      </c>
      <c r="G46" s="156">
        <f t="shared" si="3"/>
        <v>0</v>
      </c>
      <c r="H46" s="156">
        <f t="shared" si="3"/>
        <v>0</v>
      </c>
      <c r="I46" s="156">
        <f t="shared" si="3"/>
        <v>0</v>
      </c>
      <c r="J46" s="156">
        <f t="shared" si="3"/>
        <v>0</v>
      </c>
      <c r="K46" s="156">
        <f t="shared" si="3"/>
        <v>0</v>
      </c>
      <c r="L46" s="156">
        <f t="shared" si="3"/>
        <v>0</v>
      </c>
      <c r="M46" s="156">
        <f t="shared" si="3"/>
        <v>0</v>
      </c>
      <c r="N46" s="156">
        <f t="shared" si="3"/>
        <v>0</v>
      </c>
      <c r="O46" s="156">
        <f>SUM(O42:O45)</f>
        <v>201</v>
      </c>
      <c r="P46" s="156"/>
      <c r="Q46" s="157">
        <f>F46+G46+H46+I46+J46+K46+L46+M46+N46+O46-P46</f>
        <v>201</v>
      </c>
      <c r="R46" s="155"/>
      <c r="S46" s="158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 ht="45.0" customHeight="1">
      <c r="A47" s="159"/>
      <c r="B47" s="160"/>
      <c r="C47" s="161"/>
      <c r="D47" s="160"/>
      <c r="E47" s="160"/>
      <c r="F47" s="162">
        <f>F46+G46+H46+I46+J46+K46+L46+M46+N46+O46</f>
        <v>201</v>
      </c>
      <c r="G47" s="2"/>
      <c r="H47" s="2"/>
      <c r="I47" s="2"/>
      <c r="J47" s="2"/>
      <c r="K47" s="2"/>
      <c r="L47" s="2"/>
      <c r="M47" s="2"/>
      <c r="N47" s="2"/>
      <c r="O47" s="2"/>
      <c r="P47" s="163"/>
      <c r="Q47" s="163"/>
      <c r="R47" s="160"/>
      <c r="S47" s="16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45.0" customHeight="1">
      <c r="A48" s="27"/>
      <c r="B48" s="27"/>
      <c r="C48" s="75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45.0" customHeight="1">
      <c r="A49" s="165" t="s">
        <v>445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45.0" customHeight="1">
      <c r="A50" s="166" t="s">
        <v>1</v>
      </c>
      <c r="B50" s="167" t="s">
        <v>2</v>
      </c>
      <c r="C50" s="167" t="s">
        <v>3</v>
      </c>
      <c r="D50" s="167" t="s">
        <v>4</v>
      </c>
      <c r="E50" s="167" t="s">
        <v>5</v>
      </c>
      <c r="F50" s="168" t="s">
        <v>252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9"/>
      <c r="R50" s="167" t="s">
        <v>7</v>
      </c>
      <c r="S50" s="167" t="s">
        <v>8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45.0" customHeight="1">
      <c r="A51" s="10"/>
      <c r="B51" s="11"/>
      <c r="C51" s="11"/>
      <c r="D51" s="11"/>
      <c r="E51" s="11"/>
      <c r="F51" s="169" t="s">
        <v>9</v>
      </c>
      <c r="G51" s="170" t="s">
        <v>10</v>
      </c>
      <c r="H51" s="9"/>
      <c r="I51" s="170" t="s">
        <v>11</v>
      </c>
      <c r="J51" s="9"/>
      <c r="K51" s="167" t="s">
        <v>12</v>
      </c>
      <c r="L51" s="171"/>
      <c r="M51" s="171"/>
      <c r="N51" s="171"/>
      <c r="O51" s="172" t="s">
        <v>446</v>
      </c>
      <c r="P51" s="167" t="s">
        <v>14</v>
      </c>
      <c r="Q51" s="167" t="s">
        <v>15</v>
      </c>
      <c r="R51" s="11"/>
      <c r="S51" s="1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45.0" customHeight="1">
      <c r="A52" s="14"/>
      <c r="B52" s="9"/>
      <c r="C52" s="9"/>
      <c r="D52" s="9"/>
      <c r="E52" s="9"/>
      <c r="F52" s="9"/>
      <c r="G52" s="173" t="s">
        <v>16</v>
      </c>
      <c r="H52" s="173" t="s">
        <v>17</v>
      </c>
      <c r="I52" s="173" t="s">
        <v>18</v>
      </c>
      <c r="J52" s="173" t="s">
        <v>19</v>
      </c>
      <c r="K52" s="9"/>
      <c r="L52" s="173" t="s">
        <v>20</v>
      </c>
      <c r="M52" s="173" t="s">
        <v>21</v>
      </c>
      <c r="N52" s="173" t="s">
        <v>22</v>
      </c>
      <c r="O52" s="9"/>
      <c r="P52" s="9"/>
      <c r="Q52" s="9"/>
      <c r="R52" s="9"/>
      <c r="S52" s="9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45.0" customHeight="1">
      <c r="A53" s="16">
        <v>1.0</v>
      </c>
      <c r="B53" s="32">
        <v>45666.0</v>
      </c>
      <c r="C53" s="33" t="s">
        <v>447</v>
      </c>
      <c r="D53" s="34">
        <v>59103.0</v>
      </c>
      <c r="E53" s="35" t="s">
        <v>98</v>
      </c>
      <c r="F53" s="30"/>
      <c r="G53" s="36"/>
      <c r="H53" s="36"/>
      <c r="I53" s="30">
        <v>4750.0</v>
      </c>
      <c r="J53" s="30"/>
      <c r="K53" s="37"/>
      <c r="L53" s="36"/>
      <c r="M53" s="36"/>
      <c r="N53" s="36"/>
      <c r="O53" s="36"/>
      <c r="P53" s="38">
        <v>4750.0</v>
      </c>
      <c r="Q53" s="25">
        <f t="shared" ref="Q53:Q55" si="4">F53+G53+H53+I53+J53+K53+L53+M53+N53+O53-P53</f>
        <v>0</v>
      </c>
      <c r="R53" s="38" t="s">
        <v>31</v>
      </c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45.0" customHeight="1">
      <c r="A54" s="16">
        <v>2.0</v>
      </c>
      <c r="B54" s="32">
        <v>45666.0</v>
      </c>
      <c r="C54" s="33" t="s">
        <v>448</v>
      </c>
      <c r="D54" s="34">
        <v>48631.0</v>
      </c>
      <c r="E54" s="35" t="s">
        <v>449</v>
      </c>
      <c r="F54" s="30"/>
      <c r="G54" s="36"/>
      <c r="H54" s="36"/>
      <c r="I54" s="30"/>
      <c r="J54" s="30">
        <v>2400.0</v>
      </c>
      <c r="K54" s="37"/>
      <c r="L54" s="36"/>
      <c r="M54" s="36"/>
      <c r="N54" s="36"/>
      <c r="O54" s="36"/>
      <c r="P54" s="38">
        <v>2400.0</v>
      </c>
      <c r="Q54" s="25">
        <f t="shared" si="4"/>
        <v>0</v>
      </c>
      <c r="R54" s="38" t="s">
        <v>450</v>
      </c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45.0" customHeight="1">
      <c r="A55" s="16">
        <v>3.0</v>
      </c>
      <c r="B55" s="32">
        <v>45666.0</v>
      </c>
      <c r="C55" s="33" t="s">
        <v>451</v>
      </c>
      <c r="D55" s="34">
        <v>50173.0</v>
      </c>
      <c r="E55" s="35" t="s">
        <v>452</v>
      </c>
      <c r="F55" s="30"/>
      <c r="G55" s="36"/>
      <c r="H55" s="36"/>
      <c r="I55" s="30">
        <v>50.0</v>
      </c>
      <c r="J55" s="30"/>
      <c r="K55" s="37"/>
      <c r="L55" s="36"/>
      <c r="M55" s="36"/>
      <c r="N55" s="36"/>
      <c r="O55" s="36"/>
      <c r="P55" s="38">
        <v>50.0</v>
      </c>
      <c r="Q55" s="25">
        <f t="shared" si="4"/>
        <v>0</v>
      </c>
      <c r="R55" s="38" t="s">
        <v>450</v>
      </c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45.0" customHeight="1">
      <c r="A56" s="16"/>
      <c r="B56" s="32"/>
      <c r="C56" s="33"/>
      <c r="D56" s="34"/>
      <c r="E56" s="35"/>
      <c r="F56" s="30"/>
      <c r="G56" s="36"/>
      <c r="H56" s="36"/>
      <c r="I56" s="30"/>
      <c r="J56" s="30"/>
      <c r="K56" s="37"/>
      <c r="L56" s="36"/>
      <c r="M56" s="36"/>
      <c r="N56" s="36"/>
      <c r="O56" s="36"/>
      <c r="P56" s="38"/>
      <c r="Q56" s="25"/>
      <c r="R56" s="38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45.0" customHeight="1">
      <c r="A57" s="174"/>
      <c r="B57" s="175"/>
      <c r="C57" s="176"/>
      <c r="D57" s="177" t="s">
        <v>115</v>
      </c>
      <c r="E57" s="178"/>
      <c r="F57" s="179">
        <f t="shared" ref="F57:P57" si="5">SUM(F53:F56)</f>
        <v>0</v>
      </c>
      <c r="G57" s="179">
        <f t="shared" si="5"/>
        <v>0</v>
      </c>
      <c r="H57" s="179">
        <f t="shared" si="5"/>
        <v>0</v>
      </c>
      <c r="I57" s="179">
        <f t="shared" si="5"/>
        <v>4800</v>
      </c>
      <c r="J57" s="179">
        <f t="shared" si="5"/>
        <v>2400</v>
      </c>
      <c r="K57" s="179">
        <f t="shared" si="5"/>
        <v>0</v>
      </c>
      <c r="L57" s="179">
        <f t="shared" si="5"/>
        <v>0</v>
      </c>
      <c r="M57" s="179">
        <f t="shared" si="5"/>
        <v>0</v>
      </c>
      <c r="N57" s="179">
        <f t="shared" si="5"/>
        <v>0</v>
      </c>
      <c r="O57" s="179">
        <f t="shared" si="5"/>
        <v>0</v>
      </c>
      <c r="P57" s="179">
        <f t="shared" si="5"/>
        <v>7200</v>
      </c>
      <c r="Q57" s="180">
        <f>F57+G57+H57+I57+J57+K57+L57+M57+N57+O57-P57</f>
        <v>0</v>
      </c>
      <c r="R57" s="178"/>
      <c r="S57" s="18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45.0" customHeight="1">
      <c r="A58" s="182"/>
      <c r="B58" s="183"/>
      <c r="C58" s="184"/>
      <c r="D58" s="183"/>
      <c r="E58" s="183"/>
      <c r="F58" s="185">
        <f>F57+G57+H57+I57+J57+K57+L57+M57+N57+O57</f>
        <v>7200</v>
      </c>
      <c r="G58" s="2"/>
      <c r="H58" s="2"/>
      <c r="I58" s="2"/>
      <c r="J58" s="2"/>
      <c r="K58" s="2"/>
      <c r="L58" s="2"/>
      <c r="M58" s="2"/>
      <c r="N58" s="2"/>
      <c r="O58" s="2"/>
      <c r="P58" s="186"/>
      <c r="Q58" s="186"/>
      <c r="R58" s="183"/>
      <c r="S58" s="18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45.0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51"/>
      <c r="D60" s="4"/>
      <c r="E60" s="188" t="s">
        <v>118</v>
      </c>
      <c r="F60" s="189" t="s">
        <v>119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188" t="s">
        <v>120</v>
      </c>
      <c r="F61" s="189" t="s">
        <v>119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188" t="s">
        <v>121</v>
      </c>
      <c r="F62" s="189" t="s">
        <v>119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188" t="s">
        <v>122</v>
      </c>
      <c r="F63" s="189" t="s">
        <v>119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188" t="s">
        <v>453</v>
      </c>
      <c r="F64" s="189" t="s">
        <v>119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188" t="s">
        <v>124</v>
      </c>
      <c r="F65" s="189" t="s">
        <v>317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51"/>
      <c r="D66" s="4"/>
      <c r="E66" s="188" t="s">
        <v>126</v>
      </c>
      <c r="F66" s="189" t="s">
        <v>117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58.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58.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58.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58.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58.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58.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58.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</sheetData>
  <mergeCells count="52">
    <mergeCell ref="F47:O47"/>
    <mergeCell ref="A49:S49"/>
    <mergeCell ref="A50:A52"/>
    <mergeCell ref="B50:B52"/>
    <mergeCell ref="C50:C52"/>
    <mergeCell ref="D50:D52"/>
    <mergeCell ref="E50:E52"/>
    <mergeCell ref="S50:S52"/>
    <mergeCell ref="F50:Q50"/>
    <mergeCell ref="R50:R52"/>
    <mergeCell ref="F51:F52"/>
    <mergeCell ref="G51:H51"/>
    <mergeCell ref="I51:J51"/>
    <mergeCell ref="K51:K52"/>
    <mergeCell ref="O51:O5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9:D41"/>
    <mergeCell ref="E39:E41"/>
    <mergeCell ref="P4:P5"/>
    <mergeCell ref="Q4:Q5"/>
    <mergeCell ref="F36:O36"/>
    <mergeCell ref="A38:S38"/>
    <mergeCell ref="A39:A41"/>
    <mergeCell ref="B39:B41"/>
    <mergeCell ref="C39:C41"/>
    <mergeCell ref="S39:S41"/>
    <mergeCell ref="P40:P41"/>
    <mergeCell ref="Q40:Q41"/>
    <mergeCell ref="F39:Q39"/>
    <mergeCell ref="R39:R41"/>
    <mergeCell ref="F40:F41"/>
    <mergeCell ref="G40:H40"/>
    <mergeCell ref="I40:J40"/>
    <mergeCell ref="K40:K41"/>
    <mergeCell ref="O40:O41"/>
    <mergeCell ref="P51:P52"/>
    <mergeCell ref="Q51:Q52"/>
    <mergeCell ref="F58:O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454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17">
        <v>45666.0</v>
      </c>
      <c r="C6" s="18" t="s">
        <v>455</v>
      </c>
      <c r="D6" s="19">
        <v>31927.0</v>
      </c>
      <c r="E6" s="20" t="s">
        <v>104</v>
      </c>
      <c r="F6" s="21"/>
      <c r="G6" s="22"/>
      <c r="H6" s="21"/>
      <c r="I6" s="23">
        <v>8000.0</v>
      </c>
      <c r="J6" s="23"/>
      <c r="K6" s="22"/>
      <c r="L6" s="22"/>
      <c r="M6" s="21"/>
      <c r="N6" s="22"/>
      <c r="O6" s="22"/>
      <c r="P6" s="24">
        <v>8000.0</v>
      </c>
      <c r="Q6" s="25">
        <f t="shared" ref="Q6:Q23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45667.0</v>
      </c>
      <c r="C7" s="18" t="s">
        <v>456</v>
      </c>
      <c r="D7" s="19">
        <v>36555.0</v>
      </c>
      <c r="E7" s="20" t="s">
        <v>429</v>
      </c>
      <c r="F7" s="21"/>
      <c r="G7" s="22"/>
      <c r="H7" s="22"/>
      <c r="I7" s="21">
        <v>100.0</v>
      </c>
      <c r="J7" s="22"/>
      <c r="K7" s="22"/>
      <c r="L7" s="22"/>
      <c r="M7" s="21"/>
      <c r="N7" s="22"/>
      <c r="O7" s="22"/>
      <c r="P7" s="24">
        <v>100.0</v>
      </c>
      <c r="Q7" s="25">
        <f t="shared" si="1"/>
        <v>0</v>
      </c>
      <c r="R7" s="24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45667.0</v>
      </c>
      <c r="C8" s="18" t="s">
        <v>457</v>
      </c>
      <c r="D8" s="19">
        <v>74087.0</v>
      </c>
      <c r="E8" s="20" t="s">
        <v>138</v>
      </c>
      <c r="F8" s="22"/>
      <c r="G8" s="22"/>
      <c r="H8" s="21"/>
      <c r="I8" s="21"/>
      <c r="J8" s="23">
        <v>3000.0</v>
      </c>
      <c r="K8" s="22"/>
      <c r="L8" s="22"/>
      <c r="M8" s="22"/>
      <c r="N8" s="22"/>
      <c r="O8" s="22"/>
      <c r="P8" s="24">
        <v>3000.0</v>
      </c>
      <c r="Q8" s="25">
        <f t="shared" si="1"/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28">
        <v>45667.0</v>
      </c>
      <c r="C9" s="18" t="s">
        <v>458</v>
      </c>
      <c r="D9" s="19">
        <v>85647.0</v>
      </c>
      <c r="E9" s="20" t="s">
        <v>459</v>
      </c>
      <c r="F9" s="22"/>
      <c r="G9" s="22"/>
      <c r="H9" s="22">
        <v>4700.0</v>
      </c>
      <c r="I9" s="21"/>
      <c r="J9" s="21"/>
      <c r="K9" s="22"/>
      <c r="L9" s="22"/>
      <c r="M9" s="22"/>
      <c r="N9" s="22"/>
      <c r="O9" s="22"/>
      <c r="P9" s="24">
        <v>4700.0</v>
      </c>
      <c r="Q9" s="25">
        <f t="shared" si="1"/>
        <v>0</v>
      </c>
      <c r="R9" s="24" t="s">
        <v>28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5.0" customHeight="1">
      <c r="A10" s="16">
        <v>5.0</v>
      </c>
      <c r="B10" s="28">
        <v>45667.0</v>
      </c>
      <c r="C10" s="18" t="s">
        <v>460</v>
      </c>
      <c r="D10" s="19">
        <v>43009.0</v>
      </c>
      <c r="E10" s="20" t="s">
        <v>461</v>
      </c>
      <c r="F10" s="22"/>
      <c r="G10" s="22"/>
      <c r="H10" s="22"/>
      <c r="I10" s="21"/>
      <c r="J10" s="21">
        <v>2600.0</v>
      </c>
      <c r="K10" s="22"/>
      <c r="L10" s="22"/>
      <c r="M10" s="21"/>
      <c r="N10" s="22"/>
      <c r="O10" s="22"/>
      <c r="P10" s="24">
        <v>2600.0</v>
      </c>
      <c r="Q10" s="25">
        <f t="shared" si="1"/>
        <v>0</v>
      </c>
      <c r="R10" s="24" t="s">
        <v>46</v>
      </c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5.0" customHeight="1">
      <c r="A11" s="16">
        <v>6.0</v>
      </c>
      <c r="B11" s="28">
        <v>45667.0</v>
      </c>
      <c r="C11" s="18" t="s">
        <v>462</v>
      </c>
      <c r="D11" s="19">
        <v>42339.0</v>
      </c>
      <c r="E11" s="20" t="s">
        <v>463</v>
      </c>
      <c r="F11" s="22"/>
      <c r="G11" s="22"/>
      <c r="H11" s="22"/>
      <c r="I11" s="21"/>
      <c r="J11" s="21">
        <v>100.0</v>
      </c>
      <c r="K11" s="22"/>
      <c r="L11" s="22"/>
      <c r="M11" s="21"/>
      <c r="N11" s="22"/>
      <c r="O11" s="22"/>
      <c r="P11" s="24">
        <v>100.0</v>
      </c>
      <c r="Q11" s="25">
        <f t="shared" si="1"/>
        <v>0</v>
      </c>
      <c r="R11" s="24" t="s">
        <v>28</v>
      </c>
      <c r="S11" s="29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5.0" customHeight="1">
      <c r="A12" s="16">
        <v>7.0</v>
      </c>
      <c r="B12" s="28">
        <v>45667.0</v>
      </c>
      <c r="C12" s="18" t="s">
        <v>464</v>
      </c>
      <c r="D12" s="19">
        <v>51512.0</v>
      </c>
      <c r="E12" s="20" t="s">
        <v>465</v>
      </c>
      <c r="F12" s="22"/>
      <c r="G12" s="22"/>
      <c r="H12" s="22"/>
      <c r="I12" s="21"/>
      <c r="J12" s="21">
        <v>3500.0</v>
      </c>
      <c r="K12" s="22"/>
      <c r="L12" s="22"/>
      <c r="M12" s="21"/>
      <c r="N12" s="22"/>
      <c r="O12" s="22"/>
      <c r="P12" s="24">
        <v>3500.0</v>
      </c>
      <c r="Q12" s="25">
        <f t="shared" si="1"/>
        <v>0</v>
      </c>
      <c r="R12" s="24" t="s">
        <v>28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5.0" customHeight="1">
      <c r="A13" s="16">
        <v>8.0</v>
      </c>
      <c r="B13" s="28">
        <v>45667.0</v>
      </c>
      <c r="C13" s="18" t="s">
        <v>466</v>
      </c>
      <c r="D13" s="19">
        <v>85562.0</v>
      </c>
      <c r="E13" s="20" t="s">
        <v>162</v>
      </c>
      <c r="F13" s="22">
        <v>250.0</v>
      </c>
      <c r="G13" s="22"/>
      <c r="H13" s="22"/>
      <c r="I13" s="21"/>
      <c r="J13" s="21"/>
      <c r="K13" s="22"/>
      <c r="L13" s="22"/>
      <c r="M13" s="21"/>
      <c r="N13" s="22"/>
      <c r="O13" s="22"/>
      <c r="P13" s="24">
        <v>250.0</v>
      </c>
      <c r="Q13" s="25">
        <f t="shared" si="1"/>
        <v>0</v>
      </c>
      <c r="R13" s="24" t="s">
        <v>46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5.0" customHeight="1">
      <c r="A14" s="16">
        <v>9.0</v>
      </c>
      <c r="B14" s="28">
        <v>45667.0</v>
      </c>
      <c r="C14" s="18" t="s">
        <v>467</v>
      </c>
      <c r="D14" s="19">
        <v>30270.0</v>
      </c>
      <c r="E14" s="20" t="s">
        <v>468</v>
      </c>
      <c r="F14" s="22"/>
      <c r="G14" s="22"/>
      <c r="H14" s="22"/>
      <c r="I14" s="21"/>
      <c r="J14" s="21">
        <v>2600.0</v>
      </c>
      <c r="K14" s="22"/>
      <c r="L14" s="22"/>
      <c r="M14" s="21"/>
      <c r="N14" s="22"/>
      <c r="O14" s="22"/>
      <c r="P14" s="24">
        <v>2600.0</v>
      </c>
      <c r="Q14" s="25">
        <f t="shared" si="1"/>
        <v>0</v>
      </c>
      <c r="R14" s="24" t="s">
        <v>46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5.0" customHeight="1">
      <c r="A15" s="16">
        <v>10.0</v>
      </c>
      <c r="B15" s="28">
        <v>45667.0</v>
      </c>
      <c r="C15" s="18" t="s">
        <v>469</v>
      </c>
      <c r="D15" s="19">
        <v>42339.0</v>
      </c>
      <c r="E15" s="20" t="s">
        <v>463</v>
      </c>
      <c r="F15" s="22"/>
      <c r="G15" s="22"/>
      <c r="H15" s="22"/>
      <c r="I15" s="21"/>
      <c r="J15" s="21">
        <v>800.0</v>
      </c>
      <c r="K15" s="22"/>
      <c r="L15" s="22"/>
      <c r="M15" s="21"/>
      <c r="N15" s="22"/>
      <c r="O15" s="22"/>
      <c r="P15" s="24">
        <v>800.0</v>
      </c>
      <c r="Q15" s="25">
        <f t="shared" si="1"/>
        <v>0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5.0" customHeight="1">
      <c r="A16" s="16">
        <v>11.0</v>
      </c>
      <c r="B16" s="28">
        <v>45667.0</v>
      </c>
      <c r="C16" s="18" t="s">
        <v>470</v>
      </c>
      <c r="D16" s="19">
        <v>74290.0</v>
      </c>
      <c r="E16" s="20" t="s">
        <v>471</v>
      </c>
      <c r="F16" s="22"/>
      <c r="G16" s="22"/>
      <c r="H16" s="22"/>
      <c r="I16" s="21">
        <v>5100.0</v>
      </c>
      <c r="J16" s="21"/>
      <c r="K16" s="22"/>
      <c r="L16" s="22"/>
      <c r="M16" s="21"/>
      <c r="N16" s="22"/>
      <c r="O16" s="22"/>
      <c r="P16" s="24">
        <v>5100.0</v>
      </c>
      <c r="Q16" s="25">
        <f t="shared" si="1"/>
        <v>0</v>
      </c>
      <c r="R16" s="24" t="s">
        <v>28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5.0" customHeight="1">
      <c r="A17" s="16">
        <v>12.0</v>
      </c>
      <c r="B17" s="28">
        <v>45667.0</v>
      </c>
      <c r="C17" s="18" t="s">
        <v>472</v>
      </c>
      <c r="D17" s="19">
        <v>21821.0</v>
      </c>
      <c r="E17" s="20" t="s">
        <v>473</v>
      </c>
      <c r="F17" s="22"/>
      <c r="G17" s="22"/>
      <c r="H17" s="22"/>
      <c r="I17" s="21"/>
      <c r="J17" s="21"/>
      <c r="K17" s="22">
        <v>5000.0</v>
      </c>
      <c r="L17" s="22"/>
      <c r="M17" s="21"/>
      <c r="N17" s="22"/>
      <c r="O17" s="22"/>
      <c r="P17" s="24">
        <v>5000.0</v>
      </c>
      <c r="Q17" s="25">
        <f t="shared" si="1"/>
        <v>0</v>
      </c>
      <c r="R17" s="24" t="s">
        <v>46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5.0" customHeight="1">
      <c r="A18" s="16">
        <v>13.0</v>
      </c>
      <c r="B18" s="28">
        <v>45667.0</v>
      </c>
      <c r="C18" s="18" t="s">
        <v>474</v>
      </c>
      <c r="D18" s="19">
        <v>22341.0</v>
      </c>
      <c r="E18" s="20" t="s">
        <v>302</v>
      </c>
      <c r="F18" s="22"/>
      <c r="G18" s="22"/>
      <c r="H18" s="22"/>
      <c r="I18" s="21">
        <v>4500.0</v>
      </c>
      <c r="J18" s="21"/>
      <c r="K18" s="22"/>
      <c r="L18" s="22"/>
      <c r="M18" s="21"/>
      <c r="N18" s="22"/>
      <c r="O18" s="22"/>
      <c r="P18" s="24">
        <v>4500.0</v>
      </c>
      <c r="Q18" s="25">
        <f t="shared" si="1"/>
        <v>0</v>
      </c>
      <c r="R18" s="24" t="s">
        <v>28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5.0" customHeight="1">
      <c r="A19" s="16">
        <v>14.0</v>
      </c>
      <c r="B19" s="28">
        <v>45666.0</v>
      </c>
      <c r="C19" s="18" t="s">
        <v>475</v>
      </c>
      <c r="D19" s="19">
        <v>36555.0</v>
      </c>
      <c r="E19" s="20" t="s">
        <v>429</v>
      </c>
      <c r="F19" s="22"/>
      <c r="G19" s="22"/>
      <c r="H19" s="22">
        <v>4500.0</v>
      </c>
      <c r="I19" s="21"/>
      <c r="J19" s="21"/>
      <c r="K19" s="22"/>
      <c r="L19" s="22"/>
      <c r="M19" s="22"/>
      <c r="N19" s="22"/>
      <c r="O19" s="22"/>
      <c r="P19" s="24">
        <v>4500.0</v>
      </c>
      <c r="Q19" s="25">
        <f t="shared" si="1"/>
        <v>0</v>
      </c>
      <c r="R19" s="24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5.0" customHeight="1">
      <c r="A20" s="16">
        <v>15.0</v>
      </c>
      <c r="B20" s="28">
        <v>45666.0</v>
      </c>
      <c r="C20" s="18" t="s">
        <v>476</v>
      </c>
      <c r="D20" s="19">
        <v>67738.0</v>
      </c>
      <c r="E20" s="20" t="s">
        <v>110</v>
      </c>
      <c r="F20" s="22"/>
      <c r="G20" s="22"/>
      <c r="H20" s="22">
        <v>800.0</v>
      </c>
      <c r="I20" s="21"/>
      <c r="J20" s="21"/>
      <c r="K20" s="22"/>
      <c r="L20" s="22"/>
      <c r="M20" s="21"/>
      <c r="N20" s="22"/>
      <c r="O20" s="22"/>
      <c r="P20" s="24">
        <v>800.0</v>
      </c>
      <c r="Q20" s="25">
        <f t="shared" si="1"/>
        <v>0</v>
      </c>
      <c r="R20" s="24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5.0" customHeight="1">
      <c r="A21" s="16">
        <v>17.0</v>
      </c>
      <c r="B21" s="28">
        <v>45667.0</v>
      </c>
      <c r="C21" s="18" t="s">
        <v>477</v>
      </c>
      <c r="D21" s="19">
        <v>85280.0</v>
      </c>
      <c r="E21" s="20" t="s">
        <v>478</v>
      </c>
      <c r="F21" s="21"/>
      <c r="G21" s="22"/>
      <c r="H21" s="22"/>
      <c r="I21" s="30"/>
      <c r="J21" s="22"/>
      <c r="K21" s="31">
        <v>9850.0</v>
      </c>
      <c r="L21" s="22"/>
      <c r="M21" s="22"/>
      <c r="N21" s="22"/>
      <c r="O21" s="22"/>
      <c r="P21" s="24">
        <v>9850.0</v>
      </c>
      <c r="Q21" s="25">
        <f t="shared" si="1"/>
        <v>0</v>
      </c>
      <c r="R21" s="24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5.0" customHeight="1">
      <c r="A22" s="16">
        <v>18.0</v>
      </c>
      <c r="B22" s="28">
        <v>45667.0</v>
      </c>
      <c r="C22" s="18" t="s">
        <v>479</v>
      </c>
      <c r="D22" s="19">
        <v>85915.0</v>
      </c>
      <c r="E22" s="20" t="s">
        <v>480</v>
      </c>
      <c r="F22" s="21"/>
      <c r="G22" s="22"/>
      <c r="H22" s="22">
        <v>300.0</v>
      </c>
      <c r="I22" s="21"/>
      <c r="J22" s="22"/>
      <c r="K22" s="21"/>
      <c r="L22" s="22"/>
      <c r="M22" s="22"/>
      <c r="N22" s="22"/>
      <c r="O22" s="22"/>
      <c r="P22" s="24">
        <v>300.0</v>
      </c>
      <c r="Q22" s="25">
        <f t="shared" si="1"/>
        <v>0</v>
      </c>
      <c r="R22" s="24"/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5.0" customHeight="1">
      <c r="A23" s="16">
        <v>19.0</v>
      </c>
      <c r="B23" s="32">
        <v>45667.0</v>
      </c>
      <c r="C23" s="33" t="s">
        <v>481</v>
      </c>
      <c r="D23" s="34">
        <v>51660.0</v>
      </c>
      <c r="E23" s="35" t="s">
        <v>482</v>
      </c>
      <c r="F23" s="30"/>
      <c r="G23" s="36"/>
      <c r="H23" s="36">
        <v>5000.0</v>
      </c>
      <c r="I23" s="30"/>
      <c r="J23" s="30"/>
      <c r="K23" s="37"/>
      <c r="L23" s="36"/>
      <c r="M23" s="36"/>
      <c r="N23" s="36"/>
      <c r="O23" s="36"/>
      <c r="P23" s="38">
        <v>5000.0</v>
      </c>
      <c r="Q23" s="25">
        <f t="shared" si="1"/>
        <v>0</v>
      </c>
      <c r="R23" s="38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27"/>
      <c r="B24" s="128"/>
      <c r="C24" s="129"/>
      <c r="D24" s="130"/>
      <c r="E24" s="131"/>
      <c r="F24" s="132">
        <f t="shared" ref="F24:P24" si="2">SUM(F6:F23)</f>
        <v>250</v>
      </c>
      <c r="G24" s="132">
        <f t="shared" si="2"/>
        <v>0</v>
      </c>
      <c r="H24" s="132">
        <f t="shared" si="2"/>
        <v>15300</v>
      </c>
      <c r="I24" s="132">
        <f t="shared" si="2"/>
        <v>17700</v>
      </c>
      <c r="J24" s="132">
        <f t="shared" si="2"/>
        <v>12600</v>
      </c>
      <c r="K24" s="132">
        <f t="shared" si="2"/>
        <v>14850</v>
      </c>
      <c r="L24" s="132">
        <f t="shared" si="2"/>
        <v>0</v>
      </c>
      <c r="M24" s="132">
        <f t="shared" si="2"/>
        <v>0</v>
      </c>
      <c r="N24" s="132">
        <f t="shared" si="2"/>
        <v>0</v>
      </c>
      <c r="O24" s="132">
        <f t="shared" si="2"/>
        <v>0</v>
      </c>
      <c r="P24" s="132">
        <f t="shared" si="2"/>
        <v>60700</v>
      </c>
      <c r="Q24" s="133"/>
      <c r="R24" s="134"/>
      <c r="S24" s="135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</row>
    <row r="25" ht="45.0" customHeight="1">
      <c r="A25" s="136"/>
      <c r="B25" s="137"/>
      <c r="C25" s="138"/>
      <c r="D25" s="137"/>
      <c r="E25" s="137"/>
      <c r="F25" s="139">
        <f>F24+G24+H24+I24+J24+K24+L24+M24+N24+O24</f>
        <v>60700</v>
      </c>
      <c r="G25" s="2"/>
      <c r="H25" s="2"/>
      <c r="I25" s="2"/>
      <c r="J25" s="2"/>
      <c r="K25" s="2"/>
      <c r="L25" s="2"/>
      <c r="M25" s="2"/>
      <c r="N25" s="2"/>
      <c r="O25" s="2"/>
      <c r="P25" s="140"/>
      <c r="Q25" s="140"/>
      <c r="R25" s="137"/>
      <c r="S25" s="141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ht="45.0" customHeight="1">
      <c r="A26" s="27"/>
      <c r="B26" s="27"/>
      <c r="C26" s="75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45.0" customHeight="1">
      <c r="A27" s="142" t="s">
        <v>437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45.0" customHeight="1">
      <c r="A28" s="143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5" t="s">
        <v>371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144" t="s">
        <v>7</v>
      </c>
      <c r="S28" s="144" t="s">
        <v>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45.0" customHeight="1">
      <c r="A29" s="10"/>
      <c r="B29" s="11"/>
      <c r="C29" s="11"/>
      <c r="D29" s="11"/>
      <c r="E29" s="11"/>
      <c r="F29" s="146" t="s">
        <v>9</v>
      </c>
      <c r="G29" s="147" t="s">
        <v>10</v>
      </c>
      <c r="H29" s="9"/>
      <c r="I29" s="147" t="s">
        <v>11</v>
      </c>
      <c r="J29" s="9"/>
      <c r="K29" s="144" t="s">
        <v>12</v>
      </c>
      <c r="L29" s="148"/>
      <c r="M29" s="148"/>
      <c r="N29" s="148"/>
      <c r="O29" s="149" t="s">
        <v>483</v>
      </c>
      <c r="P29" s="144" t="s">
        <v>14</v>
      </c>
      <c r="Q29" s="144" t="s">
        <v>15</v>
      </c>
      <c r="R29" s="11"/>
      <c r="S29" s="1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45.0" customHeight="1">
      <c r="A30" s="14"/>
      <c r="B30" s="9"/>
      <c r="C30" s="9"/>
      <c r="D30" s="9"/>
      <c r="E30" s="9"/>
      <c r="F30" s="9"/>
      <c r="G30" s="150" t="s">
        <v>16</v>
      </c>
      <c r="H30" s="150" t="s">
        <v>17</v>
      </c>
      <c r="I30" s="150" t="s">
        <v>18</v>
      </c>
      <c r="J30" s="150" t="s">
        <v>19</v>
      </c>
      <c r="K30" s="9"/>
      <c r="L30" s="150" t="s">
        <v>20</v>
      </c>
      <c r="M30" s="150" t="s">
        <v>21</v>
      </c>
      <c r="N30" s="150" t="s">
        <v>22</v>
      </c>
      <c r="O30" s="9"/>
      <c r="P30" s="9"/>
      <c r="Q30" s="9"/>
      <c r="R30" s="9"/>
      <c r="S30" s="9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45.0" customHeight="1">
      <c r="A31" s="16">
        <v>1.0</v>
      </c>
      <c r="B31" s="28">
        <v>45667.0</v>
      </c>
      <c r="C31" s="18" t="s">
        <v>484</v>
      </c>
      <c r="D31" s="19">
        <v>42339.0</v>
      </c>
      <c r="E31" s="20" t="s">
        <v>463</v>
      </c>
      <c r="F31" s="22"/>
      <c r="G31" s="22"/>
      <c r="H31" s="22" t="s">
        <v>127</v>
      </c>
      <c r="I31" s="23"/>
      <c r="J31" s="23"/>
      <c r="K31" s="22"/>
      <c r="L31" s="22"/>
      <c r="M31" s="22"/>
      <c r="N31" s="22"/>
      <c r="O31" s="22">
        <v>35.0</v>
      </c>
      <c r="P31" s="24">
        <v>35.0</v>
      </c>
      <c r="Q31" s="25">
        <v>0.0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45.0" customHeight="1">
      <c r="A32" s="16">
        <v>2.0</v>
      </c>
      <c r="B32" s="32"/>
      <c r="C32" s="33"/>
      <c r="D32" s="34"/>
      <c r="E32" s="35"/>
      <c r="F32" s="30"/>
      <c r="G32" s="36"/>
      <c r="H32" s="36"/>
      <c r="I32" s="30"/>
      <c r="J32" s="30"/>
      <c r="K32" s="37"/>
      <c r="L32" s="36"/>
      <c r="M32" s="36"/>
      <c r="N32" s="36"/>
      <c r="O32" s="36"/>
      <c r="P32" s="38"/>
      <c r="Q32" s="25">
        <v>0.0</v>
      </c>
      <c r="R32" s="38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45.0" customHeight="1">
      <c r="A33" s="151"/>
      <c r="B33" s="152"/>
      <c r="C33" s="153"/>
      <c r="D33" s="154" t="s">
        <v>115</v>
      </c>
      <c r="E33" s="155"/>
      <c r="F33" s="156">
        <f t="shared" ref="F33:O33" si="3">SUM(F31:F32)</f>
        <v>0</v>
      </c>
      <c r="G33" s="156">
        <f t="shared" si="3"/>
        <v>0</v>
      </c>
      <c r="H33" s="156">
        <f t="shared" si="3"/>
        <v>0</v>
      </c>
      <c r="I33" s="156">
        <f t="shared" si="3"/>
        <v>0</v>
      </c>
      <c r="J33" s="156">
        <f t="shared" si="3"/>
        <v>0</v>
      </c>
      <c r="K33" s="156">
        <f t="shared" si="3"/>
        <v>0</v>
      </c>
      <c r="L33" s="156">
        <f t="shared" si="3"/>
        <v>0</v>
      </c>
      <c r="M33" s="156">
        <f t="shared" si="3"/>
        <v>0</v>
      </c>
      <c r="N33" s="156">
        <f t="shared" si="3"/>
        <v>0</v>
      </c>
      <c r="O33" s="156">
        <f t="shared" si="3"/>
        <v>35</v>
      </c>
      <c r="P33" s="156"/>
      <c r="Q33" s="157">
        <f>F33+G33+H33+I33+J33+K33+L33+M33+N33+O33-P33</f>
        <v>35</v>
      </c>
      <c r="R33" s="155"/>
      <c r="S33" s="158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</row>
    <row r="34" ht="45.0" customHeight="1">
      <c r="A34" s="159"/>
      <c r="B34" s="160"/>
      <c r="C34" s="161"/>
      <c r="D34" s="160"/>
      <c r="E34" s="160"/>
      <c r="F34" s="162">
        <f>F33+G33+H33+I33+J33+K33+L33+M33+N33+O33</f>
        <v>35</v>
      </c>
      <c r="G34" s="2"/>
      <c r="H34" s="2"/>
      <c r="I34" s="2"/>
      <c r="J34" s="2"/>
      <c r="K34" s="2"/>
      <c r="L34" s="2"/>
      <c r="M34" s="2"/>
      <c r="N34" s="2"/>
      <c r="O34" s="2"/>
      <c r="P34" s="163"/>
      <c r="Q34" s="163"/>
      <c r="R34" s="160"/>
      <c r="S34" s="16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45.0" customHeight="1">
      <c r="A35" s="27"/>
      <c r="B35" s="27"/>
      <c r="C35" s="75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45.0" customHeight="1">
      <c r="A36" s="4"/>
      <c r="B36" s="4"/>
      <c r="C36" s="5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4"/>
      <c r="C37" s="51"/>
      <c r="D37" s="4"/>
      <c r="E37" s="188" t="s">
        <v>118</v>
      </c>
      <c r="F37" s="189" t="s">
        <v>119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51"/>
      <c r="D38" s="4"/>
      <c r="E38" s="188" t="s">
        <v>120</v>
      </c>
      <c r="F38" s="189" t="s">
        <v>119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121</v>
      </c>
      <c r="F39" s="189" t="s">
        <v>119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122</v>
      </c>
      <c r="F40" s="189" t="s">
        <v>119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485</v>
      </c>
      <c r="F41" s="189" t="s">
        <v>119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124</v>
      </c>
      <c r="F42" s="189" t="s">
        <v>317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126</v>
      </c>
      <c r="F43" s="189" t="s">
        <v>117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58.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58.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58.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58.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58.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58.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58.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486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17">
        <v>45667.0</v>
      </c>
      <c r="C6" s="18" t="s">
        <v>487</v>
      </c>
      <c r="D6" s="19">
        <v>85888.0</v>
      </c>
      <c r="E6" s="20" t="s">
        <v>368</v>
      </c>
      <c r="F6" s="21"/>
      <c r="G6" s="22"/>
      <c r="H6" s="21"/>
      <c r="I6" s="23">
        <v>0.0</v>
      </c>
      <c r="J6" s="23"/>
      <c r="K6" s="22"/>
      <c r="L6" s="22"/>
      <c r="M6" s="21"/>
      <c r="N6" s="22"/>
      <c r="O6" s="22"/>
      <c r="P6" s="24">
        <v>4700.0</v>
      </c>
      <c r="Q6" s="25">
        <f t="shared" ref="Q6:Q36" si="1">F6+G6+H6+I6+J6+K6+L6+M6+N6+O6-P6</f>
        <v>-4700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45667.0</v>
      </c>
      <c r="C7" s="18" t="s">
        <v>488</v>
      </c>
      <c r="D7" s="19">
        <v>85918.0</v>
      </c>
      <c r="E7" s="20" t="s">
        <v>489</v>
      </c>
      <c r="F7" s="21"/>
      <c r="G7" s="22"/>
      <c r="H7" s="22"/>
      <c r="I7" s="21">
        <v>300.0</v>
      </c>
      <c r="J7" s="22"/>
      <c r="K7" s="22"/>
      <c r="L7" s="22"/>
      <c r="M7" s="21"/>
      <c r="N7" s="22"/>
      <c r="O7" s="22"/>
      <c r="P7" s="24">
        <v>300.0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45668.0</v>
      </c>
      <c r="C8" s="18" t="s">
        <v>490</v>
      </c>
      <c r="D8" s="19">
        <v>49890.0</v>
      </c>
      <c r="E8" s="20" t="s">
        <v>491</v>
      </c>
      <c r="F8" s="22"/>
      <c r="G8" s="22"/>
      <c r="H8" s="21"/>
      <c r="I8" s="21"/>
      <c r="J8" s="23">
        <v>940.0</v>
      </c>
      <c r="K8" s="22"/>
      <c r="L8" s="22"/>
      <c r="M8" s="22"/>
      <c r="N8" s="22"/>
      <c r="O8" s="22"/>
      <c r="P8" s="24">
        <v>940.0</v>
      </c>
      <c r="Q8" s="25">
        <f t="shared" si="1"/>
        <v>0</v>
      </c>
      <c r="R8" s="24" t="s">
        <v>28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28">
        <v>45668.0</v>
      </c>
      <c r="C9" s="18" t="s">
        <v>492</v>
      </c>
      <c r="D9" s="19">
        <v>54440.0</v>
      </c>
      <c r="E9" s="20" t="s">
        <v>493</v>
      </c>
      <c r="F9" s="22"/>
      <c r="G9" s="22"/>
      <c r="H9" s="22"/>
      <c r="I9" s="21">
        <v>2600.0</v>
      </c>
      <c r="J9" s="21"/>
      <c r="K9" s="22"/>
      <c r="L9" s="22"/>
      <c r="M9" s="22"/>
      <c r="N9" s="22"/>
      <c r="O9" s="22"/>
      <c r="P9" s="24">
        <v>2600.0</v>
      </c>
      <c r="Q9" s="25">
        <f t="shared" si="1"/>
        <v>0</v>
      </c>
      <c r="R9" s="24" t="s">
        <v>28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5.0" customHeight="1">
      <c r="A10" s="16">
        <v>5.0</v>
      </c>
      <c r="B10" s="28">
        <v>45668.0</v>
      </c>
      <c r="C10" s="18" t="s">
        <v>494</v>
      </c>
      <c r="D10" s="19">
        <v>44149.0</v>
      </c>
      <c r="E10" s="20" t="s">
        <v>136</v>
      </c>
      <c r="F10" s="22"/>
      <c r="G10" s="22"/>
      <c r="H10" s="22"/>
      <c r="I10" s="21">
        <v>7100.0</v>
      </c>
      <c r="J10" s="21"/>
      <c r="K10" s="22"/>
      <c r="L10" s="22"/>
      <c r="M10" s="21"/>
      <c r="N10" s="22"/>
      <c r="O10" s="22"/>
      <c r="P10" s="24">
        <v>7100.0</v>
      </c>
      <c r="Q10" s="25">
        <f t="shared" si="1"/>
        <v>0</v>
      </c>
      <c r="R10" s="24" t="s">
        <v>46</v>
      </c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5.0" customHeight="1">
      <c r="A11" s="16">
        <v>6.0</v>
      </c>
      <c r="B11" s="28">
        <v>45668.0</v>
      </c>
      <c r="C11" s="18" t="s">
        <v>495</v>
      </c>
      <c r="D11" s="19">
        <v>83606.0</v>
      </c>
      <c r="E11" s="20" t="s">
        <v>190</v>
      </c>
      <c r="F11" s="22"/>
      <c r="G11" s="22"/>
      <c r="H11" s="22"/>
      <c r="I11" s="21">
        <v>1900.0</v>
      </c>
      <c r="J11" s="21"/>
      <c r="K11" s="22"/>
      <c r="L11" s="22"/>
      <c r="M11" s="21"/>
      <c r="N11" s="22"/>
      <c r="O11" s="22"/>
      <c r="P11" s="24">
        <v>1900.0</v>
      </c>
      <c r="Q11" s="25">
        <f t="shared" si="1"/>
        <v>0</v>
      </c>
      <c r="R11" s="24" t="s">
        <v>31</v>
      </c>
      <c r="S11" s="29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5.0" customHeight="1">
      <c r="A12" s="16">
        <v>7.0</v>
      </c>
      <c r="B12" s="28">
        <v>45668.0</v>
      </c>
      <c r="C12" s="18" t="s">
        <v>496</v>
      </c>
      <c r="D12" s="19">
        <v>77275.0</v>
      </c>
      <c r="E12" s="20" t="s">
        <v>497</v>
      </c>
      <c r="F12" s="22"/>
      <c r="G12" s="22"/>
      <c r="H12" s="22"/>
      <c r="I12" s="21">
        <v>5100.0</v>
      </c>
      <c r="J12" s="21"/>
      <c r="K12" s="22"/>
      <c r="L12" s="22"/>
      <c r="M12" s="21"/>
      <c r="N12" s="22"/>
      <c r="O12" s="22"/>
      <c r="P12" s="24">
        <v>5100.0</v>
      </c>
      <c r="Q12" s="25">
        <f t="shared" si="1"/>
        <v>0</v>
      </c>
      <c r="R12" s="24" t="s">
        <v>31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5.0" customHeight="1">
      <c r="A13" s="16">
        <v>8.0</v>
      </c>
      <c r="B13" s="28">
        <v>45668.0</v>
      </c>
      <c r="C13" s="18" t="s">
        <v>498</v>
      </c>
      <c r="D13" s="19">
        <v>81420.0</v>
      </c>
      <c r="E13" s="20" t="s">
        <v>499</v>
      </c>
      <c r="F13" s="22">
        <v>5000.0</v>
      </c>
      <c r="G13" s="22"/>
      <c r="H13" s="22"/>
      <c r="I13" s="21"/>
      <c r="J13" s="21"/>
      <c r="K13" s="22"/>
      <c r="L13" s="22"/>
      <c r="M13" s="21"/>
      <c r="N13" s="22"/>
      <c r="O13" s="22"/>
      <c r="P13" s="24">
        <v>5000.0</v>
      </c>
      <c r="Q13" s="25">
        <f t="shared" si="1"/>
        <v>0</v>
      </c>
      <c r="R13" s="24" t="s">
        <v>28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5.0" customHeight="1">
      <c r="A14" s="16">
        <v>9.0</v>
      </c>
      <c r="B14" s="28">
        <v>45668.0</v>
      </c>
      <c r="C14" s="18" t="s">
        <v>500</v>
      </c>
      <c r="D14" s="19">
        <v>75045.0</v>
      </c>
      <c r="E14" s="20" t="s">
        <v>501</v>
      </c>
      <c r="F14" s="22"/>
      <c r="G14" s="22"/>
      <c r="H14" s="22"/>
      <c r="I14" s="21"/>
      <c r="J14" s="21"/>
      <c r="K14" s="22"/>
      <c r="L14" s="22"/>
      <c r="M14" s="21">
        <v>4500.0</v>
      </c>
      <c r="N14" s="22"/>
      <c r="O14" s="22"/>
      <c r="P14" s="24">
        <v>4500.0</v>
      </c>
      <c r="Q14" s="25">
        <f t="shared" si="1"/>
        <v>0</v>
      </c>
      <c r="R14" s="24" t="s">
        <v>31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5.0" customHeight="1">
      <c r="A15" s="16">
        <v>10.0</v>
      </c>
      <c r="B15" s="28">
        <v>45668.0</v>
      </c>
      <c r="C15" s="18" t="s">
        <v>502</v>
      </c>
      <c r="D15" s="19">
        <v>61420.0</v>
      </c>
      <c r="E15" s="20" t="s">
        <v>503</v>
      </c>
      <c r="F15" s="22"/>
      <c r="G15" s="22"/>
      <c r="H15" s="22"/>
      <c r="I15" s="21">
        <v>7950.0</v>
      </c>
      <c r="J15" s="21"/>
      <c r="K15" s="22"/>
      <c r="L15" s="22"/>
      <c r="M15" s="21"/>
      <c r="N15" s="22"/>
      <c r="O15" s="22"/>
      <c r="P15" s="24">
        <v>7950.0</v>
      </c>
      <c r="Q15" s="25">
        <f t="shared" si="1"/>
        <v>0</v>
      </c>
      <c r="R15" s="24" t="s">
        <v>28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5.0" customHeight="1">
      <c r="A16" s="16">
        <v>11.0</v>
      </c>
      <c r="B16" s="28">
        <v>45668.0</v>
      </c>
      <c r="C16" s="18" t="s">
        <v>504</v>
      </c>
      <c r="D16" s="19">
        <v>80375.0</v>
      </c>
      <c r="E16" s="20" t="s">
        <v>505</v>
      </c>
      <c r="F16" s="22"/>
      <c r="G16" s="22"/>
      <c r="H16" s="22"/>
      <c r="I16" s="21"/>
      <c r="J16" s="21">
        <v>4600.0</v>
      </c>
      <c r="K16" s="22"/>
      <c r="L16" s="22"/>
      <c r="M16" s="21"/>
      <c r="N16" s="22"/>
      <c r="O16" s="22"/>
      <c r="P16" s="24">
        <v>4600.0</v>
      </c>
      <c r="Q16" s="25">
        <f t="shared" si="1"/>
        <v>0</v>
      </c>
      <c r="R16" s="24" t="s">
        <v>28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5.0" customHeight="1">
      <c r="A17" s="16">
        <v>12.0</v>
      </c>
      <c r="B17" s="28">
        <v>45668.0</v>
      </c>
      <c r="C17" s="18" t="s">
        <v>506</v>
      </c>
      <c r="D17" s="19">
        <v>50436.0</v>
      </c>
      <c r="E17" s="20" t="s">
        <v>154</v>
      </c>
      <c r="F17" s="22"/>
      <c r="G17" s="22"/>
      <c r="H17" s="22"/>
      <c r="I17" s="21">
        <v>2000.0</v>
      </c>
      <c r="J17" s="21"/>
      <c r="K17" s="22"/>
      <c r="L17" s="22"/>
      <c r="M17" s="21"/>
      <c r="N17" s="22"/>
      <c r="O17" s="22"/>
      <c r="P17" s="24">
        <v>2000.0</v>
      </c>
      <c r="Q17" s="25">
        <f t="shared" si="1"/>
        <v>0</v>
      </c>
      <c r="R17" s="24" t="s">
        <v>28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5.0" customHeight="1">
      <c r="A18" s="16">
        <v>13.0</v>
      </c>
      <c r="B18" s="28">
        <v>45668.0</v>
      </c>
      <c r="C18" s="18" t="s">
        <v>507</v>
      </c>
      <c r="D18" s="19">
        <v>50436.0</v>
      </c>
      <c r="E18" s="20" t="s">
        <v>154</v>
      </c>
      <c r="F18" s="22"/>
      <c r="G18" s="22"/>
      <c r="H18" s="22"/>
      <c r="I18" s="21">
        <v>2950.0</v>
      </c>
      <c r="J18" s="21"/>
      <c r="K18" s="22"/>
      <c r="L18" s="22"/>
      <c r="M18" s="21"/>
      <c r="N18" s="22"/>
      <c r="O18" s="22"/>
      <c r="P18" s="24">
        <v>2950.0</v>
      </c>
      <c r="Q18" s="25">
        <f t="shared" si="1"/>
        <v>0</v>
      </c>
      <c r="R18" s="24" t="s">
        <v>28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5.0" customHeight="1">
      <c r="A19" s="16">
        <v>14.0</v>
      </c>
      <c r="B19" s="28">
        <v>45668.0</v>
      </c>
      <c r="C19" s="18" t="s">
        <v>508</v>
      </c>
      <c r="D19" s="19">
        <v>61803.0</v>
      </c>
      <c r="E19" s="20" t="s">
        <v>509</v>
      </c>
      <c r="F19" s="22"/>
      <c r="G19" s="22"/>
      <c r="H19" s="22"/>
      <c r="I19" s="21">
        <v>3800.0</v>
      </c>
      <c r="J19" s="21"/>
      <c r="K19" s="22"/>
      <c r="L19" s="22"/>
      <c r="M19" s="22"/>
      <c r="N19" s="22"/>
      <c r="O19" s="22"/>
      <c r="P19" s="24">
        <v>3800.0</v>
      </c>
      <c r="Q19" s="25">
        <f t="shared" si="1"/>
        <v>0</v>
      </c>
      <c r="R19" s="24" t="s">
        <v>46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5.0" customHeight="1">
      <c r="A20" s="16">
        <v>15.0</v>
      </c>
      <c r="B20" s="28">
        <v>45668.0</v>
      </c>
      <c r="C20" s="18" t="s">
        <v>510</v>
      </c>
      <c r="D20" s="19">
        <v>85934.0</v>
      </c>
      <c r="E20" s="20" t="s">
        <v>511</v>
      </c>
      <c r="F20" s="22"/>
      <c r="G20" s="22"/>
      <c r="H20" s="22"/>
      <c r="I20" s="21">
        <v>300.0</v>
      </c>
      <c r="J20" s="21"/>
      <c r="K20" s="22"/>
      <c r="L20" s="22"/>
      <c r="M20" s="21"/>
      <c r="N20" s="22"/>
      <c r="O20" s="22"/>
      <c r="P20" s="24">
        <v>300.0</v>
      </c>
      <c r="Q20" s="25">
        <f t="shared" si="1"/>
        <v>0</v>
      </c>
      <c r="R20" s="24" t="s">
        <v>512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5.0" customHeight="1">
      <c r="A21" s="16">
        <v>16.0</v>
      </c>
      <c r="B21" s="28">
        <v>45668.0</v>
      </c>
      <c r="C21" s="18" t="s">
        <v>513</v>
      </c>
      <c r="D21" s="19">
        <v>50596.0</v>
      </c>
      <c r="E21" s="20" t="s">
        <v>514</v>
      </c>
      <c r="F21" s="21"/>
      <c r="G21" s="22"/>
      <c r="H21" s="22"/>
      <c r="I21" s="30">
        <v>5200.0</v>
      </c>
      <c r="J21" s="22"/>
      <c r="K21" s="31"/>
      <c r="L21" s="22"/>
      <c r="M21" s="22"/>
      <c r="N21" s="22"/>
      <c r="O21" s="22"/>
      <c r="P21" s="24">
        <v>5200.0</v>
      </c>
      <c r="Q21" s="25">
        <f t="shared" si="1"/>
        <v>0</v>
      </c>
      <c r="R21" s="24" t="s">
        <v>28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5.0" customHeight="1">
      <c r="A22" s="16">
        <v>17.0</v>
      </c>
      <c r="B22" s="28">
        <v>45668.0</v>
      </c>
      <c r="C22" s="18" t="s">
        <v>515</v>
      </c>
      <c r="D22" s="19">
        <v>75045.0</v>
      </c>
      <c r="E22" s="20" t="s">
        <v>501</v>
      </c>
      <c r="F22" s="21">
        <v>300.0</v>
      </c>
      <c r="G22" s="22"/>
      <c r="H22" s="22"/>
      <c r="I22" s="21"/>
      <c r="J22" s="22"/>
      <c r="K22" s="21"/>
      <c r="L22" s="22"/>
      <c r="M22" s="22"/>
      <c r="N22" s="22"/>
      <c r="O22" s="22"/>
      <c r="P22" s="24">
        <v>300.0</v>
      </c>
      <c r="Q22" s="25">
        <f t="shared" si="1"/>
        <v>0</v>
      </c>
      <c r="R22" s="24" t="s">
        <v>31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5.0" customHeight="1">
      <c r="A23" s="16">
        <v>18.0</v>
      </c>
      <c r="B23" s="32">
        <v>45668.0</v>
      </c>
      <c r="C23" s="33" t="s">
        <v>516</v>
      </c>
      <c r="D23" s="34">
        <v>21828.0</v>
      </c>
      <c r="E23" s="35" t="s">
        <v>80</v>
      </c>
      <c r="F23" s="30"/>
      <c r="G23" s="36"/>
      <c r="H23" s="36"/>
      <c r="I23" s="30"/>
      <c r="J23" s="30"/>
      <c r="K23" s="37"/>
      <c r="L23" s="36"/>
      <c r="M23" s="36">
        <v>4500.0</v>
      </c>
      <c r="N23" s="36"/>
      <c r="O23" s="36"/>
      <c r="P23" s="38">
        <v>4500.0</v>
      </c>
      <c r="Q23" s="25">
        <f t="shared" si="1"/>
        <v>0</v>
      </c>
      <c r="R23" s="38" t="s">
        <v>31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45668.0</v>
      </c>
      <c r="C24" s="33" t="s">
        <v>517</v>
      </c>
      <c r="D24" s="34">
        <v>45096.0</v>
      </c>
      <c r="E24" s="35" t="s">
        <v>518</v>
      </c>
      <c r="F24" s="30"/>
      <c r="G24" s="36"/>
      <c r="H24" s="36"/>
      <c r="I24" s="30">
        <v>5420.0</v>
      </c>
      <c r="J24" s="30"/>
      <c r="K24" s="37"/>
      <c r="L24" s="36"/>
      <c r="M24" s="36"/>
      <c r="N24" s="36"/>
      <c r="O24" s="36"/>
      <c r="P24" s="38">
        <v>5420.0</v>
      </c>
      <c r="Q24" s="25">
        <f t="shared" si="1"/>
        <v>0</v>
      </c>
      <c r="R24" s="38" t="s">
        <v>46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45668.0</v>
      </c>
      <c r="C25" s="33" t="s">
        <v>519</v>
      </c>
      <c r="D25" s="34">
        <v>52885.0</v>
      </c>
      <c r="E25" s="35" t="s">
        <v>520</v>
      </c>
      <c r="F25" s="30"/>
      <c r="G25" s="36"/>
      <c r="H25" s="36"/>
      <c r="I25" s="30">
        <v>10000.0</v>
      </c>
      <c r="J25" s="30"/>
      <c r="K25" s="37"/>
      <c r="L25" s="36"/>
      <c r="M25" s="36"/>
      <c r="N25" s="36"/>
      <c r="O25" s="36"/>
      <c r="P25" s="38">
        <v>10000.0</v>
      </c>
      <c r="Q25" s="25">
        <f t="shared" si="1"/>
        <v>0</v>
      </c>
      <c r="R25" s="38" t="s">
        <v>28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45668.0</v>
      </c>
      <c r="C26" s="33" t="s">
        <v>521</v>
      </c>
      <c r="D26" s="34">
        <v>83201.0</v>
      </c>
      <c r="E26" s="35" t="s">
        <v>522</v>
      </c>
      <c r="F26" s="30"/>
      <c r="G26" s="36"/>
      <c r="H26" s="36"/>
      <c r="I26" s="30">
        <v>10000.0</v>
      </c>
      <c r="J26" s="30"/>
      <c r="K26" s="37"/>
      <c r="L26" s="36"/>
      <c r="M26" s="36"/>
      <c r="N26" s="36"/>
      <c r="O26" s="36"/>
      <c r="P26" s="38">
        <v>10000.0</v>
      </c>
      <c r="Q26" s="25">
        <f t="shared" si="1"/>
        <v>0</v>
      </c>
      <c r="R26" s="38" t="s">
        <v>28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45668.0</v>
      </c>
      <c r="C27" s="33" t="s">
        <v>523</v>
      </c>
      <c r="D27" s="34">
        <v>66962.0</v>
      </c>
      <c r="E27" s="35" t="s">
        <v>524</v>
      </c>
      <c r="F27" s="30"/>
      <c r="G27" s="36"/>
      <c r="H27" s="36"/>
      <c r="I27" s="30"/>
      <c r="J27" s="30"/>
      <c r="K27" s="37"/>
      <c r="L27" s="36"/>
      <c r="M27" s="36">
        <v>4500.0</v>
      </c>
      <c r="N27" s="36"/>
      <c r="O27" s="36"/>
      <c r="P27" s="38">
        <v>4500.0</v>
      </c>
      <c r="Q27" s="25">
        <f t="shared" si="1"/>
        <v>0</v>
      </c>
      <c r="R27" s="38" t="s">
        <v>46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45668.0</v>
      </c>
      <c r="C28" s="33" t="s">
        <v>525</v>
      </c>
      <c r="D28" s="34">
        <v>19688.0</v>
      </c>
      <c r="E28" s="35" t="s">
        <v>300</v>
      </c>
      <c r="F28" s="30"/>
      <c r="G28" s="36"/>
      <c r="H28" s="36"/>
      <c r="I28" s="30"/>
      <c r="J28" s="30">
        <v>5000.0</v>
      </c>
      <c r="K28" s="37"/>
      <c r="L28" s="36"/>
      <c r="M28" s="36"/>
      <c r="N28" s="36"/>
      <c r="O28" s="36"/>
      <c r="P28" s="38">
        <v>5000.0</v>
      </c>
      <c r="Q28" s="25">
        <f t="shared" si="1"/>
        <v>0</v>
      </c>
      <c r="R28" s="38" t="s">
        <v>28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45668.0</v>
      </c>
      <c r="C29" s="33" t="s">
        <v>526</v>
      </c>
      <c r="D29" s="34">
        <v>61420.0</v>
      </c>
      <c r="E29" s="35" t="s">
        <v>503</v>
      </c>
      <c r="F29" s="30"/>
      <c r="G29" s="36"/>
      <c r="H29" s="36"/>
      <c r="I29" s="30">
        <v>2500.0</v>
      </c>
      <c r="J29" s="30"/>
      <c r="K29" s="37"/>
      <c r="L29" s="36"/>
      <c r="M29" s="36"/>
      <c r="N29" s="36"/>
      <c r="O29" s="36"/>
      <c r="P29" s="38">
        <v>2500.0</v>
      </c>
      <c r="Q29" s="25">
        <f t="shared" si="1"/>
        <v>0</v>
      </c>
      <c r="R29" s="38" t="s">
        <v>28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45668.0</v>
      </c>
      <c r="C30" s="33" t="s">
        <v>527</v>
      </c>
      <c r="D30" s="34">
        <v>48973.0</v>
      </c>
      <c r="E30" s="35" t="s">
        <v>528</v>
      </c>
      <c r="F30" s="30"/>
      <c r="G30" s="36"/>
      <c r="H30" s="36"/>
      <c r="I30" s="30">
        <v>10000.0</v>
      </c>
      <c r="J30" s="30"/>
      <c r="K30" s="37"/>
      <c r="L30" s="36"/>
      <c r="M30" s="36"/>
      <c r="N30" s="36"/>
      <c r="O30" s="36"/>
      <c r="P30" s="38">
        <v>10000.0</v>
      </c>
      <c r="Q30" s="25">
        <f t="shared" si="1"/>
        <v>0</v>
      </c>
      <c r="R30" s="38" t="s">
        <v>28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45668.0</v>
      </c>
      <c r="C31" s="33" t="s">
        <v>529</v>
      </c>
      <c r="D31" s="34">
        <v>85935.0</v>
      </c>
      <c r="E31" s="35" t="s">
        <v>530</v>
      </c>
      <c r="F31" s="30"/>
      <c r="G31" s="36"/>
      <c r="H31" s="36"/>
      <c r="I31" s="30"/>
      <c r="J31" s="30"/>
      <c r="K31" s="37"/>
      <c r="L31" s="36"/>
      <c r="M31" s="36">
        <v>2500.0</v>
      </c>
      <c r="N31" s="36"/>
      <c r="O31" s="36"/>
      <c r="P31" s="38">
        <v>2500.0</v>
      </c>
      <c r="Q31" s="25">
        <f t="shared" si="1"/>
        <v>0</v>
      </c>
      <c r="R31" s="38" t="s">
        <v>512</v>
      </c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45668.0</v>
      </c>
      <c r="C32" s="33" t="s">
        <v>531</v>
      </c>
      <c r="D32" s="34">
        <v>40893.0</v>
      </c>
      <c r="E32" s="35" t="s">
        <v>532</v>
      </c>
      <c r="F32" s="30">
        <v>3400.0</v>
      </c>
      <c r="G32" s="36"/>
      <c r="H32" s="36"/>
      <c r="I32" s="30"/>
      <c r="J32" s="30"/>
      <c r="K32" s="37"/>
      <c r="L32" s="36"/>
      <c r="M32" s="36"/>
      <c r="N32" s="36"/>
      <c r="O32" s="36"/>
      <c r="P32" s="38">
        <v>3400.0</v>
      </c>
      <c r="Q32" s="25">
        <f t="shared" si="1"/>
        <v>0</v>
      </c>
      <c r="R32" s="38" t="s">
        <v>28</v>
      </c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6">
        <v>28.0</v>
      </c>
      <c r="B33" s="32">
        <v>45668.0</v>
      </c>
      <c r="C33" s="33" t="s">
        <v>533</v>
      </c>
      <c r="D33" s="34">
        <v>40893.0</v>
      </c>
      <c r="E33" s="35" t="s">
        <v>532</v>
      </c>
      <c r="F33" s="30"/>
      <c r="G33" s="36"/>
      <c r="H33" s="36"/>
      <c r="I33" s="30"/>
      <c r="J33" s="30"/>
      <c r="K33" s="37"/>
      <c r="L33" s="36"/>
      <c r="M33" s="36">
        <v>450.0</v>
      </c>
      <c r="N33" s="36"/>
      <c r="O33" s="36"/>
      <c r="P33" s="38">
        <v>450.0</v>
      </c>
      <c r="Q33" s="25">
        <f t="shared" si="1"/>
        <v>0</v>
      </c>
      <c r="R33" s="38" t="s">
        <v>28</v>
      </c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5.0" customHeight="1">
      <c r="A34" s="16">
        <v>29.0</v>
      </c>
      <c r="B34" s="32">
        <v>45667.0</v>
      </c>
      <c r="C34" s="33" t="s">
        <v>534</v>
      </c>
      <c r="D34" s="34">
        <v>51017.0</v>
      </c>
      <c r="E34" s="35" t="s">
        <v>167</v>
      </c>
      <c r="F34" s="30"/>
      <c r="G34" s="36"/>
      <c r="H34" s="36">
        <v>11400.0</v>
      </c>
      <c r="I34" s="30"/>
      <c r="J34" s="30"/>
      <c r="K34" s="37"/>
      <c r="L34" s="36"/>
      <c r="M34" s="36"/>
      <c r="N34" s="36"/>
      <c r="O34" s="36"/>
      <c r="P34" s="38">
        <v>11400.0</v>
      </c>
      <c r="Q34" s="25">
        <f t="shared" si="1"/>
        <v>0</v>
      </c>
      <c r="R34" s="38"/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45.0" customHeight="1">
      <c r="A35" s="16">
        <v>30.0</v>
      </c>
      <c r="B35" s="32">
        <v>45668.0</v>
      </c>
      <c r="C35" s="33" t="s">
        <v>535</v>
      </c>
      <c r="D35" s="34">
        <v>21828.0</v>
      </c>
      <c r="E35" s="35" t="s">
        <v>80</v>
      </c>
      <c r="F35" s="30"/>
      <c r="G35" s="36"/>
      <c r="H35" s="36"/>
      <c r="I35" s="30"/>
      <c r="J35" s="30"/>
      <c r="K35" s="37">
        <v>5000.0</v>
      </c>
      <c r="L35" s="36"/>
      <c r="M35" s="36"/>
      <c r="N35" s="36"/>
      <c r="O35" s="36"/>
      <c r="P35" s="38">
        <v>5000.0</v>
      </c>
      <c r="Q35" s="25">
        <f t="shared" si="1"/>
        <v>0</v>
      </c>
      <c r="R35" s="38"/>
      <c r="S35" s="26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45.0" customHeight="1">
      <c r="A36" s="16">
        <v>31.0</v>
      </c>
      <c r="B36" s="32">
        <v>45668.0</v>
      </c>
      <c r="C36" s="33" t="s">
        <v>536</v>
      </c>
      <c r="D36" s="34">
        <v>51939.0</v>
      </c>
      <c r="E36" s="35" t="s">
        <v>537</v>
      </c>
      <c r="F36" s="30"/>
      <c r="G36" s="36"/>
      <c r="H36" s="36">
        <v>6450.0</v>
      </c>
      <c r="I36" s="30"/>
      <c r="J36" s="30"/>
      <c r="K36" s="37"/>
      <c r="L36" s="36"/>
      <c r="M36" s="36"/>
      <c r="N36" s="36"/>
      <c r="O36" s="36"/>
      <c r="P36" s="38">
        <v>6450.0</v>
      </c>
      <c r="Q36" s="25">
        <f t="shared" si="1"/>
        <v>0</v>
      </c>
      <c r="R36" s="38"/>
      <c r="S36" s="26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45.0" customHeight="1">
      <c r="A37" s="127"/>
      <c r="B37" s="128"/>
      <c r="C37" s="129"/>
      <c r="D37" s="130"/>
      <c r="E37" s="131"/>
      <c r="F37" s="132">
        <f t="shared" ref="F37:P37" si="2">SUM(F6:F36)</f>
        <v>8700</v>
      </c>
      <c r="G37" s="132">
        <f t="shared" si="2"/>
        <v>0</v>
      </c>
      <c r="H37" s="132">
        <f t="shared" si="2"/>
        <v>17850</v>
      </c>
      <c r="I37" s="132">
        <f t="shared" si="2"/>
        <v>77120</v>
      </c>
      <c r="J37" s="132">
        <f t="shared" si="2"/>
        <v>10540</v>
      </c>
      <c r="K37" s="132">
        <f t="shared" si="2"/>
        <v>5000</v>
      </c>
      <c r="L37" s="132">
        <f t="shared" si="2"/>
        <v>0</v>
      </c>
      <c r="M37" s="132">
        <f t="shared" si="2"/>
        <v>16450</v>
      </c>
      <c r="N37" s="132">
        <f t="shared" si="2"/>
        <v>0</v>
      </c>
      <c r="O37" s="132">
        <f t="shared" si="2"/>
        <v>0</v>
      </c>
      <c r="P37" s="132">
        <f t="shared" si="2"/>
        <v>140360</v>
      </c>
      <c r="Q37" s="133"/>
      <c r="R37" s="134"/>
      <c r="S37" s="135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</row>
    <row r="38" ht="45.0" customHeight="1">
      <c r="A38" s="136"/>
      <c r="B38" s="137"/>
      <c r="C38" s="138"/>
      <c r="D38" s="137"/>
      <c r="E38" s="137"/>
      <c r="F38" s="139">
        <f>F37+G37+H37+I37+J37+K37+L37+M37+N37+O37</f>
        <v>135660</v>
      </c>
      <c r="G38" s="2"/>
      <c r="H38" s="2"/>
      <c r="I38" s="2"/>
      <c r="J38" s="2"/>
      <c r="K38" s="2"/>
      <c r="L38" s="2"/>
      <c r="M38" s="2"/>
      <c r="N38" s="2"/>
      <c r="O38" s="2"/>
      <c r="P38" s="140"/>
      <c r="Q38" s="140"/>
      <c r="R38" s="137"/>
      <c r="S38" s="141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45.0" customHeight="1">
      <c r="A39" s="27"/>
      <c r="B39" s="27"/>
      <c r="C39" s="75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45.0" customHeight="1">
      <c r="A40" s="142" t="s">
        <v>437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45.0" customHeight="1">
      <c r="A41" s="143" t="s">
        <v>1</v>
      </c>
      <c r="B41" s="144" t="s">
        <v>2</v>
      </c>
      <c r="C41" s="144" t="s">
        <v>3</v>
      </c>
      <c r="D41" s="144" t="s">
        <v>4</v>
      </c>
      <c r="E41" s="144" t="s">
        <v>5</v>
      </c>
      <c r="F41" s="145" t="s">
        <v>371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144" t="s">
        <v>7</v>
      </c>
      <c r="S41" s="144" t="s">
        <v>8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45.0" customHeight="1">
      <c r="A42" s="10"/>
      <c r="B42" s="11"/>
      <c r="C42" s="11"/>
      <c r="D42" s="11"/>
      <c r="E42" s="11"/>
      <c r="F42" s="146" t="s">
        <v>9</v>
      </c>
      <c r="G42" s="147" t="s">
        <v>10</v>
      </c>
      <c r="H42" s="9"/>
      <c r="I42" s="147" t="s">
        <v>11</v>
      </c>
      <c r="J42" s="9"/>
      <c r="K42" s="144" t="s">
        <v>12</v>
      </c>
      <c r="L42" s="148"/>
      <c r="M42" s="148"/>
      <c r="N42" s="148"/>
      <c r="O42" s="149" t="s">
        <v>538</v>
      </c>
      <c r="P42" s="144" t="s">
        <v>14</v>
      </c>
      <c r="Q42" s="144" t="s">
        <v>15</v>
      </c>
      <c r="R42" s="11"/>
      <c r="S42" s="1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45.0" customHeight="1">
      <c r="A43" s="14"/>
      <c r="B43" s="9"/>
      <c r="C43" s="9"/>
      <c r="D43" s="9"/>
      <c r="E43" s="9"/>
      <c r="F43" s="9"/>
      <c r="G43" s="150" t="s">
        <v>16</v>
      </c>
      <c r="H43" s="150" t="s">
        <v>17</v>
      </c>
      <c r="I43" s="150" t="s">
        <v>18</v>
      </c>
      <c r="J43" s="150" t="s">
        <v>19</v>
      </c>
      <c r="K43" s="9"/>
      <c r="L43" s="150" t="s">
        <v>20</v>
      </c>
      <c r="M43" s="150" t="s">
        <v>21</v>
      </c>
      <c r="N43" s="150" t="s">
        <v>22</v>
      </c>
      <c r="O43" s="9"/>
      <c r="P43" s="9"/>
      <c r="Q43" s="9"/>
      <c r="R43" s="9"/>
      <c r="S43" s="9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45.0" customHeight="1">
      <c r="A44" s="16">
        <v>1.0</v>
      </c>
      <c r="B44" s="32">
        <v>45668.0</v>
      </c>
      <c r="C44" s="33" t="s">
        <v>539</v>
      </c>
      <c r="D44" s="34">
        <v>25542.0</v>
      </c>
      <c r="E44" s="35" t="s">
        <v>366</v>
      </c>
      <c r="F44" s="22"/>
      <c r="G44" s="22"/>
      <c r="H44" s="22"/>
      <c r="I44" s="23"/>
      <c r="J44" s="23"/>
      <c r="K44" s="22"/>
      <c r="L44" s="22"/>
      <c r="M44" s="22"/>
      <c r="N44" s="22"/>
      <c r="O44" s="36">
        <v>70.0</v>
      </c>
      <c r="P44" s="36">
        <v>70.0</v>
      </c>
      <c r="Q44" s="25">
        <v>0.0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45.0" customHeight="1">
      <c r="A45" s="16">
        <v>2.0</v>
      </c>
      <c r="B45" s="32">
        <v>45668.0</v>
      </c>
      <c r="C45" s="33" t="s">
        <v>540</v>
      </c>
      <c r="D45" s="34">
        <v>15836.0</v>
      </c>
      <c r="E45" s="35" t="s">
        <v>541</v>
      </c>
      <c r="F45" s="30"/>
      <c r="G45" s="36"/>
      <c r="H45" s="36"/>
      <c r="I45" s="30"/>
      <c r="J45" s="30"/>
      <c r="K45" s="37"/>
      <c r="L45" s="36"/>
      <c r="M45" s="36"/>
      <c r="N45" s="36"/>
      <c r="O45" s="36">
        <v>35.0</v>
      </c>
      <c r="P45" s="36">
        <v>35.0</v>
      </c>
      <c r="Q45" s="25">
        <v>0.0</v>
      </c>
      <c r="R45" s="38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45.0" customHeight="1">
      <c r="A46" s="16">
        <v>3.0</v>
      </c>
      <c r="B46" s="32">
        <v>45668.0</v>
      </c>
      <c r="C46" s="33" t="s">
        <v>542</v>
      </c>
      <c r="D46" s="34">
        <v>54338.0</v>
      </c>
      <c r="E46" s="35" t="s">
        <v>543</v>
      </c>
      <c r="F46" s="30"/>
      <c r="G46" s="36"/>
      <c r="H46" s="36"/>
      <c r="I46" s="30"/>
      <c r="J46" s="30"/>
      <c r="K46" s="37"/>
      <c r="L46" s="36"/>
      <c r="M46" s="36"/>
      <c r="N46" s="36"/>
      <c r="O46" s="36">
        <v>116.0</v>
      </c>
      <c r="P46" s="36">
        <v>116.0</v>
      </c>
      <c r="Q46" s="25">
        <v>0.0</v>
      </c>
      <c r="R46" s="38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45.0" customHeight="1">
      <c r="A47" s="151"/>
      <c r="B47" s="152"/>
      <c r="C47" s="153"/>
      <c r="D47" s="154" t="s">
        <v>115</v>
      </c>
      <c r="E47" s="155"/>
      <c r="F47" s="156">
        <f t="shared" ref="F47:N47" si="3">SUM(F44:F45)</f>
        <v>0</v>
      </c>
      <c r="G47" s="156">
        <f t="shared" si="3"/>
        <v>0</v>
      </c>
      <c r="H47" s="156">
        <f t="shared" si="3"/>
        <v>0</v>
      </c>
      <c r="I47" s="156">
        <f t="shared" si="3"/>
        <v>0</v>
      </c>
      <c r="J47" s="156">
        <f t="shared" si="3"/>
        <v>0</v>
      </c>
      <c r="K47" s="156">
        <f t="shared" si="3"/>
        <v>0</v>
      </c>
      <c r="L47" s="156">
        <f t="shared" si="3"/>
        <v>0</v>
      </c>
      <c r="M47" s="156">
        <f t="shared" si="3"/>
        <v>0</v>
      </c>
      <c r="N47" s="156">
        <f t="shared" si="3"/>
        <v>0</v>
      </c>
      <c r="O47" s="156">
        <f t="shared" ref="O47:P47" si="4">SUM(O44:O46)</f>
        <v>221</v>
      </c>
      <c r="P47" s="156">
        <f t="shared" si="4"/>
        <v>221</v>
      </c>
      <c r="Q47" s="157">
        <v>0.0</v>
      </c>
      <c r="R47" s="155"/>
      <c r="S47" s="158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 ht="45.0" customHeight="1">
      <c r="A48" s="159"/>
      <c r="B48" s="160"/>
      <c r="C48" s="161"/>
      <c r="D48" s="160"/>
      <c r="E48" s="160"/>
      <c r="F48" s="162">
        <f>F47+G47+H47+I47+J47+K47+L47+M47+N47+O47</f>
        <v>221</v>
      </c>
      <c r="G48" s="2"/>
      <c r="H48" s="2"/>
      <c r="I48" s="2"/>
      <c r="J48" s="2"/>
      <c r="K48" s="2"/>
      <c r="L48" s="2"/>
      <c r="M48" s="2"/>
      <c r="N48" s="2"/>
      <c r="O48" s="2"/>
      <c r="P48" s="163"/>
      <c r="Q48" s="163"/>
      <c r="R48" s="160"/>
      <c r="S48" s="16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45.0" customHeight="1">
      <c r="A49" s="27"/>
      <c r="B49" s="27"/>
      <c r="C49" s="75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45.0" customHeight="1">
      <c r="A50" s="165" t="s">
        <v>445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6" t="s">
        <v>1</v>
      </c>
      <c r="B51" s="167" t="s">
        <v>2</v>
      </c>
      <c r="C51" s="167" t="s">
        <v>3</v>
      </c>
      <c r="D51" s="167" t="s">
        <v>4</v>
      </c>
      <c r="E51" s="167" t="s">
        <v>5</v>
      </c>
      <c r="F51" s="168" t="s">
        <v>252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9"/>
      <c r="R51" s="167" t="s">
        <v>7</v>
      </c>
      <c r="S51" s="167" t="s">
        <v>8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0"/>
      <c r="B52" s="11"/>
      <c r="C52" s="11"/>
      <c r="D52" s="11"/>
      <c r="E52" s="11"/>
      <c r="F52" s="169" t="s">
        <v>9</v>
      </c>
      <c r="G52" s="170" t="s">
        <v>10</v>
      </c>
      <c r="H52" s="9"/>
      <c r="I52" s="170" t="s">
        <v>11</v>
      </c>
      <c r="J52" s="9"/>
      <c r="K52" s="167" t="s">
        <v>12</v>
      </c>
      <c r="L52" s="171"/>
      <c r="M52" s="171"/>
      <c r="N52" s="171"/>
      <c r="O52" s="172" t="s">
        <v>544</v>
      </c>
      <c r="P52" s="167" t="s">
        <v>14</v>
      </c>
      <c r="Q52" s="167" t="s">
        <v>15</v>
      </c>
      <c r="R52" s="11"/>
      <c r="S52" s="1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4"/>
      <c r="B53" s="9"/>
      <c r="C53" s="9"/>
      <c r="D53" s="9"/>
      <c r="E53" s="9"/>
      <c r="F53" s="9"/>
      <c r="G53" s="173" t="s">
        <v>16</v>
      </c>
      <c r="H53" s="173" t="s">
        <v>17</v>
      </c>
      <c r="I53" s="173" t="s">
        <v>18</v>
      </c>
      <c r="J53" s="173" t="s">
        <v>19</v>
      </c>
      <c r="K53" s="9"/>
      <c r="L53" s="173" t="s">
        <v>20</v>
      </c>
      <c r="M53" s="173" t="s">
        <v>21</v>
      </c>
      <c r="N53" s="173" t="s">
        <v>22</v>
      </c>
      <c r="O53" s="9"/>
      <c r="P53" s="9"/>
      <c r="Q53" s="9"/>
      <c r="R53" s="9"/>
      <c r="S53" s="9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48.0" customHeight="1">
      <c r="A54" s="16">
        <v>1.0</v>
      </c>
      <c r="B54" s="32">
        <v>45668.0</v>
      </c>
      <c r="C54" s="33" t="s">
        <v>545</v>
      </c>
      <c r="D54" s="34">
        <v>50436.0</v>
      </c>
      <c r="E54" s="35" t="s">
        <v>154</v>
      </c>
      <c r="F54" s="30"/>
      <c r="G54" s="36"/>
      <c r="H54" s="36"/>
      <c r="I54" s="30">
        <v>100.0</v>
      </c>
      <c r="J54" s="30"/>
      <c r="K54" s="37"/>
      <c r="L54" s="36"/>
      <c r="M54" s="36"/>
      <c r="N54" s="36"/>
      <c r="O54" s="36"/>
      <c r="P54" s="38">
        <v>100.0</v>
      </c>
      <c r="Q54" s="25">
        <f t="shared" ref="Q54:Q56" si="5">F54+G54+H54+I54+J54+K54+L54+M54+N54+O54-P54</f>
        <v>0</v>
      </c>
      <c r="R54" s="38" t="s">
        <v>28</v>
      </c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48.0" customHeight="1">
      <c r="A55" s="16">
        <v>2.0</v>
      </c>
      <c r="B55" s="32">
        <v>45668.0</v>
      </c>
      <c r="C55" s="33" t="s">
        <v>546</v>
      </c>
      <c r="D55" s="34">
        <v>59103.0</v>
      </c>
      <c r="E55" s="35" t="s">
        <v>98</v>
      </c>
      <c r="F55" s="30"/>
      <c r="G55" s="36"/>
      <c r="H55" s="36"/>
      <c r="I55" s="30"/>
      <c r="J55" s="30">
        <v>11800.0</v>
      </c>
      <c r="K55" s="37"/>
      <c r="L55" s="36"/>
      <c r="M55" s="36"/>
      <c r="N55" s="36"/>
      <c r="O55" s="36"/>
      <c r="P55" s="38">
        <v>11800.0</v>
      </c>
      <c r="Q55" s="25">
        <f t="shared" si="5"/>
        <v>0</v>
      </c>
      <c r="R55" s="38" t="s">
        <v>31</v>
      </c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48.0" customHeight="1">
      <c r="A56" s="16">
        <v>3.0</v>
      </c>
      <c r="B56" s="32">
        <v>45668.0</v>
      </c>
      <c r="C56" s="33" t="s">
        <v>547</v>
      </c>
      <c r="D56" s="34">
        <v>21828.0</v>
      </c>
      <c r="E56" s="35" t="s">
        <v>80</v>
      </c>
      <c r="F56" s="30"/>
      <c r="G56" s="36"/>
      <c r="H56" s="36"/>
      <c r="I56" s="30"/>
      <c r="J56" s="30"/>
      <c r="K56" s="37"/>
      <c r="L56" s="36"/>
      <c r="M56" s="36">
        <v>4905.0</v>
      </c>
      <c r="N56" s="36"/>
      <c r="O56" s="36"/>
      <c r="P56" s="38">
        <v>4905.0</v>
      </c>
      <c r="Q56" s="25">
        <f t="shared" si="5"/>
        <v>0</v>
      </c>
      <c r="R56" s="38">
        <v>21828.0</v>
      </c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48.0" customHeight="1">
      <c r="A57" s="16">
        <v>4.0</v>
      </c>
      <c r="B57" s="32"/>
      <c r="C57" s="33"/>
      <c r="D57" s="34"/>
      <c r="E57" s="35"/>
      <c r="F57" s="30"/>
      <c r="G57" s="36"/>
      <c r="H57" s="36"/>
      <c r="I57" s="30"/>
      <c r="J57" s="30"/>
      <c r="K57" s="37"/>
      <c r="L57" s="36"/>
      <c r="M57" s="36"/>
      <c r="N57" s="36"/>
      <c r="O57" s="36"/>
      <c r="P57" s="38"/>
      <c r="Q57" s="25">
        <v>0.0</v>
      </c>
      <c r="R57" s="38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58.5" customHeight="1">
      <c r="A58" s="174"/>
      <c r="B58" s="175"/>
      <c r="C58" s="176"/>
      <c r="D58" s="177" t="s">
        <v>115</v>
      </c>
      <c r="E58" s="178"/>
      <c r="F58" s="179">
        <f t="shared" ref="F58:P58" si="6">SUM(F54:F57)</f>
        <v>0</v>
      </c>
      <c r="G58" s="179">
        <f t="shared" si="6"/>
        <v>0</v>
      </c>
      <c r="H58" s="179">
        <f t="shared" si="6"/>
        <v>0</v>
      </c>
      <c r="I58" s="179">
        <f t="shared" si="6"/>
        <v>100</v>
      </c>
      <c r="J58" s="179">
        <f t="shared" si="6"/>
        <v>11800</v>
      </c>
      <c r="K58" s="179">
        <f t="shared" si="6"/>
        <v>0</v>
      </c>
      <c r="L58" s="179">
        <f t="shared" si="6"/>
        <v>0</v>
      </c>
      <c r="M58" s="179">
        <f t="shared" si="6"/>
        <v>4905</v>
      </c>
      <c r="N58" s="179">
        <f t="shared" si="6"/>
        <v>0</v>
      </c>
      <c r="O58" s="179">
        <f t="shared" si="6"/>
        <v>0</v>
      </c>
      <c r="P58" s="179">
        <f t="shared" si="6"/>
        <v>16805</v>
      </c>
      <c r="Q58" s="180">
        <f>F58+G58+H58+I58+J58+K58+L58+M58+N58+O58-P58</f>
        <v>0</v>
      </c>
      <c r="R58" s="178"/>
      <c r="S58" s="18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58.5" customHeight="1">
      <c r="A59" s="182"/>
      <c r="B59" s="183"/>
      <c r="C59" s="184"/>
      <c r="D59" s="183"/>
      <c r="E59" s="183"/>
      <c r="F59" s="185">
        <f>F58+G58+H58+I58+J58+K58+L58+M58+N58+O58</f>
        <v>16805</v>
      </c>
      <c r="G59" s="2"/>
      <c r="H59" s="2"/>
      <c r="I59" s="2"/>
      <c r="J59" s="2"/>
      <c r="K59" s="2"/>
      <c r="L59" s="2"/>
      <c r="M59" s="2"/>
      <c r="N59" s="2"/>
      <c r="O59" s="2"/>
      <c r="P59" s="186"/>
      <c r="Q59" s="186"/>
      <c r="R59" s="183"/>
      <c r="S59" s="18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58.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188" t="s">
        <v>118</v>
      </c>
      <c r="F61" s="189" t="s">
        <v>119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188" t="s">
        <v>120</v>
      </c>
      <c r="F62" s="189" t="s">
        <v>119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188" t="s">
        <v>121</v>
      </c>
      <c r="F63" s="189" t="s">
        <v>119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188" t="s">
        <v>122</v>
      </c>
      <c r="F64" s="189" t="s">
        <v>119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188" t="s">
        <v>548</v>
      </c>
      <c r="F65" s="189" t="s">
        <v>119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51"/>
      <c r="D66" s="4"/>
      <c r="E66" s="188" t="s">
        <v>124</v>
      </c>
      <c r="F66" s="189" t="s">
        <v>549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51"/>
      <c r="D67" s="4"/>
      <c r="E67" s="188" t="s">
        <v>126</v>
      </c>
      <c r="F67" s="189" t="s">
        <v>117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</sheetData>
  <mergeCells count="52">
    <mergeCell ref="F48:O48"/>
    <mergeCell ref="A50:S50"/>
    <mergeCell ref="A51:A53"/>
    <mergeCell ref="B51:B53"/>
    <mergeCell ref="C51:C53"/>
    <mergeCell ref="D51:D53"/>
    <mergeCell ref="E51:E53"/>
    <mergeCell ref="S51:S53"/>
    <mergeCell ref="F51:Q51"/>
    <mergeCell ref="R51:R53"/>
    <mergeCell ref="F52:F53"/>
    <mergeCell ref="G52:H52"/>
    <mergeCell ref="I52:J52"/>
    <mergeCell ref="K52:K53"/>
    <mergeCell ref="O52:O5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1:D43"/>
    <mergeCell ref="E41:E43"/>
    <mergeCell ref="P4:P5"/>
    <mergeCell ref="Q4:Q5"/>
    <mergeCell ref="F38:O38"/>
    <mergeCell ref="A40:S40"/>
    <mergeCell ref="A41:A43"/>
    <mergeCell ref="B41:B43"/>
    <mergeCell ref="C41:C43"/>
    <mergeCell ref="S41:S43"/>
    <mergeCell ref="P42:P43"/>
    <mergeCell ref="Q42:Q43"/>
    <mergeCell ref="F41:Q41"/>
    <mergeCell ref="R41:R43"/>
    <mergeCell ref="F42:F43"/>
    <mergeCell ref="G42:H42"/>
    <mergeCell ref="I42:J42"/>
    <mergeCell ref="K42:K43"/>
    <mergeCell ref="O42:O43"/>
    <mergeCell ref="P52:P53"/>
    <mergeCell ref="Q52:Q53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550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17">
        <v>45668.0</v>
      </c>
      <c r="C6" s="18" t="s">
        <v>551</v>
      </c>
      <c r="D6" s="19">
        <v>36918.0</v>
      </c>
      <c r="E6" s="20" t="s">
        <v>35</v>
      </c>
      <c r="F6" s="21"/>
      <c r="G6" s="22"/>
      <c r="H6" s="21"/>
      <c r="I6" s="23">
        <v>6350.0</v>
      </c>
      <c r="J6" s="23"/>
      <c r="K6" s="22"/>
      <c r="L6" s="22"/>
      <c r="M6" s="21"/>
      <c r="N6" s="22"/>
      <c r="O6" s="22"/>
      <c r="P6" s="24">
        <v>6350.0</v>
      </c>
      <c r="Q6" s="25">
        <f t="shared" ref="Q6:Q36" si="1">F6+G6+H6+I6+J6+K6+L6+M6+N6+O6-P6</f>
        <v>0</v>
      </c>
      <c r="R6" s="24" t="s">
        <v>512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45668.0</v>
      </c>
      <c r="C7" s="18" t="s">
        <v>552</v>
      </c>
      <c r="D7" s="19">
        <v>45929.0</v>
      </c>
      <c r="E7" s="20" t="s">
        <v>553</v>
      </c>
      <c r="F7" s="21"/>
      <c r="G7" s="22"/>
      <c r="H7" s="22"/>
      <c r="I7" s="21"/>
      <c r="J7" s="22"/>
      <c r="K7" s="22"/>
      <c r="L7" s="22"/>
      <c r="M7" s="21">
        <v>4500.0</v>
      </c>
      <c r="N7" s="22"/>
      <c r="O7" s="22"/>
      <c r="P7" s="24">
        <v>4500.0</v>
      </c>
      <c r="Q7" s="25">
        <f t="shared" si="1"/>
        <v>0</v>
      </c>
      <c r="R7" s="24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45668.0</v>
      </c>
      <c r="C8" s="18" t="s">
        <v>554</v>
      </c>
      <c r="D8" s="19">
        <v>10001.0</v>
      </c>
      <c r="E8" s="20" t="s">
        <v>209</v>
      </c>
      <c r="F8" s="22"/>
      <c r="G8" s="22"/>
      <c r="H8" s="21"/>
      <c r="I8" s="21">
        <v>4386.0</v>
      </c>
      <c r="J8" s="23"/>
      <c r="K8" s="22"/>
      <c r="L8" s="22"/>
      <c r="M8" s="22"/>
      <c r="N8" s="22"/>
      <c r="O8" s="22"/>
      <c r="P8" s="24">
        <v>4386.0</v>
      </c>
      <c r="Q8" s="25">
        <f t="shared" si="1"/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28">
        <v>45668.0</v>
      </c>
      <c r="C9" s="18" t="s">
        <v>555</v>
      </c>
      <c r="D9" s="19">
        <v>85935.0</v>
      </c>
      <c r="E9" s="20" t="s">
        <v>530</v>
      </c>
      <c r="F9" s="22"/>
      <c r="G9" s="22"/>
      <c r="H9" s="22"/>
      <c r="I9" s="21"/>
      <c r="J9" s="21"/>
      <c r="K9" s="22"/>
      <c r="L9" s="22"/>
      <c r="M9" s="22">
        <v>2600.0</v>
      </c>
      <c r="N9" s="22"/>
      <c r="O9" s="22"/>
      <c r="P9" s="24">
        <v>2600.0</v>
      </c>
      <c r="Q9" s="25">
        <f t="shared" si="1"/>
        <v>0</v>
      </c>
      <c r="R9" s="24" t="s">
        <v>512</v>
      </c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ht="45.0" customHeight="1">
      <c r="A10" s="16">
        <v>5.0</v>
      </c>
      <c r="B10" s="28">
        <v>45668.0</v>
      </c>
      <c r="C10" s="18" t="s">
        <v>556</v>
      </c>
      <c r="D10" s="19">
        <v>42052.0</v>
      </c>
      <c r="E10" s="20" t="s">
        <v>557</v>
      </c>
      <c r="F10" s="22"/>
      <c r="G10" s="22"/>
      <c r="H10" s="22"/>
      <c r="I10" s="21"/>
      <c r="J10" s="21"/>
      <c r="K10" s="22"/>
      <c r="L10" s="22"/>
      <c r="M10" s="21">
        <v>700.0</v>
      </c>
      <c r="N10" s="22"/>
      <c r="O10" s="22"/>
      <c r="P10" s="24">
        <v>700.0</v>
      </c>
      <c r="Q10" s="25">
        <f t="shared" si="1"/>
        <v>0</v>
      </c>
      <c r="R10" s="24" t="s">
        <v>46</v>
      </c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ht="45.0" customHeight="1">
      <c r="A11" s="16">
        <v>6.0</v>
      </c>
      <c r="B11" s="28">
        <v>45668.0</v>
      </c>
      <c r="C11" s="18" t="s">
        <v>558</v>
      </c>
      <c r="D11" s="19">
        <v>58257.0</v>
      </c>
      <c r="E11" s="20" t="s">
        <v>225</v>
      </c>
      <c r="F11" s="22">
        <v>300.0</v>
      </c>
      <c r="G11" s="22"/>
      <c r="H11" s="22"/>
      <c r="I11" s="21"/>
      <c r="J11" s="21"/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46</v>
      </c>
      <c r="S11" s="29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t="45.0" customHeight="1">
      <c r="A12" s="16">
        <v>7.0</v>
      </c>
      <c r="B12" s="28">
        <v>45668.0</v>
      </c>
      <c r="C12" s="18" t="s">
        <v>559</v>
      </c>
      <c r="D12" s="19">
        <v>25541.0</v>
      </c>
      <c r="E12" s="20" t="s">
        <v>560</v>
      </c>
      <c r="F12" s="22"/>
      <c r="G12" s="22">
        <v>1000.0</v>
      </c>
      <c r="H12" s="22"/>
      <c r="I12" s="21"/>
      <c r="J12" s="21"/>
      <c r="K12" s="22"/>
      <c r="L12" s="22"/>
      <c r="M12" s="21"/>
      <c r="N12" s="22"/>
      <c r="O12" s="22"/>
      <c r="P12" s="24">
        <v>1000.0</v>
      </c>
      <c r="Q12" s="25">
        <f t="shared" si="1"/>
        <v>0</v>
      </c>
      <c r="R12" s="24" t="s">
        <v>31</v>
      </c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ht="45.0" customHeight="1">
      <c r="A13" s="16">
        <v>8.0</v>
      </c>
      <c r="B13" s="28">
        <v>45668.0</v>
      </c>
      <c r="C13" s="18" t="s">
        <v>561</v>
      </c>
      <c r="D13" s="19">
        <v>58257.0</v>
      </c>
      <c r="E13" s="20" t="s">
        <v>225</v>
      </c>
      <c r="F13" s="22"/>
      <c r="G13" s="22"/>
      <c r="H13" s="22"/>
      <c r="I13" s="21"/>
      <c r="J13" s="21"/>
      <c r="K13" s="22"/>
      <c r="L13" s="22"/>
      <c r="M13" s="21">
        <v>200.0</v>
      </c>
      <c r="N13" s="22"/>
      <c r="O13" s="22"/>
      <c r="P13" s="24">
        <v>200.0</v>
      </c>
      <c r="Q13" s="25">
        <f t="shared" si="1"/>
        <v>0</v>
      </c>
      <c r="R13" s="24" t="s">
        <v>46</v>
      </c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ht="45.0" customHeight="1">
      <c r="A14" s="16">
        <v>9.0</v>
      </c>
      <c r="B14" s="28">
        <v>45668.0</v>
      </c>
      <c r="C14" s="18" t="s">
        <v>562</v>
      </c>
      <c r="D14" s="19">
        <v>42278.0</v>
      </c>
      <c r="E14" s="20" t="s">
        <v>257</v>
      </c>
      <c r="F14" s="22">
        <v>50.0</v>
      </c>
      <c r="G14" s="22"/>
      <c r="H14" s="22"/>
      <c r="I14" s="21"/>
      <c r="J14" s="21"/>
      <c r="K14" s="22"/>
      <c r="L14" s="22"/>
      <c r="M14" s="21"/>
      <c r="N14" s="22"/>
      <c r="O14" s="22"/>
      <c r="P14" s="24">
        <v>50.0</v>
      </c>
      <c r="Q14" s="25">
        <f t="shared" si="1"/>
        <v>0</v>
      </c>
      <c r="R14" s="24" t="s">
        <v>28</v>
      </c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t="45.0" customHeight="1">
      <c r="A15" s="16">
        <v>10.0</v>
      </c>
      <c r="B15" s="28">
        <v>45668.0</v>
      </c>
      <c r="C15" s="18" t="s">
        <v>563</v>
      </c>
      <c r="D15" s="19">
        <v>83056.0</v>
      </c>
      <c r="E15" s="20" t="s">
        <v>564</v>
      </c>
      <c r="F15" s="22"/>
      <c r="G15" s="22"/>
      <c r="H15" s="22"/>
      <c r="I15" s="21"/>
      <c r="J15" s="21"/>
      <c r="K15" s="22"/>
      <c r="L15" s="22"/>
      <c r="M15" s="21">
        <v>300.0</v>
      </c>
      <c r="N15" s="22"/>
      <c r="O15" s="22"/>
      <c r="P15" s="24">
        <v>300.0</v>
      </c>
      <c r="Q15" s="25">
        <f t="shared" si="1"/>
        <v>0</v>
      </c>
      <c r="R15" s="24" t="s">
        <v>31</v>
      </c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ht="45.0" customHeight="1">
      <c r="A16" s="16">
        <v>11.0</v>
      </c>
      <c r="B16" s="28">
        <v>45668.0</v>
      </c>
      <c r="C16" s="18" t="s">
        <v>565</v>
      </c>
      <c r="D16" s="19">
        <v>10271.0</v>
      </c>
      <c r="E16" s="20" t="s">
        <v>566</v>
      </c>
      <c r="F16" s="22"/>
      <c r="G16" s="22">
        <v>2400.0</v>
      </c>
      <c r="H16" s="22"/>
      <c r="I16" s="21"/>
      <c r="J16" s="21"/>
      <c r="K16" s="22"/>
      <c r="L16" s="22"/>
      <c r="M16" s="21"/>
      <c r="N16" s="22"/>
      <c r="O16" s="22"/>
      <c r="P16" s="24">
        <v>2400.0</v>
      </c>
      <c r="Q16" s="25">
        <f t="shared" si="1"/>
        <v>0</v>
      </c>
      <c r="R16" s="24" t="s">
        <v>46</v>
      </c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ht="45.0" customHeight="1">
      <c r="A17" s="16">
        <v>12.0</v>
      </c>
      <c r="B17" s="28">
        <v>45669.0</v>
      </c>
      <c r="C17" s="18" t="s">
        <v>567</v>
      </c>
      <c r="D17" s="19">
        <v>66770.0</v>
      </c>
      <c r="E17" s="20" t="s">
        <v>58</v>
      </c>
      <c r="F17" s="22"/>
      <c r="G17" s="22"/>
      <c r="H17" s="22"/>
      <c r="I17" s="21"/>
      <c r="J17" s="21">
        <v>7500.0</v>
      </c>
      <c r="K17" s="22"/>
      <c r="L17" s="22"/>
      <c r="M17" s="21"/>
      <c r="N17" s="22"/>
      <c r="O17" s="22"/>
      <c r="P17" s="24">
        <v>7500.0</v>
      </c>
      <c r="Q17" s="25">
        <f t="shared" si="1"/>
        <v>0</v>
      </c>
      <c r="R17" s="24" t="s">
        <v>31</v>
      </c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5.0" customHeight="1">
      <c r="A18" s="16">
        <v>13.0</v>
      </c>
      <c r="B18" s="28">
        <v>45669.0</v>
      </c>
      <c r="C18" s="18" t="s">
        <v>568</v>
      </c>
      <c r="D18" s="19">
        <v>85943.0</v>
      </c>
      <c r="E18" s="20" t="s">
        <v>569</v>
      </c>
      <c r="F18" s="22"/>
      <c r="G18" s="22"/>
      <c r="H18" s="22"/>
      <c r="I18" s="21"/>
      <c r="J18" s="21">
        <v>300.0</v>
      </c>
      <c r="K18" s="22"/>
      <c r="L18" s="22"/>
      <c r="M18" s="21"/>
      <c r="N18" s="22"/>
      <c r="O18" s="22"/>
      <c r="P18" s="24">
        <v>300.0</v>
      </c>
      <c r="Q18" s="25">
        <f t="shared" si="1"/>
        <v>0</v>
      </c>
      <c r="R18" s="24" t="s">
        <v>31</v>
      </c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45.0" customHeight="1">
      <c r="A19" s="16">
        <v>14.0</v>
      </c>
      <c r="B19" s="28">
        <v>45669.0</v>
      </c>
      <c r="C19" s="18" t="s">
        <v>570</v>
      </c>
      <c r="D19" s="19">
        <v>80132.0</v>
      </c>
      <c r="E19" s="20" t="s">
        <v>571</v>
      </c>
      <c r="F19" s="22"/>
      <c r="G19" s="22"/>
      <c r="H19" s="22"/>
      <c r="I19" s="21"/>
      <c r="J19" s="21">
        <v>5000.0</v>
      </c>
      <c r="K19" s="22"/>
      <c r="L19" s="22"/>
      <c r="M19" s="22"/>
      <c r="N19" s="22"/>
      <c r="O19" s="22"/>
      <c r="P19" s="24">
        <v>5000.0</v>
      </c>
      <c r="Q19" s="25">
        <f t="shared" si="1"/>
        <v>0</v>
      </c>
      <c r="R19" s="24" t="s">
        <v>31</v>
      </c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ht="45.0" customHeight="1">
      <c r="A20" s="16">
        <v>15.0</v>
      </c>
      <c r="B20" s="28">
        <v>45669.0</v>
      </c>
      <c r="C20" s="18" t="s">
        <v>572</v>
      </c>
      <c r="D20" s="19">
        <v>80132.0</v>
      </c>
      <c r="E20" s="20" t="s">
        <v>571</v>
      </c>
      <c r="F20" s="22"/>
      <c r="G20" s="22"/>
      <c r="H20" s="22"/>
      <c r="I20" s="21"/>
      <c r="J20" s="21">
        <v>5000.0</v>
      </c>
      <c r="K20" s="22"/>
      <c r="L20" s="22"/>
      <c r="M20" s="21"/>
      <c r="N20" s="22"/>
      <c r="O20" s="22"/>
      <c r="P20" s="24">
        <v>5000.0</v>
      </c>
      <c r="Q20" s="25">
        <f t="shared" si="1"/>
        <v>0</v>
      </c>
      <c r="R20" s="24" t="s">
        <v>31</v>
      </c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5.0" customHeight="1">
      <c r="A21" s="16">
        <v>16.0</v>
      </c>
      <c r="B21" s="28">
        <v>45669.0</v>
      </c>
      <c r="C21" s="18" t="s">
        <v>573</v>
      </c>
      <c r="D21" s="19">
        <v>63830.0</v>
      </c>
      <c r="E21" s="20" t="s">
        <v>574</v>
      </c>
      <c r="F21" s="21"/>
      <c r="G21" s="22"/>
      <c r="H21" s="22"/>
      <c r="I21" s="30">
        <v>2600.0</v>
      </c>
      <c r="J21" s="22"/>
      <c r="K21" s="31"/>
      <c r="L21" s="22"/>
      <c r="M21" s="22"/>
      <c r="N21" s="22"/>
      <c r="O21" s="22"/>
      <c r="P21" s="24">
        <v>2600.0</v>
      </c>
      <c r="Q21" s="25">
        <f t="shared" si="1"/>
        <v>0</v>
      </c>
      <c r="R21" s="24" t="s">
        <v>31</v>
      </c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5.0" customHeight="1">
      <c r="A22" s="16">
        <v>17.0</v>
      </c>
      <c r="B22" s="28">
        <v>45669.0</v>
      </c>
      <c r="C22" s="18" t="s">
        <v>575</v>
      </c>
      <c r="D22" s="19">
        <v>51875.0</v>
      </c>
      <c r="E22" s="20" t="s">
        <v>576</v>
      </c>
      <c r="F22" s="21"/>
      <c r="G22" s="22"/>
      <c r="H22" s="22"/>
      <c r="I22" s="21">
        <v>5250.0</v>
      </c>
      <c r="J22" s="22"/>
      <c r="K22" s="21"/>
      <c r="L22" s="22"/>
      <c r="M22" s="22"/>
      <c r="N22" s="22"/>
      <c r="O22" s="22"/>
      <c r="P22" s="24">
        <v>5250.0</v>
      </c>
      <c r="Q22" s="25">
        <f t="shared" si="1"/>
        <v>0</v>
      </c>
      <c r="R22" s="24" t="s">
        <v>512</v>
      </c>
      <c r="S22" s="26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5.0" customHeight="1">
      <c r="A23" s="16">
        <v>18.0</v>
      </c>
      <c r="B23" s="32">
        <v>45669.0</v>
      </c>
      <c r="C23" s="33" t="s">
        <v>577</v>
      </c>
      <c r="D23" s="34">
        <v>52240.0</v>
      </c>
      <c r="E23" s="35" t="s">
        <v>578</v>
      </c>
      <c r="F23" s="30"/>
      <c r="G23" s="36"/>
      <c r="H23" s="36"/>
      <c r="I23" s="30"/>
      <c r="J23" s="30">
        <v>3500.0</v>
      </c>
      <c r="K23" s="37"/>
      <c r="L23" s="36"/>
      <c r="M23" s="36"/>
      <c r="N23" s="36"/>
      <c r="O23" s="36"/>
      <c r="P23" s="38">
        <v>3500.0</v>
      </c>
      <c r="Q23" s="25">
        <f t="shared" si="1"/>
        <v>0</v>
      </c>
      <c r="R23" s="38" t="s">
        <v>512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45669.0</v>
      </c>
      <c r="C24" s="33" t="s">
        <v>579</v>
      </c>
      <c r="D24" s="34">
        <v>85944.0</v>
      </c>
      <c r="E24" s="35" t="s">
        <v>580</v>
      </c>
      <c r="F24" s="30"/>
      <c r="G24" s="36"/>
      <c r="H24" s="36"/>
      <c r="I24" s="30">
        <v>300.0</v>
      </c>
      <c r="J24" s="30"/>
      <c r="K24" s="37"/>
      <c r="L24" s="36"/>
      <c r="M24" s="36"/>
      <c r="N24" s="36"/>
      <c r="O24" s="36"/>
      <c r="P24" s="38">
        <v>300.0</v>
      </c>
      <c r="Q24" s="25">
        <f t="shared" si="1"/>
        <v>0</v>
      </c>
      <c r="R24" s="38" t="s">
        <v>46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45669.0</v>
      </c>
      <c r="C25" s="33" t="s">
        <v>581</v>
      </c>
      <c r="D25" s="34">
        <v>35227.0</v>
      </c>
      <c r="E25" s="35" t="s">
        <v>219</v>
      </c>
      <c r="F25" s="30">
        <v>300.0</v>
      </c>
      <c r="G25" s="36"/>
      <c r="H25" s="36"/>
      <c r="I25" s="30"/>
      <c r="J25" s="30"/>
      <c r="K25" s="37"/>
      <c r="L25" s="36"/>
      <c r="M25" s="36"/>
      <c r="N25" s="36"/>
      <c r="O25" s="36"/>
      <c r="P25" s="38">
        <v>300.0</v>
      </c>
      <c r="Q25" s="25">
        <f t="shared" si="1"/>
        <v>0</v>
      </c>
      <c r="R25" s="38" t="s">
        <v>31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45669.0</v>
      </c>
      <c r="C26" s="33" t="s">
        <v>582</v>
      </c>
      <c r="D26" s="34">
        <v>35227.0</v>
      </c>
      <c r="E26" s="35" t="s">
        <v>219</v>
      </c>
      <c r="F26" s="30"/>
      <c r="G26" s="36">
        <v>5000.0</v>
      </c>
      <c r="H26" s="36"/>
      <c r="I26" s="30"/>
      <c r="J26" s="30"/>
      <c r="K26" s="37"/>
      <c r="L26" s="36"/>
      <c r="M26" s="36"/>
      <c r="N26" s="36"/>
      <c r="O26" s="36"/>
      <c r="P26" s="38">
        <v>5000.0</v>
      </c>
      <c r="Q26" s="25">
        <f t="shared" si="1"/>
        <v>0</v>
      </c>
      <c r="R26" s="38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45669.0</v>
      </c>
      <c r="C27" s="33" t="s">
        <v>583</v>
      </c>
      <c r="D27" s="34">
        <v>35227.0</v>
      </c>
      <c r="E27" s="35" t="s">
        <v>219</v>
      </c>
      <c r="F27" s="30"/>
      <c r="G27" s="36">
        <v>1000.0</v>
      </c>
      <c r="H27" s="36"/>
      <c r="I27" s="30">
        <v>1500.0</v>
      </c>
      <c r="J27" s="30"/>
      <c r="K27" s="37"/>
      <c r="L27" s="36"/>
      <c r="M27" s="36"/>
      <c r="N27" s="36"/>
      <c r="O27" s="36"/>
      <c r="P27" s="38">
        <v>2500.0</v>
      </c>
      <c r="Q27" s="25">
        <f t="shared" si="1"/>
        <v>0</v>
      </c>
      <c r="R27" s="38" t="s">
        <v>512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45669.0</v>
      </c>
      <c r="C28" s="33" t="s">
        <v>584</v>
      </c>
      <c r="D28" s="34">
        <v>45227.0</v>
      </c>
      <c r="E28" s="35" t="s">
        <v>585</v>
      </c>
      <c r="F28" s="30"/>
      <c r="G28" s="36"/>
      <c r="H28" s="36"/>
      <c r="I28" s="30"/>
      <c r="J28" s="30"/>
      <c r="K28" s="37">
        <v>300.0</v>
      </c>
      <c r="L28" s="36"/>
      <c r="M28" s="36"/>
      <c r="N28" s="36"/>
      <c r="O28" s="36"/>
      <c r="P28" s="38">
        <v>300.0</v>
      </c>
      <c r="Q28" s="25">
        <f t="shared" si="1"/>
        <v>0</v>
      </c>
      <c r="R28" s="38" t="s">
        <v>512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45669.0</v>
      </c>
      <c r="C29" s="33" t="s">
        <v>586</v>
      </c>
      <c r="D29" s="34">
        <v>45227.0</v>
      </c>
      <c r="E29" s="35" t="s">
        <v>585</v>
      </c>
      <c r="F29" s="30"/>
      <c r="G29" s="36"/>
      <c r="H29" s="36"/>
      <c r="I29" s="30">
        <v>1800.0</v>
      </c>
      <c r="J29" s="30"/>
      <c r="K29" s="37">
        <v>700.0</v>
      </c>
      <c r="L29" s="36"/>
      <c r="M29" s="36"/>
      <c r="N29" s="36"/>
      <c r="O29" s="36"/>
      <c r="P29" s="38">
        <v>2500.0</v>
      </c>
      <c r="Q29" s="25">
        <f t="shared" si="1"/>
        <v>0</v>
      </c>
      <c r="R29" s="38" t="s">
        <v>512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45669.0</v>
      </c>
      <c r="C30" s="33" t="s">
        <v>587</v>
      </c>
      <c r="D30" s="34">
        <v>52240.0</v>
      </c>
      <c r="E30" s="35" t="s">
        <v>578</v>
      </c>
      <c r="F30" s="30"/>
      <c r="G30" s="36"/>
      <c r="H30" s="36"/>
      <c r="I30" s="30"/>
      <c r="J30" s="30">
        <v>420.0</v>
      </c>
      <c r="K30" s="37"/>
      <c r="L30" s="36"/>
      <c r="M30" s="36"/>
      <c r="N30" s="36"/>
      <c r="O30" s="36"/>
      <c r="P30" s="38">
        <v>420.0</v>
      </c>
      <c r="Q30" s="25">
        <f t="shared" si="1"/>
        <v>0</v>
      </c>
      <c r="R30" s="38" t="s">
        <v>512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45669.0</v>
      </c>
      <c r="C31" s="33" t="s">
        <v>588</v>
      </c>
      <c r="D31" s="34">
        <v>30895.0</v>
      </c>
      <c r="E31" s="35" t="s">
        <v>589</v>
      </c>
      <c r="F31" s="30"/>
      <c r="G31" s="36"/>
      <c r="H31" s="36">
        <v>10000.0</v>
      </c>
      <c r="I31" s="30"/>
      <c r="J31" s="30"/>
      <c r="K31" s="37"/>
      <c r="L31" s="36"/>
      <c r="M31" s="36"/>
      <c r="N31" s="36"/>
      <c r="O31" s="36"/>
      <c r="P31" s="38">
        <v>10000.0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45669.0</v>
      </c>
      <c r="C32" s="33" t="s">
        <v>590</v>
      </c>
      <c r="D32" s="34">
        <v>38299.0</v>
      </c>
      <c r="E32" s="35" t="s">
        <v>591</v>
      </c>
      <c r="F32" s="30"/>
      <c r="G32" s="36"/>
      <c r="H32" s="36">
        <v>5000.0</v>
      </c>
      <c r="I32" s="30"/>
      <c r="J32" s="30"/>
      <c r="K32" s="37"/>
      <c r="L32" s="36"/>
      <c r="M32" s="36"/>
      <c r="N32" s="36"/>
      <c r="O32" s="36"/>
      <c r="P32" s="38">
        <v>5000.0</v>
      </c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6"/>
      <c r="B33" s="32"/>
      <c r="C33" s="33"/>
      <c r="D33" s="34"/>
      <c r="E33" s="35"/>
      <c r="F33" s="30"/>
      <c r="G33" s="36"/>
      <c r="H33" s="36"/>
      <c r="I33" s="30"/>
      <c r="J33" s="30"/>
      <c r="K33" s="37"/>
      <c r="L33" s="36"/>
      <c r="M33" s="36"/>
      <c r="N33" s="36"/>
      <c r="O33" s="36"/>
      <c r="P33" s="38"/>
      <c r="Q33" s="25">
        <f t="shared" si="1"/>
        <v>0</v>
      </c>
      <c r="R33" s="38"/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5.0" customHeight="1">
      <c r="A34" s="16"/>
      <c r="B34" s="32"/>
      <c r="C34" s="33"/>
      <c r="D34" s="34"/>
      <c r="E34" s="35"/>
      <c r="F34" s="30"/>
      <c r="G34" s="36"/>
      <c r="H34" s="36"/>
      <c r="I34" s="30"/>
      <c r="J34" s="30"/>
      <c r="K34" s="37"/>
      <c r="L34" s="36"/>
      <c r="M34" s="36"/>
      <c r="N34" s="36"/>
      <c r="O34" s="36"/>
      <c r="P34" s="38"/>
      <c r="Q34" s="25">
        <f t="shared" si="1"/>
        <v>0</v>
      </c>
      <c r="R34" s="38"/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45.0" customHeight="1">
      <c r="A35" s="16"/>
      <c r="B35" s="32"/>
      <c r="C35" s="33"/>
      <c r="D35" s="34"/>
      <c r="E35" s="35"/>
      <c r="F35" s="30"/>
      <c r="G35" s="36"/>
      <c r="H35" s="36"/>
      <c r="I35" s="30"/>
      <c r="J35" s="30"/>
      <c r="K35" s="37"/>
      <c r="L35" s="36"/>
      <c r="M35" s="36"/>
      <c r="N35" s="36"/>
      <c r="O35" s="36"/>
      <c r="P35" s="38"/>
      <c r="Q35" s="25">
        <f t="shared" si="1"/>
        <v>0</v>
      </c>
      <c r="R35" s="38"/>
      <c r="S35" s="26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45.0" customHeight="1">
      <c r="A36" s="16"/>
      <c r="B36" s="32"/>
      <c r="C36" s="33"/>
      <c r="D36" s="34"/>
      <c r="E36" s="35"/>
      <c r="F36" s="30"/>
      <c r="G36" s="36"/>
      <c r="H36" s="36"/>
      <c r="I36" s="30"/>
      <c r="J36" s="30"/>
      <c r="K36" s="37"/>
      <c r="L36" s="36"/>
      <c r="M36" s="36"/>
      <c r="N36" s="36"/>
      <c r="O36" s="36"/>
      <c r="P36" s="38"/>
      <c r="Q36" s="25">
        <f t="shared" si="1"/>
        <v>0</v>
      </c>
      <c r="R36" s="38"/>
      <c r="S36" s="26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45.0" customHeight="1">
      <c r="A37" s="127"/>
      <c r="B37" s="128"/>
      <c r="C37" s="129"/>
      <c r="D37" s="130"/>
      <c r="E37" s="131"/>
      <c r="F37" s="132">
        <f t="shared" ref="F37:P37" si="2">SUM(F6:F36)</f>
        <v>650</v>
      </c>
      <c r="G37" s="132">
        <f t="shared" si="2"/>
        <v>9400</v>
      </c>
      <c r="H37" s="132">
        <f t="shared" si="2"/>
        <v>15000</v>
      </c>
      <c r="I37" s="132">
        <f t="shared" si="2"/>
        <v>22186</v>
      </c>
      <c r="J37" s="132">
        <f t="shared" si="2"/>
        <v>21720</v>
      </c>
      <c r="K37" s="132">
        <f t="shared" si="2"/>
        <v>1000</v>
      </c>
      <c r="L37" s="132">
        <f t="shared" si="2"/>
        <v>0</v>
      </c>
      <c r="M37" s="132">
        <f t="shared" si="2"/>
        <v>8300</v>
      </c>
      <c r="N37" s="132">
        <f t="shared" si="2"/>
        <v>0</v>
      </c>
      <c r="O37" s="132">
        <f t="shared" si="2"/>
        <v>0</v>
      </c>
      <c r="P37" s="132">
        <f t="shared" si="2"/>
        <v>78256</v>
      </c>
      <c r="Q37" s="133"/>
      <c r="R37" s="134"/>
      <c r="S37" s="135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</row>
    <row r="38" ht="45.0" customHeight="1">
      <c r="A38" s="136"/>
      <c r="B38" s="137"/>
      <c r="C38" s="138"/>
      <c r="D38" s="137"/>
      <c r="E38" s="137"/>
      <c r="F38" s="139">
        <f>F37+G37+H37+I37+J37+K37+L37+M37+N37+O37</f>
        <v>78256</v>
      </c>
      <c r="G38" s="2"/>
      <c r="H38" s="2"/>
      <c r="I38" s="2"/>
      <c r="J38" s="2"/>
      <c r="K38" s="2"/>
      <c r="L38" s="2"/>
      <c r="M38" s="2"/>
      <c r="N38" s="2"/>
      <c r="O38" s="2"/>
      <c r="P38" s="140"/>
      <c r="Q38" s="140"/>
      <c r="R38" s="137"/>
      <c r="S38" s="141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45.0" customHeight="1">
      <c r="A39" s="27"/>
      <c r="B39" s="27"/>
      <c r="C39" s="75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45.0" customHeight="1">
      <c r="A40" s="142" t="s">
        <v>437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45.0" customHeight="1">
      <c r="A41" s="143" t="s">
        <v>1</v>
      </c>
      <c r="B41" s="144" t="s">
        <v>2</v>
      </c>
      <c r="C41" s="144" t="s">
        <v>3</v>
      </c>
      <c r="D41" s="144" t="s">
        <v>4</v>
      </c>
      <c r="E41" s="144" t="s">
        <v>5</v>
      </c>
      <c r="F41" s="145" t="s">
        <v>371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144" t="s">
        <v>7</v>
      </c>
      <c r="S41" s="144" t="s">
        <v>8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45.0" customHeight="1">
      <c r="A42" s="10"/>
      <c r="B42" s="11"/>
      <c r="C42" s="11"/>
      <c r="D42" s="11"/>
      <c r="E42" s="11"/>
      <c r="F42" s="146" t="s">
        <v>9</v>
      </c>
      <c r="G42" s="147" t="s">
        <v>10</v>
      </c>
      <c r="H42" s="9"/>
      <c r="I42" s="147" t="s">
        <v>11</v>
      </c>
      <c r="J42" s="9"/>
      <c r="K42" s="144" t="s">
        <v>12</v>
      </c>
      <c r="L42" s="148"/>
      <c r="M42" s="148"/>
      <c r="N42" s="148"/>
      <c r="O42" s="149" t="s">
        <v>592</v>
      </c>
      <c r="P42" s="144" t="s">
        <v>14</v>
      </c>
      <c r="Q42" s="144" t="s">
        <v>15</v>
      </c>
      <c r="R42" s="11"/>
      <c r="S42" s="1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45.0" customHeight="1">
      <c r="A43" s="14"/>
      <c r="B43" s="9"/>
      <c r="C43" s="9"/>
      <c r="D43" s="9"/>
      <c r="E43" s="9"/>
      <c r="F43" s="9"/>
      <c r="G43" s="150" t="s">
        <v>16</v>
      </c>
      <c r="H43" s="150" t="s">
        <v>17</v>
      </c>
      <c r="I43" s="150" t="s">
        <v>18</v>
      </c>
      <c r="J43" s="150" t="s">
        <v>19</v>
      </c>
      <c r="K43" s="9"/>
      <c r="L43" s="150" t="s">
        <v>20</v>
      </c>
      <c r="M43" s="150" t="s">
        <v>21</v>
      </c>
      <c r="N43" s="150" t="s">
        <v>22</v>
      </c>
      <c r="O43" s="9"/>
      <c r="P43" s="9"/>
      <c r="Q43" s="9"/>
      <c r="R43" s="9"/>
      <c r="S43" s="9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45.0" customHeight="1">
      <c r="A44" s="16">
        <v>1.0</v>
      </c>
      <c r="B44" s="32"/>
      <c r="C44" s="33"/>
      <c r="D44" s="34"/>
      <c r="E44" s="35"/>
      <c r="F44" s="22"/>
      <c r="G44" s="22"/>
      <c r="H44" s="22"/>
      <c r="I44" s="23"/>
      <c r="J44" s="23"/>
      <c r="K44" s="22"/>
      <c r="L44" s="22"/>
      <c r="M44" s="22"/>
      <c r="N44" s="22"/>
      <c r="O44" s="36"/>
      <c r="P44" s="36"/>
      <c r="Q44" s="25">
        <v>0.0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45.0" customHeight="1">
      <c r="A45" s="16">
        <v>2.0</v>
      </c>
      <c r="B45" s="32"/>
      <c r="C45" s="33"/>
      <c r="D45" s="34"/>
      <c r="E45" s="35"/>
      <c r="F45" s="30"/>
      <c r="G45" s="36"/>
      <c r="H45" s="36"/>
      <c r="I45" s="30"/>
      <c r="J45" s="30"/>
      <c r="K45" s="37"/>
      <c r="L45" s="36"/>
      <c r="M45" s="36"/>
      <c r="N45" s="36"/>
      <c r="O45" s="36"/>
      <c r="P45" s="36"/>
      <c r="Q45" s="25">
        <v>0.0</v>
      </c>
      <c r="R45" s="38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45.0" customHeight="1">
      <c r="A46" s="16">
        <v>3.0</v>
      </c>
      <c r="B46" s="32"/>
      <c r="C46" s="33"/>
      <c r="D46" s="34"/>
      <c r="E46" s="35"/>
      <c r="F46" s="30"/>
      <c r="G46" s="36"/>
      <c r="H46" s="36"/>
      <c r="I46" s="30"/>
      <c r="J46" s="30"/>
      <c r="K46" s="37"/>
      <c r="L46" s="36"/>
      <c r="M46" s="36"/>
      <c r="N46" s="36"/>
      <c r="O46" s="36"/>
      <c r="P46" s="36"/>
      <c r="Q46" s="25">
        <v>0.0</v>
      </c>
      <c r="R46" s="38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45.0" customHeight="1">
      <c r="A47" s="151"/>
      <c r="B47" s="152"/>
      <c r="C47" s="153"/>
      <c r="D47" s="154" t="s">
        <v>115</v>
      </c>
      <c r="E47" s="155"/>
      <c r="F47" s="156">
        <f t="shared" ref="F47:N47" si="3">SUM(F44:F45)</f>
        <v>0</v>
      </c>
      <c r="G47" s="156">
        <f t="shared" si="3"/>
        <v>0</v>
      </c>
      <c r="H47" s="156">
        <f t="shared" si="3"/>
        <v>0</v>
      </c>
      <c r="I47" s="156">
        <f t="shared" si="3"/>
        <v>0</v>
      </c>
      <c r="J47" s="156">
        <f t="shared" si="3"/>
        <v>0</v>
      </c>
      <c r="K47" s="156">
        <f t="shared" si="3"/>
        <v>0</v>
      </c>
      <c r="L47" s="156">
        <f t="shared" si="3"/>
        <v>0</v>
      </c>
      <c r="M47" s="156">
        <f t="shared" si="3"/>
        <v>0</v>
      </c>
      <c r="N47" s="156">
        <f t="shared" si="3"/>
        <v>0</v>
      </c>
      <c r="O47" s="156">
        <f t="shared" ref="O47:P47" si="4">SUM(O44:O46)</f>
        <v>0</v>
      </c>
      <c r="P47" s="156">
        <f t="shared" si="4"/>
        <v>0</v>
      </c>
      <c r="Q47" s="157">
        <v>0.0</v>
      </c>
      <c r="R47" s="155"/>
      <c r="S47" s="158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 ht="45.0" customHeight="1">
      <c r="A48" s="159"/>
      <c r="B48" s="160"/>
      <c r="C48" s="161"/>
      <c r="D48" s="160"/>
      <c r="E48" s="160"/>
      <c r="F48" s="162">
        <f>F47+G47+H47+I47+J47+K47+L47+M47+N47+O47</f>
        <v>0</v>
      </c>
      <c r="G48" s="2"/>
      <c r="H48" s="2"/>
      <c r="I48" s="2"/>
      <c r="J48" s="2"/>
      <c r="K48" s="2"/>
      <c r="L48" s="2"/>
      <c r="M48" s="2"/>
      <c r="N48" s="2"/>
      <c r="O48" s="2"/>
      <c r="P48" s="163"/>
      <c r="Q48" s="163"/>
      <c r="R48" s="160"/>
      <c r="S48" s="16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45.0" customHeight="1">
      <c r="A49" s="27"/>
      <c r="B49" s="27"/>
      <c r="C49" s="75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45.0" customHeight="1">
      <c r="A50" s="165" t="s">
        <v>445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6" t="s">
        <v>1</v>
      </c>
      <c r="B51" s="167" t="s">
        <v>2</v>
      </c>
      <c r="C51" s="167" t="s">
        <v>3</v>
      </c>
      <c r="D51" s="167" t="s">
        <v>4</v>
      </c>
      <c r="E51" s="167" t="s">
        <v>5</v>
      </c>
      <c r="F51" s="168" t="s">
        <v>252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9"/>
      <c r="R51" s="167" t="s">
        <v>7</v>
      </c>
      <c r="S51" s="167" t="s">
        <v>8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0"/>
      <c r="B52" s="11"/>
      <c r="C52" s="11"/>
      <c r="D52" s="11"/>
      <c r="E52" s="11"/>
      <c r="F52" s="169" t="s">
        <v>9</v>
      </c>
      <c r="G52" s="170" t="s">
        <v>10</v>
      </c>
      <c r="H52" s="9"/>
      <c r="I52" s="170" t="s">
        <v>11</v>
      </c>
      <c r="J52" s="9"/>
      <c r="K52" s="167" t="s">
        <v>12</v>
      </c>
      <c r="L52" s="171"/>
      <c r="M52" s="171"/>
      <c r="N52" s="171"/>
      <c r="O52" s="172" t="s">
        <v>593</v>
      </c>
      <c r="P52" s="167" t="s">
        <v>14</v>
      </c>
      <c r="Q52" s="167" t="s">
        <v>15</v>
      </c>
      <c r="R52" s="11"/>
      <c r="S52" s="1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4"/>
      <c r="B53" s="9"/>
      <c r="C53" s="9"/>
      <c r="D53" s="9"/>
      <c r="E53" s="9"/>
      <c r="F53" s="9"/>
      <c r="G53" s="173" t="s">
        <v>16</v>
      </c>
      <c r="H53" s="173" t="s">
        <v>17</v>
      </c>
      <c r="I53" s="173" t="s">
        <v>18</v>
      </c>
      <c r="J53" s="173" t="s">
        <v>19</v>
      </c>
      <c r="K53" s="9"/>
      <c r="L53" s="173" t="s">
        <v>20</v>
      </c>
      <c r="M53" s="173" t="s">
        <v>21</v>
      </c>
      <c r="N53" s="173" t="s">
        <v>22</v>
      </c>
      <c r="O53" s="9"/>
      <c r="P53" s="9"/>
      <c r="Q53" s="9"/>
      <c r="R53" s="9"/>
      <c r="S53" s="9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48.0" customHeight="1">
      <c r="A54" s="16">
        <v>1.0</v>
      </c>
      <c r="B54" s="32"/>
      <c r="C54" s="33"/>
      <c r="D54" s="34"/>
      <c r="E54" s="35"/>
      <c r="F54" s="30"/>
      <c r="G54" s="36"/>
      <c r="H54" s="36"/>
      <c r="I54" s="30"/>
      <c r="J54" s="30"/>
      <c r="K54" s="37"/>
      <c r="L54" s="36"/>
      <c r="M54" s="36"/>
      <c r="N54" s="36"/>
      <c r="O54" s="36"/>
      <c r="P54" s="38"/>
      <c r="Q54" s="25">
        <f t="shared" ref="Q54:Q56" si="5">F54+G54+H54+I54+J54+K54+L54+M54+N54+O54-P54</f>
        <v>0</v>
      </c>
      <c r="R54" s="38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48.0" customHeight="1">
      <c r="A55" s="16">
        <v>2.0</v>
      </c>
      <c r="B55" s="32"/>
      <c r="C55" s="33"/>
      <c r="D55" s="34"/>
      <c r="E55" s="35"/>
      <c r="F55" s="30"/>
      <c r="G55" s="36"/>
      <c r="H55" s="36"/>
      <c r="I55" s="30"/>
      <c r="J55" s="30"/>
      <c r="K55" s="37"/>
      <c r="L55" s="36"/>
      <c r="M55" s="36"/>
      <c r="N55" s="36"/>
      <c r="O55" s="36"/>
      <c r="P55" s="38"/>
      <c r="Q55" s="25">
        <f t="shared" si="5"/>
        <v>0</v>
      </c>
      <c r="R55" s="38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48.0" customHeight="1">
      <c r="A56" s="16">
        <v>3.0</v>
      </c>
      <c r="B56" s="32"/>
      <c r="C56" s="33"/>
      <c r="D56" s="34"/>
      <c r="E56" s="35"/>
      <c r="F56" s="30"/>
      <c r="G56" s="36"/>
      <c r="H56" s="36"/>
      <c r="I56" s="30"/>
      <c r="J56" s="30"/>
      <c r="K56" s="37"/>
      <c r="L56" s="36"/>
      <c r="M56" s="36"/>
      <c r="N56" s="36"/>
      <c r="O56" s="36"/>
      <c r="P56" s="38"/>
      <c r="Q56" s="25">
        <f t="shared" si="5"/>
        <v>0</v>
      </c>
      <c r="R56" s="38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48.0" customHeight="1">
      <c r="A57" s="16">
        <v>4.0</v>
      </c>
      <c r="B57" s="32"/>
      <c r="C57" s="33"/>
      <c r="D57" s="34"/>
      <c r="E57" s="35"/>
      <c r="F57" s="30"/>
      <c r="G57" s="36"/>
      <c r="H57" s="36"/>
      <c r="I57" s="30"/>
      <c r="J57" s="30"/>
      <c r="K57" s="37"/>
      <c r="L57" s="36"/>
      <c r="M57" s="36"/>
      <c r="N57" s="36"/>
      <c r="O57" s="36"/>
      <c r="P57" s="38"/>
      <c r="Q57" s="25">
        <v>0.0</v>
      </c>
      <c r="R57" s="38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58.5" customHeight="1">
      <c r="A58" s="174"/>
      <c r="B58" s="175"/>
      <c r="C58" s="176"/>
      <c r="D58" s="177" t="s">
        <v>115</v>
      </c>
      <c r="E58" s="178"/>
      <c r="F58" s="179">
        <f t="shared" ref="F58:P58" si="6">SUM(F54:F57)</f>
        <v>0</v>
      </c>
      <c r="G58" s="179">
        <f t="shared" si="6"/>
        <v>0</v>
      </c>
      <c r="H58" s="179">
        <f t="shared" si="6"/>
        <v>0</v>
      </c>
      <c r="I58" s="179">
        <f t="shared" si="6"/>
        <v>0</v>
      </c>
      <c r="J58" s="179">
        <f t="shared" si="6"/>
        <v>0</v>
      </c>
      <c r="K58" s="179">
        <f t="shared" si="6"/>
        <v>0</v>
      </c>
      <c r="L58" s="179">
        <f t="shared" si="6"/>
        <v>0</v>
      </c>
      <c r="M58" s="179">
        <f t="shared" si="6"/>
        <v>0</v>
      </c>
      <c r="N58" s="179">
        <f t="shared" si="6"/>
        <v>0</v>
      </c>
      <c r="O58" s="179">
        <f t="shared" si="6"/>
        <v>0</v>
      </c>
      <c r="P58" s="179">
        <f t="shared" si="6"/>
        <v>0</v>
      </c>
      <c r="Q58" s="180">
        <f>F58+G58+H58+I58+J58+K58+L58+M58+N58+O58-P58</f>
        <v>0</v>
      </c>
      <c r="R58" s="178"/>
      <c r="S58" s="18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58.5" customHeight="1">
      <c r="A59" s="182"/>
      <c r="B59" s="183"/>
      <c r="C59" s="184"/>
      <c r="D59" s="183"/>
      <c r="E59" s="183"/>
      <c r="F59" s="185">
        <f>F58+G58+H58+I58+J58+K58+L58+M58+N58+O58</f>
        <v>0</v>
      </c>
      <c r="G59" s="2"/>
      <c r="H59" s="2"/>
      <c r="I59" s="2"/>
      <c r="J59" s="2"/>
      <c r="K59" s="2"/>
      <c r="L59" s="2"/>
      <c r="M59" s="2"/>
      <c r="N59" s="2"/>
      <c r="O59" s="2"/>
      <c r="P59" s="186"/>
      <c r="Q59" s="186"/>
      <c r="R59" s="183"/>
      <c r="S59" s="18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58.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188" t="s">
        <v>118</v>
      </c>
      <c r="F61" s="189" t="s">
        <v>170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188" t="s">
        <v>120</v>
      </c>
      <c r="F62" s="189" t="s">
        <v>171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188" t="s">
        <v>121</v>
      </c>
      <c r="F63" s="189" t="s">
        <v>171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188" t="s">
        <v>122</v>
      </c>
      <c r="F64" s="189" t="s">
        <v>172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188" t="s">
        <v>594</v>
      </c>
      <c r="F65" s="189" t="s">
        <v>171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51"/>
      <c r="D66" s="4"/>
      <c r="E66" s="188" t="s">
        <v>124</v>
      </c>
      <c r="F66" s="189" t="s">
        <v>549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51"/>
      <c r="D67" s="4"/>
      <c r="E67" s="188" t="s">
        <v>126</v>
      </c>
      <c r="F67" s="189" t="s">
        <v>117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 t="s">
        <v>595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</sheetData>
  <mergeCells count="52">
    <mergeCell ref="F48:O48"/>
    <mergeCell ref="A50:S50"/>
    <mergeCell ref="A51:A53"/>
    <mergeCell ref="B51:B53"/>
    <mergeCell ref="C51:C53"/>
    <mergeCell ref="D51:D53"/>
    <mergeCell ref="E51:E53"/>
    <mergeCell ref="S51:S53"/>
    <mergeCell ref="F51:Q51"/>
    <mergeCell ref="R51:R53"/>
    <mergeCell ref="F52:F53"/>
    <mergeCell ref="G52:H52"/>
    <mergeCell ref="I52:J52"/>
    <mergeCell ref="K52:K53"/>
    <mergeCell ref="O52:O5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1:D43"/>
    <mergeCell ref="E41:E43"/>
    <mergeCell ref="P4:P5"/>
    <mergeCell ref="Q4:Q5"/>
    <mergeCell ref="F38:O38"/>
    <mergeCell ref="A40:S40"/>
    <mergeCell ref="A41:A43"/>
    <mergeCell ref="B41:B43"/>
    <mergeCell ref="C41:C43"/>
    <mergeCell ref="S41:S43"/>
    <mergeCell ref="P42:P43"/>
    <mergeCell ref="Q42:Q43"/>
    <mergeCell ref="F41:Q41"/>
    <mergeCell ref="R41:R43"/>
    <mergeCell ref="F42:F43"/>
    <mergeCell ref="G42:H42"/>
    <mergeCell ref="I42:J42"/>
    <mergeCell ref="K42:K43"/>
    <mergeCell ref="O42:O43"/>
    <mergeCell ref="P52:P53"/>
    <mergeCell ref="Q52:Q53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7.88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596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45669.0</v>
      </c>
      <c r="C6" s="18" t="s">
        <v>597</v>
      </c>
      <c r="D6" s="19">
        <v>59244.0</v>
      </c>
      <c r="E6" s="20" t="s">
        <v>130</v>
      </c>
      <c r="F6" s="22"/>
      <c r="G6" s="22"/>
      <c r="H6" s="22"/>
      <c r="I6" s="21">
        <v>7000.0</v>
      </c>
      <c r="J6" s="21"/>
      <c r="K6" s="22"/>
      <c r="L6" s="22"/>
      <c r="M6" s="21"/>
      <c r="N6" s="22"/>
      <c r="O6" s="22"/>
      <c r="P6" s="24">
        <v>7000.0</v>
      </c>
      <c r="Q6" s="25">
        <f t="shared" ref="Q6:Q22" si="1">F6+G6+H6+I6+J6+K6+L6+M6+N6+O6-P6</f>
        <v>0</v>
      </c>
      <c r="R6" s="24" t="s">
        <v>512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45670.0</v>
      </c>
      <c r="C7" s="18" t="s">
        <v>598</v>
      </c>
      <c r="D7" s="19">
        <v>46654.0</v>
      </c>
      <c r="E7" s="20" t="s">
        <v>599</v>
      </c>
      <c r="F7" s="21"/>
      <c r="G7" s="22"/>
      <c r="H7" s="22"/>
      <c r="I7" s="30"/>
      <c r="J7" s="22">
        <v>4600.0</v>
      </c>
      <c r="K7" s="31"/>
      <c r="L7" s="22"/>
      <c r="M7" s="22"/>
      <c r="N7" s="22"/>
      <c r="O7" s="22"/>
      <c r="P7" s="24">
        <v>4600.0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45670.0</v>
      </c>
      <c r="C8" s="18" t="s">
        <v>600</v>
      </c>
      <c r="D8" s="19">
        <v>55448.0</v>
      </c>
      <c r="E8" s="20" t="s">
        <v>601</v>
      </c>
      <c r="F8" s="21"/>
      <c r="G8" s="22"/>
      <c r="H8" s="22"/>
      <c r="I8" s="21">
        <v>10000.0</v>
      </c>
      <c r="J8" s="22"/>
      <c r="K8" s="21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512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45670.0</v>
      </c>
      <c r="C9" s="33" t="s">
        <v>602</v>
      </c>
      <c r="D9" s="34">
        <v>33054.0</v>
      </c>
      <c r="E9" s="35" t="s">
        <v>603</v>
      </c>
      <c r="F9" s="30"/>
      <c r="G9" s="36"/>
      <c r="H9" s="36"/>
      <c r="I9" s="30"/>
      <c r="J9" s="30">
        <v>15000.0</v>
      </c>
      <c r="K9" s="37"/>
      <c r="L9" s="36"/>
      <c r="M9" s="36"/>
      <c r="N9" s="36"/>
      <c r="O9" s="36"/>
      <c r="P9" s="38">
        <v>15000.0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45670.0</v>
      </c>
      <c r="C10" s="33" t="s">
        <v>604</v>
      </c>
      <c r="D10" s="34">
        <v>10250.0</v>
      </c>
      <c r="E10" s="35" t="s">
        <v>148</v>
      </c>
      <c r="F10" s="30"/>
      <c r="G10" s="36"/>
      <c r="H10" s="36"/>
      <c r="I10" s="30">
        <v>350.0</v>
      </c>
      <c r="J10" s="30"/>
      <c r="K10" s="37"/>
      <c r="L10" s="36"/>
      <c r="M10" s="36"/>
      <c r="N10" s="36"/>
      <c r="O10" s="36"/>
      <c r="P10" s="38">
        <v>350.0</v>
      </c>
      <c r="Q10" s="25">
        <f t="shared" si="1"/>
        <v>0</v>
      </c>
      <c r="R10" s="38" t="s">
        <v>28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45670.0</v>
      </c>
      <c r="C11" s="33" t="s">
        <v>605</v>
      </c>
      <c r="D11" s="34">
        <v>19688.0</v>
      </c>
      <c r="E11" s="35" t="s">
        <v>300</v>
      </c>
      <c r="F11" s="30"/>
      <c r="G11" s="36"/>
      <c r="H11" s="36"/>
      <c r="I11" s="30"/>
      <c r="J11" s="30">
        <v>5100.0</v>
      </c>
      <c r="K11" s="37"/>
      <c r="L11" s="36"/>
      <c r="M11" s="36"/>
      <c r="N11" s="36"/>
      <c r="O11" s="36"/>
      <c r="P11" s="38">
        <v>5100.0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45670.0</v>
      </c>
      <c r="C12" s="33" t="s">
        <v>606</v>
      </c>
      <c r="D12" s="34">
        <v>58309.0</v>
      </c>
      <c r="E12" s="35" t="s">
        <v>607</v>
      </c>
      <c r="F12" s="30"/>
      <c r="G12" s="36"/>
      <c r="H12" s="36"/>
      <c r="I12" s="30">
        <v>5100.0</v>
      </c>
      <c r="J12" s="30"/>
      <c r="K12" s="37"/>
      <c r="L12" s="36"/>
      <c r="M12" s="36"/>
      <c r="N12" s="36"/>
      <c r="O12" s="36"/>
      <c r="P12" s="38">
        <v>5100.0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45670.0</v>
      </c>
      <c r="C13" s="33" t="s">
        <v>608</v>
      </c>
      <c r="D13" s="34">
        <v>51946.0</v>
      </c>
      <c r="E13" s="35" t="s">
        <v>609</v>
      </c>
      <c r="F13" s="30"/>
      <c r="G13" s="36"/>
      <c r="H13" s="36"/>
      <c r="I13" s="30">
        <v>11500.0</v>
      </c>
      <c r="J13" s="30"/>
      <c r="K13" s="37"/>
      <c r="L13" s="36"/>
      <c r="M13" s="36"/>
      <c r="N13" s="36"/>
      <c r="O13" s="36"/>
      <c r="P13" s="38">
        <v>11500.0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45670.0</v>
      </c>
      <c r="C14" s="33" t="s">
        <v>610</v>
      </c>
      <c r="D14" s="34">
        <v>80302.0</v>
      </c>
      <c r="E14" s="35" t="s">
        <v>611</v>
      </c>
      <c r="F14" s="30"/>
      <c r="G14" s="36"/>
      <c r="H14" s="36"/>
      <c r="I14" s="30"/>
      <c r="J14" s="30"/>
      <c r="K14" s="37"/>
      <c r="L14" s="36"/>
      <c r="M14" s="36">
        <v>4140.0</v>
      </c>
      <c r="N14" s="36"/>
      <c r="O14" s="36"/>
      <c r="P14" s="38">
        <v>4140.0</v>
      </c>
      <c r="Q14" s="25">
        <f t="shared" si="1"/>
        <v>0</v>
      </c>
      <c r="R14" s="38" t="s">
        <v>28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45670.0</v>
      </c>
      <c r="C15" s="33" t="s">
        <v>612</v>
      </c>
      <c r="D15" s="34">
        <v>47787.0</v>
      </c>
      <c r="E15" s="35" t="s">
        <v>158</v>
      </c>
      <c r="F15" s="30"/>
      <c r="G15" s="36"/>
      <c r="H15" s="36"/>
      <c r="I15" s="30">
        <v>5000.0</v>
      </c>
      <c r="J15" s="30"/>
      <c r="K15" s="37"/>
      <c r="L15" s="36"/>
      <c r="M15" s="36"/>
      <c r="N15" s="36"/>
      <c r="O15" s="36"/>
      <c r="P15" s="38">
        <v>5000.0</v>
      </c>
      <c r="Q15" s="25">
        <f t="shared" si="1"/>
        <v>0</v>
      </c>
      <c r="R15" s="38" t="s">
        <v>46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45669.0</v>
      </c>
      <c r="C16" s="33" t="s">
        <v>613</v>
      </c>
      <c r="D16" s="34">
        <v>51017.0</v>
      </c>
      <c r="E16" s="35" t="s">
        <v>167</v>
      </c>
      <c r="F16" s="30"/>
      <c r="G16" s="36"/>
      <c r="H16" s="36">
        <v>10000.0</v>
      </c>
      <c r="I16" s="30"/>
      <c r="J16" s="30"/>
      <c r="K16" s="37"/>
      <c r="L16" s="36"/>
      <c r="M16" s="36"/>
      <c r="N16" s="36"/>
      <c r="O16" s="36"/>
      <c r="P16" s="38">
        <v>10000.0</v>
      </c>
      <c r="Q16" s="25">
        <f t="shared" si="1"/>
        <v>0</v>
      </c>
      <c r="R16" s="38"/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45670.0</v>
      </c>
      <c r="C17" s="33" t="s">
        <v>614</v>
      </c>
      <c r="D17" s="34">
        <v>52214.0</v>
      </c>
      <c r="E17" s="35" t="s">
        <v>615</v>
      </c>
      <c r="F17" s="30"/>
      <c r="G17" s="36"/>
      <c r="H17" s="36">
        <v>2500.0</v>
      </c>
      <c r="I17" s="30"/>
      <c r="J17" s="30"/>
      <c r="K17" s="37"/>
      <c r="L17" s="36"/>
      <c r="M17" s="36"/>
      <c r="N17" s="36"/>
      <c r="O17" s="36"/>
      <c r="P17" s="38">
        <v>2500.0</v>
      </c>
      <c r="Q17" s="25">
        <f t="shared" si="1"/>
        <v>0</v>
      </c>
      <c r="R17" s="38"/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45670.0</v>
      </c>
      <c r="C18" s="33" t="s">
        <v>616</v>
      </c>
      <c r="D18" s="34">
        <v>22727.0</v>
      </c>
      <c r="E18" s="35" t="s">
        <v>211</v>
      </c>
      <c r="F18" s="30"/>
      <c r="G18" s="36"/>
      <c r="H18" s="36">
        <v>5000.0</v>
      </c>
      <c r="I18" s="30"/>
      <c r="J18" s="30"/>
      <c r="K18" s="37"/>
      <c r="L18" s="36"/>
      <c r="M18" s="36"/>
      <c r="N18" s="36"/>
      <c r="O18" s="36"/>
      <c r="P18" s="38">
        <v>5000.0</v>
      </c>
      <c r="Q18" s="25">
        <f t="shared" si="1"/>
        <v>0</v>
      </c>
      <c r="R18" s="38"/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45670.0</v>
      </c>
      <c r="C19" s="33" t="s">
        <v>617</v>
      </c>
      <c r="D19" s="34">
        <v>73660.0</v>
      </c>
      <c r="E19" s="35" t="s">
        <v>618</v>
      </c>
      <c r="F19" s="30"/>
      <c r="G19" s="36"/>
      <c r="H19" s="36"/>
      <c r="I19" s="30"/>
      <c r="J19" s="30"/>
      <c r="K19" s="37"/>
      <c r="L19" s="36"/>
      <c r="M19" s="36">
        <v>3650.0</v>
      </c>
      <c r="N19" s="36"/>
      <c r="O19" s="36"/>
      <c r="P19" s="38">
        <v>3650.0</v>
      </c>
      <c r="Q19" s="25">
        <f t="shared" si="1"/>
        <v>0</v>
      </c>
      <c r="R19" s="38"/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/>
      <c r="B20" s="32"/>
      <c r="C20" s="33"/>
      <c r="D20" s="34"/>
      <c r="E20" s="35"/>
      <c r="F20" s="30"/>
      <c r="G20" s="36"/>
      <c r="H20" s="36"/>
      <c r="I20" s="30"/>
      <c r="J20" s="30"/>
      <c r="K20" s="37"/>
      <c r="L20" s="36"/>
      <c r="M20" s="36"/>
      <c r="N20" s="36"/>
      <c r="O20" s="36"/>
      <c r="P20" s="38"/>
      <c r="Q20" s="25">
        <f t="shared" si="1"/>
        <v>0</v>
      </c>
      <c r="R20" s="38"/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/>
      <c r="B21" s="32"/>
      <c r="C21" s="33"/>
      <c r="D21" s="34"/>
      <c r="E21" s="35"/>
      <c r="F21" s="30"/>
      <c r="G21" s="36"/>
      <c r="H21" s="36"/>
      <c r="I21" s="30"/>
      <c r="J21" s="30"/>
      <c r="K21" s="37"/>
      <c r="L21" s="36"/>
      <c r="M21" s="36"/>
      <c r="N21" s="36"/>
      <c r="O21" s="36"/>
      <c r="P21" s="38"/>
      <c r="Q21" s="25">
        <f t="shared" si="1"/>
        <v>0</v>
      </c>
      <c r="R21" s="38"/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/>
      <c r="B22" s="32"/>
      <c r="C22" s="33"/>
      <c r="D22" s="34"/>
      <c r="E22" s="35"/>
      <c r="F22" s="30"/>
      <c r="G22" s="36"/>
      <c r="H22" s="36"/>
      <c r="I22" s="30"/>
      <c r="J22" s="30"/>
      <c r="K22" s="37"/>
      <c r="L22" s="36"/>
      <c r="M22" s="36"/>
      <c r="N22" s="36"/>
      <c r="O22" s="36"/>
      <c r="P22" s="38"/>
      <c r="Q22" s="25">
        <f t="shared" si="1"/>
        <v>0</v>
      </c>
      <c r="R22" s="38"/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27"/>
      <c r="B23" s="128"/>
      <c r="C23" s="129"/>
      <c r="D23" s="130"/>
      <c r="E23" s="131"/>
      <c r="F23" s="132">
        <f t="shared" ref="F23:P23" si="2">SUM(F6:F22)</f>
        <v>0</v>
      </c>
      <c r="G23" s="132">
        <f t="shared" si="2"/>
        <v>0</v>
      </c>
      <c r="H23" s="132">
        <f t="shared" si="2"/>
        <v>17500</v>
      </c>
      <c r="I23" s="132">
        <f t="shared" si="2"/>
        <v>38950</v>
      </c>
      <c r="J23" s="132">
        <f t="shared" si="2"/>
        <v>24700</v>
      </c>
      <c r="K23" s="132">
        <f t="shared" si="2"/>
        <v>0</v>
      </c>
      <c r="L23" s="132">
        <f t="shared" si="2"/>
        <v>0</v>
      </c>
      <c r="M23" s="132">
        <f t="shared" si="2"/>
        <v>7790</v>
      </c>
      <c r="N23" s="132">
        <f t="shared" si="2"/>
        <v>0</v>
      </c>
      <c r="O23" s="132">
        <f t="shared" si="2"/>
        <v>0</v>
      </c>
      <c r="P23" s="132">
        <f t="shared" si="2"/>
        <v>88940</v>
      </c>
      <c r="Q23" s="133"/>
      <c r="R23" s="134"/>
      <c r="S23" s="135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</row>
    <row r="24" ht="45.0" customHeight="1">
      <c r="A24" s="136"/>
      <c r="B24" s="137"/>
      <c r="C24" s="138"/>
      <c r="D24" s="137"/>
      <c r="E24" s="137"/>
      <c r="F24" s="139">
        <f>F23+G23+H23+I23+J23+K23+L23+M23+N23+O23</f>
        <v>88940</v>
      </c>
      <c r="G24" s="2"/>
      <c r="H24" s="2"/>
      <c r="I24" s="2"/>
      <c r="J24" s="2"/>
      <c r="K24" s="2"/>
      <c r="L24" s="2"/>
      <c r="M24" s="2"/>
      <c r="N24" s="2"/>
      <c r="O24" s="2"/>
      <c r="P24" s="140"/>
      <c r="Q24" s="140"/>
      <c r="R24" s="137"/>
      <c r="S24" s="141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ht="45.0" customHeight="1">
      <c r="A25" s="27"/>
      <c r="B25" s="27"/>
      <c r="C25" s="75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ht="45.0" customHeight="1">
      <c r="A26" s="142" t="s">
        <v>437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45.0" customHeight="1">
      <c r="A27" s="143" t="s">
        <v>1</v>
      </c>
      <c r="B27" s="144" t="s">
        <v>2</v>
      </c>
      <c r="C27" s="144" t="s">
        <v>3</v>
      </c>
      <c r="D27" s="144" t="s">
        <v>4</v>
      </c>
      <c r="E27" s="144" t="s">
        <v>5</v>
      </c>
      <c r="F27" s="145" t="s">
        <v>371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144" t="s">
        <v>7</v>
      </c>
      <c r="S27" s="144" t="s">
        <v>8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ht="45.0" customHeight="1">
      <c r="A28" s="10"/>
      <c r="B28" s="11"/>
      <c r="C28" s="11"/>
      <c r="D28" s="11"/>
      <c r="E28" s="11"/>
      <c r="F28" s="146" t="s">
        <v>9</v>
      </c>
      <c r="G28" s="147" t="s">
        <v>10</v>
      </c>
      <c r="H28" s="9"/>
      <c r="I28" s="147" t="s">
        <v>11</v>
      </c>
      <c r="J28" s="9"/>
      <c r="K28" s="144" t="s">
        <v>12</v>
      </c>
      <c r="L28" s="148"/>
      <c r="M28" s="148"/>
      <c r="N28" s="148"/>
      <c r="O28" s="149" t="s">
        <v>619</v>
      </c>
      <c r="P28" s="144" t="s">
        <v>14</v>
      </c>
      <c r="Q28" s="144" t="s">
        <v>15</v>
      </c>
      <c r="R28" s="11"/>
      <c r="S28" s="11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45.0" customHeight="1">
      <c r="A29" s="14"/>
      <c r="B29" s="9"/>
      <c r="C29" s="9"/>
      <c r="D29" s="9"/>
      <c r="E29" s="9"/>
      <c r="F29" s="9"/>
      <c r="G29" s="150" t="s">
        <v>16</v>
      </c>
      <c r="H29" s="150" t="s">
        <v>17</v>
      </c>
      <c r="I29" s="150" t="s">
        <v>18</v>
      </c>
      <c r="J29" s="150" t="s">
        <v>19</v>
      </c>
      <c r="K29" s="9"/>
      <c r="L29" s="150" t="s">
        <v>20</v>
      </c>
      <c r="M29" s="150" t="s">
        <v>21</v>
      </c>
      <c r="N29" s="150" t="s">
        <v>22</v>
      </c>
      <c r="O29" s="9"/>
      <c r="P29" s="9"/>
      <c r="Q29" s="9"/>
      <c r="R29" s="9"/>
      <c r="S29" s="9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45.0" customHeight="1">
      <c r="A30" s="16">
        <v>1.0</v>
      </c>
      <c r="B30" s="32">
        <v>45670.0</v>
      </c>
      <c r="C30" s="33" t="s">
        <v>620</v>
      </c>
      <c r="D30" s="34">
        <v>35362.0</v>
      </c>
      <c r="E30" s="35" t="s">
        <v>621</v>
      </c>
      <c r="F30" s="22"/>
      <c r="G30" s="22"/>
      <c r="H30" s="22"/>
      <c r="I30" s="23"/>
      <c r="J30" s="23"/>
      <c r="K30" s="22"/>
      <c r="L30" s="22"/>
      <c r="M30" s="22"/>
      <c r="N30" s="22"/>
      <c r="O30" s="36">
        <v>7.0</v>
      </c>
      <c r="P30" s="36">
        <v>7.0</v>
      </c>
      <c r="Q30" s="25">
        <v>0.0</v>
      </c>
      <c r="R30" s="38" t="s">
        <v>622</v>
      </c>
      <c r="S30" s="26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45.0" customHeight="1">
      <c r="A31" s="16"/>
      <c r="B31" s="32"/>
      <c r="C31" s="33"/>
      <c r="D31" s="34"/>
      <c r="E31" s="35"/>
      <c r="F31" s="30"/>
      <c r="G31" s="36"/>
      <c r="H31" s="36"/>
      <c r="I31" s="30"/>
      <c r="J31" s="30"/>
      <c r="K31" s="37"/>
      <c r="L31" s="36"/>
      <c r="M31" s="36"/>
      <c r="N31" s="36"/>
      <c r="O31" s="36"/>
      <c r="P31" s="36"/>
      <c r="Q31" s="25">
        <v>0.0</v>
      </c>
      <c r="R31" s="38"/>
      <c r="S31" s="26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ht="45.0" customHeight="1">
      <c r="A32" s="151"/>
      <c r="B32" s="152"/>
      <c r="C32" s="153"/>
      <c r="D32" s="154" t="s">
        <v>115</v>
      </c>
      <c r="E32" s="155"/>
      <c r="F32" s="156">
        <f t="shared" ref="F32:P32" si="3">SUM(F30:F31)</f>
        <v>0</v>
      </c>
      <c r="G32" s="156">
        <f t="shared" si="3"/>
        <v>0</v>
      </c>
      <c r="H32" s="156">
        <f t="shared" si="3"/>
        <v>0</v>
      </c>
      <c r="I32" s="156">
        <f t="shared" si="3"/>
        <v>0</v>
      </c>
      <c r="J32" s="156">
        <f t="shared" si="3"/>
        <v>0</v>
      </c>
      <c r="K32" s="156">
        <f t="shared" si="3"/>
        <v>0</v>
      </c>
      <c r="L32" s="156">
        <f t="shared" si="3"/>
        <v>0</v>
      </c>
      <c r="M32" s="156">
        <f t="shared" si="3"/>
        <v>0</v>
      </c>
      <c r="N32" s="156">
        <f t="shared" si="3"/>
        <v>0</v>
      </c>
      <c r="O32" s="156">
        <f t="shared" si="3"/>
        <v>7</v>
      </c>
      <c r="P32" s="156">
        <f t="shared" si="3"/>
        <v>7</v>
      </c>
      <c r="Q32" s="157">
        <v>0.0</v>
      </c>
      <c r="R32" s="155"/>
      <c r="S32" s="15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ht="45.0" customHeight="1">
      <c r="A33" s="159"/>
      <c r="B33" s="160"/>
      <c r="C33" s="161"/>
      <c r="D33" s="160"/>
      <c r="E33" s="160"/>
      <c r="F33" s="162">
        <f>F32+G32+H32+I32+J32+K32+L32+M32+N32+O32</f>
        <v>7</v>
      </c>
      <c r="G33" s="2"/>
      <c r="H33" s="2"/>
      <c r="I33" s="2"/>
      <c r="J33" s="2"/>
      <c r="K33" s="2"/>
      <c r="L33" s="2"/>
      <c r="M33" s="2"/>
      <c r="N33" s="2"/>
      <c r="O33" s="2"/>
      <c r="P33" s="163"/>
      <c r="Q33" s="163"/>
      <c r="R33" s="160"/>
      <c r="S33" s="164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 ht="45.0" customHeight="1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165" t="s">
        <v>445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6" t="s">
        <v>1</v>
      </c>
      <c r="B36" s="167" t="s">
        <v>2</v>
      </c>
      <c r="C36" s="167" t="s">
        <v>3</v>
      </c>
      <c r="D36" s="167" t="s">
        <v>4</v>
      </c>
      <c r="E36" s="167" t="s">
        <v>5</v>
      </c>
      <c r="F36" s="168" t="s">
        <v>252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167" t="s">
        <v>7</v>
      </c>
      <c r="S36" s="167" t="s">
        <v>8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0"/>
      <c r="B37" s="11"/>
      <c r="C37" s="11"/>
      <c r="D37" s="11"/>
      <c r="E37" s="11"/>
      <c r="F37" s="169" t="s">
        <v>9</v>
      </c>
      <c r="G37" s="170" t="s">
        <v>10</v>
      </c>
      <c r="H37" s="9"/>
      <c r="I37" s="170" t="s">
        <v>11</v>
      </c>
      <c r="J37" s="9"/>
      <c r="K37" s="167" t="s">
        <v>12</v>
      </c>
      <c r="L37" s="171"/>
      <c r="M37" s="171"/>
      <c r="N37" s="171"/>
      <c r="O37" s="172" t="s">
        <v>623</v>
      </c>
      <c r="P37" s="167" t="s">
        <v>14</v>
      </c>
      <c r="Q37" s="167" t="s">
        <v>15</v>
      </c>
      <c r="R37" s="11"/>
      <c r="S37" s="1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4"/>
      <c r="B38" s="9"/>
      <c r="C38" s="9"/>
      <c r="D38" s="9"/>
      <c r="E38" s="9"/>
      <c r="F38" s="9"/>
      <c r="G38" s="173" t="s">
        <v>16</v>
      </c>
      <c r="H38" s="173" t="s">
        <v>17</v>
      </c>
      <c r="I38" s="173" t="s">
        <v>18</v>
      </c>
      <c r="J38" s="173" t="s">
        <v>19</v>
      </c>
      <c r="K38" s="9"/>
      <c r="L38" s="173" t="s">
        <v>20</v>
      </c>
      <c r="M38" s="173" t="s">
        <v>21</v>
      </c>
      <c r="N38" s="173" t="s">
        <v>22</v>
      </c>
      <c r="O38" s="9"/>
      <c r="P38" s="9"/>
      <c r="Q38" s="9"/>
      <c r="R38" s="9"/>
      <c r="S38" s="9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48.0" customHeight="1">
      <c r="A39" s="16">
        <v>1.0</v>
      </c>
      <c r="B39" s="32">
        <v>45670.0</v>
      </c>
      <c r="C39" s="33" t="s">
        <v>624</v>
      </c>
      <c r="D39" s="34">
        <v>59103.0</v>
      </c>
      <c r="E39" s="35" t="s">
        <v>98</v>
      </c>
      <c r="F39" s="30"/>
      <c r="G39" s="36"/>
      <c r="H39" s="36"/>
      <c r="I39" s="30"/>
      <c r="J39" s="30">
        <v>2500.0</v>
      </c>
      <c r="K39" s="37"/>
      <c r="L39" s="36"/>
      <c r="M39" s="36"/>
      <c r="N39" s="36"/>
      <c r="O39" s="36"/>
      <c r="P39" s="38">
        <v>2500.0</v>
      </c>
      <c r="Q39" s="25">
        <f t="shared" ref="Q39:Q43" si="4">F39+G39+H39+I39+J39+K39+L39+M39+N39+O39-P39</f>
        <v>0</v>
      </c>
      <c r="R39" s="38" t="s">
        <v>512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48.0" customHeight="1">
      <c r="A40" s="16">
        <v>2.0</v>
      </c>
      <c r="B40" s="32">
        <v>45670.0</v>
      </c>
      <c r="C40" s="33" t="s">
        <v>625</v>
      </c>
      <c r="D40" s="34">
        <v>83997.0</v>
      </c>
      <c r="E40" s="35" t="s">
        <v>626</v>
      </c>
      <c r="F40" s="30"/>
      <c r="G40" s="36"/>
      <c r="H40" s="36">
        <v>618.8</v>
      </c>
      <c r="I40" s="30"/>
      <c r="J40" s="30"/>
      <c r="K40" s="37"/>
      <c r="L40" s="36"/>
      <c r="M40" s="36"/>
      <c r="N40" s="36"/>
      <c r="O40" s="36"/>
      <c r="P40" s="38">
        <v>618.8</v>
      </c>
      <c r="Q40" s="25">
        <f t="shared" si="4"/>
        <v>0</v>
      </c>
      <c r="R40" s="38" t="s">
        <v>627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48.0" customHeight="1">
      <c r="A41" s="16">
        <v>3.0</v>
      </c>
      <c r="B41" s="32">
        <v>45670.0</v>
      </c>
      <c r="C41" s="33" t="s">
        <v>628</v>
      </c>
      <c r="D41" s="34">
        <v>35362.0</v>
      </c>
      <c r="E41" s="35" t="s">
        <v>621</v>
      </c>
      <c r="F41" s="30"/>
      <c r="G41" s="36"/>
      <c r="H41" s="36"/>
      <c r="I41" s="30">
        <v>240.0</v>
      </c>
      <c r="J41" s="30"/>
      <c r="K41" s="37"/>
      <c r="L41" s="36"/>
      <c r="M41" s="36"/>
      <c r="N41" s="36"/>
      <c r="O41" s="36"/>
      <c r="P41" s="38">
        <v>240.0</v>
      </c>
      <c r="Q41" s="25">
        <f t="shared" si="4"/>
        <v>0</v>
      </c>
      <c r="R41" s="38" t="s">
        <v>622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48.0" customHeight="1">
      <c r="A42" s="16">
        <v>4.0</v>
      </c>
      <c r="B42" s="32">
        <v>45670.0</v>
      </c>
      <c r="C42" s="33" t="s">
        <v>629</v>
      </c>
      <c r="D42" s="34">
        <v>10255.0</v>
      </c>
      <c r="E42" s="35" t="s">
        <v>630</v>
      </c>
      <c r="F42" s="30"/>
      <c r="G42" s="36"/>
      <c r="H42" s="36"/>
      <c r="I42" s="30"/>
      <c r="J42" s="30">
        <v>20.0</v>
      </c>
      <c r="K42" s="37"/>
      <c r="L42" s="36"/>
      <c r="M42" s="36"/>
      <c r="N42" s="36"/>
      <c r="O42" s="36"/>
      <c r="P42" s="38">
        <v>20.0</v>
      </c>
      <c r="Q42" s="25">
        <f t="shared" si="4"/>
        <v>0</v>
      </c>
      <c r="R42" s="38" t="s">
        <v>46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58.5" customHeight="1">
      <c r="A43" s="174"/>
      <c r="B43" s="175"/>
      <c r="C43" s="176"/>
      <c r="D43" s="177" t="s">
        <v>115</v>
      </c>
      <c r="E43" s="178"/>
      <c r="F43" s="179">
        <f t="shared" ref="F43:P43" si="5">SUM(F39:F42)</f>
        <v>0</v>
      </c>
      <c r="G43" s="179">
        <f t="shared" si="5"/>
        <v>0</v>
      </c>
      <c r="H43" s="179">
        <f t="shared" si="5"/>
        <v>618.8</v>
      </c>
      <c r="I43" s="179">
        <f t="shared" si="5"/>
        <v>240</v>
      </c>
      <c r="J43" s="179">
        <f t="shared" si="5"/>
        <v>2520</v>
      </c>
      <c r="K43" s="179">
        <f t="shared" si="5"/>
        <v>0</v>
      </c>
      <c r="L43" s="179">
        <f t="shared" si="5"/>
        <v>0</v>
      </c>
      <c r="M43" s="179">
        <f t="shared" si="5"/>
        <v>0</v>
      </c>
      <c r="N43" s="179">
        <f t="shared" si="5"/>
        <v>0</v>
      </c>
      <c r="O43" s="179">
        <f t="shared" si="5"/>
        <v>0</v>
      </c>
      <c r="P43" s="179">
        <f t="shared" si="5"/>
        <v>3378.8</v>
      </c>
      <c r="Q43" s="180">
        <f t="shared" si="4"/>
        <v>0</v>
      </c>
      <c r="R43" s="178"/>
      <c r="S43" s="18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58.5" customHeight="1">
      <c r="A44" s="182"/>
      <c r="B44" s="183"/>
      <c r="C44" s="184"/>
      <c r="D44" s="183"/>
      <c r="E44" s="183"/>
      <c r="F44" s="185">
        <f>F43+G43+H43+I43+J43+K43+L43+M43+N43+O43</f>
        <v>3378.8</v>
      </c>
      <c r="G44" s="2"/>
      <c r="H44" s="2"/>
      <c r="I44" s="2"/>
      <c r="J44" s="2"/>
      <c r="K44" s="2"/>
      <c r="L44" s="2"/>
      <c r="M44" s="2"/>
      <c r="N44" s="2"/>
      <c r="O44" s="2"/>
      <c r="P44" s="186"/>
      <c r="Q44" s="186"/>
      <c r="R44" s="183"/>
      <c r="S44" s="18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58.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118</v>
      </c>
      <c r="F46" s="189" t="s">
        <v>170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120</v>
      </c>
      <c r="F47" s="189" t="s">
        <v>119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51"/>
      <c r="D48" s="4"/>
      <c r="E48" s="188" t="s">
        <v>121</v>
      </c>
      <c r="F48" s="189" t="s">
        <v>119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188" t="s">
        <v>122</v>
      </c>
      <c r="F49" s="189" t="s">
        <v>119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51"/>
      <c r="D50" s="4"/>
      <c r="E50" s="188" t="s">
        <v>631</v>
      </c>
      <c r="F50" s="189" t="s">
        <v>119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51"/>
      <c r="D51" s="4"/>
      <c r="E51" s="188" t="s">
        <v>124</v>
      </c>
      <c r="F51" s="189" t="s">
        <v>549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51"/>
      <c r="D52" s="4"/>
      <c r="E52" s="188" t="s">
        <v>126</v>
      </c>
      <c r="F52" s="189" t="s">
        <v>117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 t="s">
        <v>595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</sheetData>
  <mergeCells count="52">
    <mergeCell ref="F33:O33"/>
    <mergeCell ref="A35:S35"/>
    <mergeCell ref="A36:A38"/>
    <mergeCell ref="B36:B38"/>
    <mergeCell ref="C36:C38"/>
    <mergeCell ref="D36:D38"/>
    <mergeCell ref="E36:E38"/>
    <mergeCell ref="S36:S38"/>
    <mergeCell ref="F36:Q36"/>
    <mergeCell ref="R36:R38"/>
    <mergeCell ref="F37:F38"/>
    <mergeCell ref="G37:H37"/>
    <mergeCell ref="I37:J37"/>
    <mergeCell ref="K37:K38"/>
    <mergeCell ref="O37:O38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37:P38"/>
    <mergeCell ref="Q37:Q38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632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45671.0</v>
      </c>
      <c r="C6" s="18" t="s">
        <v>633</v>
      </c>
      <c r="D6" s="19">
        <v>57991.0</v>
      </c>
      <c r="E6" s="20" t="s">
        <v>634</v>
      </c>
      <c r="F6" s="22"/>
      <c r="G6" s="22"/>
      <c r="H6" s="22"/>
      <c r="I6" s="21">
        <v>5550.0</v>
      </c>
      <c r="J6" s="21"/>
      <c r="K6" s="22"/>
      <c r="L6" s="22"/>
      <c r="M6" s="21"/>
      <c r="N6" s="22"/>
      <c r="O6" s="22"/>
      <c r="P6" s="24">
        <v>5550.0</v>
      </c>
      <c r="Q6" s="25">
        <f t="shared" ref="Q6:Q8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45671.0</v>
      </c>
      <c r="C7" s="18" t="s">
        <v>635</v>
      </c>
      <c r="D7" s="19">
        <v>75989.0</v>
      </c>
      <c r="E7" s="20" t="s">
        <v>93</v>
      </c>
      <c r="F7" s="21"/>
      <c r="G7" s="22"/>
      <c r="H7" s="22"/>
      <c r="I7" s="30">
        <v>1900.0</v>
      </c>
      <c r="J7" s="22"/>
      <c r="K7" s="31"/>
      <c r="L7" s="22"/>
      <c r="M7" s="22"/>
      <c r="N7" s="22"/>
      <c r="O7" s="22"/>
      <c r="P7" s="24">
        <v>1900.0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45671.0</v>
      </c>
      <c r="C8" s="18" t="s">
        <v>636</v>
      </c>
      <c r="D8" s="19">
        <v>82083.0</v>
      </c>
      <c r="E8" s="20" t="s">
        <v>637</v>
      </c>
      <c r="F8" s="21"/>
      <c r="G8" s="22"/>
      <c r="H8" s="22"/>
      <c r="I8" s="21">
        <v>1550.0</v>
      </c>
      <c r="J8" s="22"/>
      <c r="K8" s="21"/>
      <c r="L8" s="22"/>
      <c r="M8" s="22"/>
      <c r="N8" s="22"/>
      <c r="O8" s="22"/>
      <c r="P8" s="24">
        <v>1550.0</v>
      </c>
      <c r="Q8" s="25">
        <f t="shared" si="1"/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45671.0</v>
      </c>
      <c r="C9" s="33" t="s">
        <v>638</v>
      </c>
      <c r="D9" s="34">
        <v>50568.0</v>
      </c>
      <c r="E9" s="35" t="s">
        <v>639</v>
      </c>
      <c r="F9" s="30"/>
      <c r="G9" s="36"/>
      <c r="H9" s="36"/>
      <c r="I9" s="30"/>
      <c r="J9" s="30" t="s">
        <v>115</v>
      </c>
      <c r="K9" s="37">
        <v>5000.0</v>
      </c>
      <c r="L9" s="36"/>
      <c r="M9" s="36"/>
      <c r="N9" s="36"/>
      <c r="O9" s="36"/>
      <c r="P9" s="38">
        <v>5000.0</v>
      </c>
      <c r="Q9" s="25">
        <v>0.0</v>
      </c>
      <c r="R9" s="38" t="s">
        <v>28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45671.0</v>
      </c>
      <c r="C10" s="33" t="s">
        <v>640</v>
      </c>
      <c r="D10" s="34">
        <v>61420.0</v>
      </c>
      <c r="E10" s="35" t="s">
        <v>503</v>
      </c>
      <c r="F10" s="30"/>
      <c r="G10" s="36"/>
      <c r="H10" s="36"/>
      <c r="I10" s="30">
        <v>1500.0</v>
      </c>
      <c r="J10" s="30"/>
      <c r="K10" s="37"/>
      <c r="L10" s="36"/>
      <c r="M10" s="36"/>
      <c r="N10" s="36"/>
      <c r="O10" s="36"/>
      <c r="P10" s="38">
        <v>1500.0</v>
      </c>
      <c r="Q10" s="25">
        <f t="shared" ref="Q10:Q32" si="2">F10+G10+H10+I10+J10+K10+L10+M10+N10+O10-P10</f>
        <v>0</v>
      </c>
      <c r="R10" s="38" t="s">
        <v>46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45671.0</v>
      </c>
      <c r="C11" s="33" t="s">
        <v>641</v>
      </c>
      <c r="D11" s="34">
        <v>24368.0</v>
      </c>
      <c r="E11" s="35" t="s">
        <v>160</v>
      </c>
      <c r="F11" s="30"/>
      <c r="G11" s="36"/>
      <c r="H11" s="36"/>
      <c r="I11" s="30">
        <v>4565.0</v>
      </c>
      <c r="J11" s="30"/>
      <c r="K11" s="37">
        <v>535.0</v>
      </c>
      <c r="L11" s="36"/>
      <c r="M11" s="36"/>
      <c r="N11" s="36"/>
      <c r="O11" s="36"/>
      <c r="P11" s="38">
        <v>5100.0</v>
      </c>
      <c r="Q11" s="25">
        <f t="shared" si="2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45671.0</v>
      </c>
      <c r="C12" s="33" t="s">
        <v>642</v>
      </c>
      <c r="D12" s="34">
        <v>80302.0</v>
      </c>
      <c r="E12" s="35" t="s">
        <v>611</v>
      </c>
      <c r="F12" s="30"/>
      <c r="G12" s="36"/>
      <c r="H12" s="36"/>
      <c r="I12" s="30"/>
      <c r="J12" s="30"/>
      <c r="K12" s="37"/>
      <c r="L12" s="36"/>
      <c r="M12" s="36">
        <v>500.0</v>
      </c>
      <c r="N12" s="36"/>
      <c r="O12" s="36"/>
      <c r="P12" s="38">
        <v>500.0</v>
      </c>
      <c r="Q12" s="25">
        <f t="shared" si="2"/>
        <v>0</v>
      </c>
      <c r="R12" s="38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45671.0</v>
      </c>
      <c r="C13" s="33" t="s">
        <v>643</v>
      </c>
      <c r="D13" s="34">
        <v>58818.0</v>
      </c>
      <c r="E13" s="35" t="s">
        <v>644</v>
      </c>
      <c r="F13" s="30"/>
      <c r="G13" s="36"/>
      <c r="H13" s="36"/>
      <c r="I13" s="30">
        <v>4600.0</v>
      </c>
      <c r="J13" s="30"/>
      <c r="K13" s="37"/>
      <c r="L13" s="36"/>
      <c r="M13" s="36"/>
      <c r="N13" s="36"/>
      <c r="O13" s="36"/>
      <c r="P13" s="38">
        <v>4600.0</v>
      </c>
      <c r="Q13" s="25">
        <f t="shared" si="2"/>
        <v>0</v>
      </c>
      <c r="R13" s="38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45671.0</v>
      </c>
      <c r="C14" s="33" t="s">
        <v>645</v>
      </c>
      <c r="D14" s="34">
        <v>85955.0</v>
      </c>
      <c r="E14" s="35" t="s">
        <v>646</v>
      </c>
      <c r="F14" s="30"/>
      <c r="G14" s="36"/>
      <c r="H14" s="36"/>
      <c r="I14" s="30"/>
      <c r="J14" s="30">
        <v>300.0</v>
      </c>
      <c r="K14" s="37"/>
      <c r="L14" s="36"/>
      <c r="M14" s="36"/>
      <c r="N14" s="36"/>
      <c r="O14" s="36"/>
      <c r="P14" s="38">
        <v>300.0</v>
      </c>
      <c r="Q14" s="25">
        <f t="shared" si="2"/>
        <v>0</v>
      </c>
      <c r="R14" s="38" t="s">
        <v>28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45671.0</v>
      </c>
      <c r="C15" s="33" t="s">
        <v>647</v>
      </c>
      <c r="D15" s="34">
        <v>22332.0</v>
      </c>
      <c r="E15" s="35" t="s">
        <v>350</v>
      </c>
      <c r="F15" s="30"/>
      <c r="G15" s="36"/>
      <c r="H15" s="36"/>
      <c r="I15" s="30">
        <v>5036.0</v>
      </c>
      <c r="J15" s="30"/>
      <c r="K15" s="37">
        <v>964.0</v>
      </c>
      <c r="L15" s="36"/>
      <c r="M15" s="36"/>
      <c r="N15" s="36"/>
      <c r="O15" s="36"/>
      <c r="P15" s="38">
        <v>6000.0</v>
      </c>
      <c r="Q15" s="25">
        <f t="shared" si="2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45671.0</v>
      </c>
      <c r="C16" s="33" t="s">
        <v>648</v>
      </c>
      <c r="D16" s="34">
        <v>55409.0</v>
      </c>
      <c r="E16" s="35" t="s">
        <v>649</v>
      </c>
      <c r="F16" s="30"/>
      <c r="G16" s="36"/>
      <c r="H16" s="36"/>
      <c r="I16" s="30">
        <v>5100.0</v>
      </c>
      <c r="J16" s="30"/>
      <c r="K16" s="37"/>
      <c r="L16" s="36"/>
      <c r="M16" s="36"/>
      <c r="N16" s="36"/>
      <c r="O16" s="36"/>
      <c r="P16" s="38">
        <v>5100.0</v>
      </c>
      <c r="Q16" s="25">
        <f t="shared" si="2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45671.0</v>
      </c>
      <c r="C17" s="33" t="s">
        <v>650</v>
      </c>
      <c r="D17" s="34">
        <v>46927.0</v>
      </c>
      <c r="E17" s="35" t="s">
        <v>651</v>
      </c>
      <c r="F17" s="30"/>
      <c r="G17" s="36"/>
      <c r="H17" s="36"/>
      <c r="I17" s="30">
        <v>4190.0</v>
      </c>
      <c r="J17" s="30"/>
      <c r="K17" s="37"/>
      <c r="L17" s="36"/>
      <c r="M17" s="36"/>
      <c r="N17" s="36"/>
      <c r="O17" s="36"/>
      <c r="P17" s="38">
        <v>4190.0</v>
      </c>
      <c r="Q17" s="25">
        <f t="shared" si="2"/>
        <v>0</v>
      </c>
      <c r="R17" s="38" t="s">
        <v>31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45671.0</v>
      </c>
      <c r="C18" s="33" t="s">
        <v>652</v>
      </c>
      <c r="D18" s="34">
        <v>81108.0</v>
      </c>
      <c r="E18" s="35" t="s">
        <v>328</v>
      </c>
      <c r="F18" s="30"/>
      <c r="G18" s="36"/>
      <c r="H18" s="36"/>
      <c r="I18" s="30">
        <v>15450.0</v>
      </c>
      <c r="J18" s="30"/>
      <c r="K18" s="37"/>
      <c r="L18" s="36"/>
      <c r="M18" s="36"/>
      <c r="N18" s="36"/>
      <c r="O18" s="36"/>
      <c r="P18" s="38">
        <v>15450.0</v>
      </c>
      <c r="Q18" s="25">
        <f t="shared" si="2"/>
        <v>0</v>
      </c>
      <c r="R18" s="38" t="s">
        <v>28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45671.0</v>
      </c>
      <c r="C19" s="33" t="s">
        <v>653</v>
      </c>
      <c r="D19" s="34">
        <v>33725.0</v>
      </c>
      <c r="E19" s="35" t="s">
        <v>654</v>
      </c>
      <c r="F19" s="30"/>
      <c r="G19" s="36"/>
      <c r="H19" s="36"/>
      <c r="I19" s="30">
        <v>904.0</v>
      </c>
      <c r="J19" s="30"/>
      <c r="K19" s="37">
        <v>546.0</v>
      </c>
      <c r="L19" s="36"/>
      <c r="M19" s="36"/>
      <c r="N19" s="36"/>
      <c r="O19" s="36"/>
      <c r="P19" s="38">
        <v>1450.0</v>
      </c>
      <c r="Q19" s="25">
        <f t="shared" si="2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45671.0</v>
      </c>
      <c r="C20" s="33" t="s">
        <v>655</v>
      </c>
      <c r="D20" s="34">
        <v>57746.0</v>
      </c>
      <c r="E20" s="35" t="s">
        <v>656</v>
      </c>
      <c r="F20" s="30"/>
      <c r="G20" s="36"/>
      <c r="H20" s="36"/>
      <c r="I20" s="30"/>
      <c r="J20" s="30">
        <v>5100.0</v>
      </c>
      <c r="K20" s="37"/>
      <c r="L20" s="36"/>
      <c r="M20" s="36"/>
      <c r="N20" s="36"/>
      <c r="O20" s="36"/>
      <c r="P20" s="38">
        <v>5100.0</v>
      </c>
      <c r="Q20" s="25">
        <f t="shared" si="2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45671.0</v>
      </c>
      <c r="C21" s="33" t="s">
        <v>657</v>
      </c>
      <c r="D21" s="34">
        <v>10250.0</v>
      </c>
      <c r="E21" s="35" t="s">
        <v>148</v>
      </c>
      <c r="F21" s="30"/>
      <c r="G21" s="36"/>
      <c r="H21" s="36"/>
      <c r="I21" s="30">
        <v>2600.0</v>
      </c>
      <c r="J21" s="30"/>
      <c r="K21" s="37"/>
      <c r="L21" s="36"/>
      <c r="M21" s="36"/>
      <c r="N21" s="36"/>
      <c r="O21" s="36"/>
      <c r="P21" s="38">
        <v>2600.0</v>
      </c>
      <c r="Q21" s="25">
        <f t="shared" si="2"/>
        <v>0</v>
      </c>
      <c r="R21" s="38" t="s">
        <v>28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45671.0</v>
      </c>
      <c r="C22" s="33" t="s">
        <v>658</v>
      </c>
      <c r="D22" s="34">
        <v>13133.0</v>
      </c>
      <c r="E22" s="35" t="s">
        <v>659</v>
      </c>
      <c r="F22" s="30"/>
      <c r="G22" s="36"/>
      <c r="H22" s="36"/>
      <c r="I22" s="30"/>
      <c r="J22" s="30">
        <v>10000.0</v>
      </c>
      <c r="K22" s="37"/>
      <c r="L22" s="36"/>
      <c r="M22" s="36"/>
      <c r="N22" s="36"/>
      <c r="O22" s="36"/>
      <c r="P22" s="38">
        <v>10000.0</v>
      </c>
      <c r="Q22" s="25">
        <f t="shared" si="2"/>
        <v>0</v>
      </c>
      <c r="R22" s="38" t="s">
        <v>28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45671.0</v>
      </c>
      <c r="C23" s="33" t="s">
        <v>660</v>
      </c>
      <c r="D23" s="34">
        <v>47787.0</v>
      </c>
      <c r="E23" s="35" t="s">
        <v>158</v>
      </c>
      <c r="F23" s="30"/>
      <c r="G23" s="36"/>
      <c r="H23" s="36"/>
      <c r="I23" s="30">
        <v>2500.0</v>
      </c>
      <c r="J23" s="30"/>
      <c r="K23" s="37"/>
      <c r="L23" s="36"/>
      <c r="M23" s="36"/>
      <c r="N23" s="36"/>
      <c r="O23" s="36"/>
      <c r="P23" s="38">
        <v>2500.0</v>
      </c>
      <c r="Q23" s="25">
        <f t="shared" si="2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45671.0</v>
      </c>
      <c r="C24" s="33" t="s">
        <v>661</v>
      </c>
      <c r="D24" s="34">
        <v>10744.0</v>
      </c>
      <c r="E24" s="35" t="s">
        <v>271</v>
      </c>
      <c r="F24" s="30"/>
      <c r="G24" s="36"/>
      <c r="H24" s="36"/>
      <c r="I24" s="30">
        <v>10000.0</v>
      </c>
      <c r="J24" s="30"/>
      <c r="K24" s="37"/>
      <c r="L24" s="36"/>
      <c r="M24" s="36"/>
      <c r="N24" s="36"/>
      <c r="O24" s="36"/>
      <c r="P24" s="38">
        <v>10000.0</v>
      </c>
      <c r="Q24" s="25">
        <f t="shared" si="2"/>
        <v>0</v>
      </c>
      <c r="R24" s="38" t="s">
        <v>28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45671.0</v>
      </c>
      <c r="C25" s="33" t="s">
        <v>662</v>
      </c>
      <c r="D25" s="34">
        <v>49540.0</v>
      </c>
      <c r="E25" s="35" t="s">
        <v>663</v>
      </c>
      <c r="F25" s="30"/>
      <c r="G25" s="36"/>
      <c r="H25" s="36"/>
      <c r="I25" s="30">
        <v>5100.0</v>
      </c>
      <c r="J25" s="30"/>
      <c r="K25" s="37"/>
      <c r="L25" s="36"/>
      <c r="M25" s="36"/>
      <c r="N25" s="36"/>
      <c r="O25" s="36"/>
      <c r="P25" s="38">
        <v>5100.0</v>
      </c>
      <c r="Q25" s="25">
        <f t="shared" si="2"/>
        <v>0</v>
      </c>
      <c r="R25" s="38" t="s">
        <v>46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45671.0</v>
      </c>
      <c r="C26" s="33" t="s">
        <v>664</v>
      </c>
      <c r="D26" s="34">
        <v>67621.0</v>
      </c>
      <c r="E26" s="35" t="s">
        <v>56</v>
      </c>
      <c r="F26" s="30"/>
      <c r="G26" s="36"/>
      <c r="H26" s="36"/>
      <c r="I26" s="30">
        <v>9500.0</v>
      </c>
      <c r="J26" s="30"/>
      <c r="K26" s="37"/>
      <c r="L26" s="36"/>
      <c r="M26" s="36"/>
      <c r="N26" s="36"/>
      <c r="O26" s="36"/>
      <c r="P26" s="38">
        <v>9500.0</v>
      </c>
      <c r="Q26" s="25">
        <f t="shared" si="2"/>
        <v>0</v>
      </c>
      <c r="R26" s="38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45671.0</v>
      </c>
      <c r="C27" s="33" t="s">
        <v>665</v>
      </c>
      <c r="D27" s="34">
        <v>51512.0</v>
      </c>
      <c r="E27" s="35" t="s">
        <v>465</v>
      </c>
      <c r="F27" s="30"/>
      <c r="G27" s="36"/>
      <c r="H27" s="36"/>
      <c r="I27" s="30">
        <v>6550.0</v>
      </c>
      <c r="J27" s="30"/>
      <c r="K27" s="37"/>
      <c r="L27" s="36"/>
      <c r="M27" s="36"/>
      <c r="N27" s="36"/>
      <c r="O27" s="36"/>
      <c r="P27" s="38">
        <v>6550.0</v>
      </c>
      <c r="Q27" s="25">
        <f t="shared" si="2"/>
        <v>0</v>
      </c>
      <c r="R27" s="38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45671.0</v>
      </c>
      <c r="C28" s="33" t="s">
        <v>666</v>
      </c>
      <c r="D28" s="34">
        <v>85958.0</v>
      </c>
      <c r="E28" s="35" t="s">
        <v>667</v>
      </c>
      <c r="F28" s="30"/>
      <c r="G28" s="36"/>
      <c r="H28" s="36"/>
      <c r="I28" s="30">
        <v>2600.0</v>
      </c>
      <c r="J28" s="30"/>
      <c r="K28" s="37"/>
      <c r="L28" s="36"/>
      <c r="M28" s="36"/>
      <c r="N28" s="36"/>
      <c r="O28" s="36"/>
      <c r="P28" s="38">
        <v>2600.0</v>
      </c>
      <c r="Q28" s="25">
        <f t="shared" si="2"/>
        <v>0</v>
      </c>
      <c r="R28" s="38" t="s">
        <v>46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45670.0</v>
      </c>
      <c r="C29" s="33" t="s">
        <v>668</v>
      </c>
      <c r="D29" s="34">
        <v>48072.0</v>
      </c>
      <c r="E29" s="35" t="s">
        <v>669</v>
      </c>
      <c r="F29" s="30"/>
      <c r="G29" s="36"/>
      <c r="H29" s="36">
        <v>10000.0</v>
      </c>
      <c r="I29" s="30"/>
      <c r="J29" s="30"/>
      <c r="K29" s="37"/>
      <c r="L29" s="36"/>
      <c r="M29" s="36"/>
      <c r="N29" s="36"/>
      <c r="O29" s="36"/>
      <c r="P29" s="38">
        <v>10000.0</v>
      </c>
      <c r="Q29" s="25">
        <f t="shared" si="2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45671.0</v>
      </c>
      <c r="C30" s="33" t="s">
        <v>670</v>
      </c>
      <c r="D30" s="34">
        <v>52669.0</v>
      </c>
      <c r="E30" s="35" t="s">
        <v>169</v>
      </c>
      <c r="F30" s="30"/>
      <c r="G30" s="36"/>
      <c r="H30" s="36">
        <v>14500.0</v>
      </c>
      <c r="I30" s="30"/>
      <c r="J30" s="30"/>
      <c r="K30" s="37"/>
      <c r="L30" s="36"/>
      <c r="M30" s="36"/>
      <c r="N30" s="36"/>
      <c r="O30" s="36"/>
      <c r="P30" s="38">
        <v>14500.0</v>
      </c>
      <c r="Q30" s="25">
        <f t="shared" si="2"/>
        <v>0</v>
      </c>
      <c r="R30" s="38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45671.0</v>
      </c>
      <c r="C31" s="33" t="s">
        <v>671</v>
      </c>
      <c r="D31" s="34">
        <v>20541.0</v>
      </c>
      <c r="E31" s="35" t="s">
        <v>672</v>
      </c>
      <c r="F31" s="30"/>
      <c r="G31" s="36"/>
      <c r="H31" s="36">
        <v>8000.0</v>
      </c>
      <c r="I31" s="30"/>
      <c r="J31" s="30"/>
      <c r="K31" s="37"/>
      <c r="L31" s="36"/>
      <c r="M31" s="36"/>
      <c r="N31" s="36"/>
      <c r="O31" s="36"/>
      <c r="P31" s="38">
        <v>8000.0</v>
      </c>
      <c r="Q31" s="25">
        <f t="shared" si="2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45671.0</v>
      </c>
      <c r="C32" s="33" t="s">
        <v>673</v>
      </c>
      <c r="D32" s="34">
        <v>79159.0</v>
      </c>
      <c r="E32" s="35" t="s">
        <v>674</v>
      </c>
      <c r="F32" s="30"/>
      <c r="G32" s="36"/>
      <c r="H32" s="36"/>
      <c r="I32" s="30"/>
      <c r="J32" s="30"/>
      <c r="K32" s="37"/>
      <c r="L32" s="36"/>
      <c r="M32" s="36">
        <v>2600.0</v>
      </c>
      <c r="N32" s="36"/>
      <c r="O32" s="36"/>
      <c r="P32" s="38">
        <v>2600.0</v>
      </c>
      <c r="Q32" s="25">
        <f t="shared" si="2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27"/>
      <c r="B33" s="128"/>
      <c r="C33" s="129"/>
      <c r="D33" s="130"/>
      <c r="E33" s="131"/>
      <c r="F33" s="132">
        <f t="shared" ref="F33:P33" si="3">SUM(F6:F32)</f>
        <v>0</v>
      </c>
      <c r="G33" s="132">
        <f t="shared" si="3"/>
        <v>0</v>
      </c>
      <c r="H33" s="132">
        <f t="shared" si="3"/>
        <v>32500</v>
      </c>
      <c r="I33" s="132">
        <f t="shared" si="3"/>
        <v>89195</v>
      </c>
      <c r="J33" s="132">
        <f t="shared" si="3"/>
        <v>15400</v>
      </c>
      <c r="K33" s="132">
        <f t="shared" si="3"/>
        <v>7045</v>
      </c>
      <c r="L33" s="132">
        <f t="shared" si="3"/>
        <v>0</v>
      </c>
      <c r="M33" s="132">
        <f t="shared" si="3"/>
        <v>3100</v>
      </c>
      <c r="N33" s="132">
        <f t="shared" si="3"/>
        <v>0</v>
      </c>
      <c r="O33" s="132">
        <f t="shared" si="3"/>
        <v>0</v>
      </c>
      <c r="P33" s="132">
        <f t="shared" si="3"/>
        <v>147240</v>
      </c>
      <c r="Q33" s="133"/>
      <c r="R33" s="134"/>
      <c r="S33" s="135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 ht="45.0" customHeight="1">
      <c r="A34" s="136"/>
      <c r="B34" s="137"/>
      <c r="C34" s="138"/>
      <c r="D34" s="137"/>
      <c r="E34" s="137"/>
      <c r="F34" s="139">
        <f>F33+G33+H33+I33+J33+K33+L33+M33+N33+O33</f>
        <v>147240</v>
      </c>
      <c r="G34" s="2"/>
      <c r="H34" s="2"/>
      <c r="I34" s="2"/>
      <c r="J34" s="2"/>
      <c r="K34" s="2"/>
      <c r="L34" s="2"/>
      <c r="M34" s="2"/>
      <c r="N34" s="2"/>
      <c r="O34" s="2"/>
      <c r="P34" s="140"/>
      <c r="Q34" s="140"/>
      <c r="R34" s="137"/>
      <c r="S34" s="141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27"/>
      <c r="B35" s="27"/>
      <c r="C35" s="75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45.0" customHeight="1">
      <c r="A36" s="142" t="s">
        <v>437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45.0" customHeight="1">
      <c r="A37" s="143" t="s">
        <v>1</v>
      </c>
      <c r="B37" s="144" t="s">
        <v>2</v>
      </c>
      <c r="C37" s="144" t="s">
        <v>3</v>
      </c>
      <c r="D37" s="144" t="s">
        <v>4</v>
      </c>
      <c r="E37" s="144" t="s">
        <v>5</v>
      </c>
      <c r="F37" s="145" t="s">
        <v>371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144" t="s">
        <v>7</v>
      </c>
      <c r="S37" s="144" t="s">
        <v>8</v>
      </c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t="45.0" customHeight="1">
      <c r="A38" s="10"/>
      <c r="B38" s="11"/>
      <c r="C38" s="11"/>
      <c r="D38" s="11"/>
      <c r="E38" s="11"/>
      <c r="F38" s="146" t="s">
        <v>9</v>
      </c>
      <c r="G38" s="147" t="s">
        <v>10</v>
      </c>
      <c r="H38" s="9"/>
      <c r="I38" s="147" t="s">
        <v>11</v>
      </c>
      <c r="J38" s="9"/>
      <c r="K38" s="144" t="s">
        <v>12</v>
      </c>
      <c r="L38" s="148"/>
      <c r="M38" s="148"/>
      <c r="N38" s="148"/>
      <c r="O38" s="149" t="s">
        <v>675</v>
      </c>
      <c r="P38" s="144" t="s">
        <v>14</v>
      </c>
      <c r="Q38" s="144" t="s">
        <v>15</v>
      </c>
      <c r="R38" s="11"/>
      <c r="S38" s="11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45.0" customHeight="1">
      <c r="A39" s="14"/>
      <c r="B39" s="9"/>
      <c r="C39" s="9"/>
      <c r="D39" s="9"/>
      <c r="E39" s="9"/>
      <c r="F39" s="9"/>
      <c r="G39" s="150" t="s">
        <v>16</v>
      </c>
      <c r="H39" s="150" t="s">
        <v>17</v>
      </c>
      <c r="I39" s="150" t="s">
        <v>18</v>
      </c>
      <c r="J39" s="150" t="s">
        <v>19</v>
      </c>
      <c r="K39" s="9"/>
      <c r="L39" s="150" t="s">
        <v>20</v>
      </c>
      <c r="M39" s="150" t="s">
        <v>21</v>
      </c>
      <c r="N39" s="150" t="s">
        <v>22</v>
      </c>
      <c r="O39" s="9"/>
      <c r="P39" s="9"/>
      <c r="Q39" s="9"/>
      <c r="R39" s="9"/>
      <c r="S39" s="9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45.0" customHeight="1">
      <c r="A40" s="16">
        <v>1.0</v>
      </c>
      <c r="B40" s="32">
        <v>45671.0</v>
      </c>
      <c r="C40" s="33" t="s">
        <v>676</v>
      </c>
      <c r="D40" s="34">
        <v>55409.0</v>
      </c>
      <c r="E40" s="35" t="s">
        <v>649</v>
      </c>
      <c r="F40" s="30"/>
      <c r="G40" s="36"/>
      <c r="H40" s="36"/>
      <c r="I40" s="30"/>
      <c r="J40" s="30"/>
      <c r="K40" s="37"/>
      <c r="L40" s="36"/>
      <c r="M40" s="36"/>
      <c r="N40" s="36"/>
      <c r="O40" s="36">
        <v>70.0</v>
      </c>
      <c r="P40" s="38">
        <v>70.0</v>
      </c>
      <c r="Q40" s="25">
        <f>F40+G40+H40+I40+J40+K40+L40+M40+N40+O40-P40</f>
        <v>0</v>
      </c>
      <c r="R40" s="38"/>
      <c r="S40" s="26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ht="45.0" customHeight="1">
      <c r="A41" s="16"/>
      <c r="B41" s="32"/>
      <c r="C41" s="33"/>
      <c r="D41" s="34"/>
      <c r="E41" s="35"/>
      <c r="F41" s="30"/>
      <c r="G41" s="36"/>
      <c r="H41" s="36"/>
      <c r="I41" s="30"/>
      <c r="J41" s="30"/>
      <c r="K41" s="37"/>
      <c r="L41" s="36"/>
      <c r="M41" s="36"/>
      <c r="N41" s="36"/>
      <c r="O41" s="36"/>
      <c r="P41" s="36"/>
      <c r="Q41" s="25">
        <v>0.0</v>
      </c>
      <c r="R41" s="38"/>
      <c r="S41" s="26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ht="45.0" customHeight="1">
      <c r="A42" s="151"/>
      <c r="B42" s="152"/>
      <c r="C42" s="153"/>
      <c r="D42" s="154" t="s">
        <v>115</v>
      </c>
      <c r="E42" s="155"/>
      <c r="F42" s="156">
        <f t="shared" ref="F42:P42" si="4">SUM(F40:F41)</f>
        <v>0</v>
      </c>
      <c r="G42" s="156">
        <f t="shared" si="4"/>
        <v>0</v>
      </c>
      <c r="H42" s="156">
        <f t="shared" si="4"/>
        <v>0</v>
      </c>
      <c r="I42" s="156">
        <f t="shared" si="4"/>
        <v>0</v>
      </c>
      <c r="J42" s="156">
        <f t="shared" si="4"/>
        <v>0</v>
      </c>
      <c r="K42" s="156">
        <f t="shared" si="4"/>
        <v>0</v>
      </c>
      <c r="L42" s="156">
        <f t="shared" si="4"/>
        <v>0</v>
      </c>
      <c r="M42" s="156">
        <f t="shared" si="4"/>
        <v>0</v>
      </c>
      <c r="N42" s="156">
        <f t="shared" si="4"/>
        <v>0</v>
      </c>
      <c r="O42" s="156">
        <f t="shared" si="4"/>
        <v>70</v>
      </c>
      <c r="P42" s="156">
        <f t="shared" si="4"/>
        <v>70</v>
      </c>
      <c r="Q42" s="157">
        <v>0.0</v>
      </c>
      <c r="R42" s="155"/>
      <c r="S42" s="15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t="45.0" customHeight="1">
      <c r="A43" s="159"/>
      <c r="B43" s="160"/>
      <c r="C43" s="161"/>
      <c r="D43" s="160"/>
      <c r="E43" s="160"/>
      <c r="F43" s="162">
        <f>F42+G42+H42+I42+J42+K42+L42+M42+N42+O42</f>
        <v>70</v>
      </c>
      <c r="G43" s="2"/>
      <c r="H43" s="2"/>
      <c r="I43" s="2"/>
      <c r="J43" s="2"/>
      <c r="K43" s="2"/>
      <c r="L43" s="2"/>
      <c r="M43" s="2"/>
      <c r="N43" s="2"/>
      <c r="O43" s="2"/>
      <c r="P43" s="163"/>
      <c r="Q43" s="163"/>
      <c r="R43" s="160"/>
      <c r="S43" s="164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 ht="45.0" customHeight="1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ht="45.0" customHeight="1">
      <c r="A45" s="165" t="s">
        <v>445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66" t="s">
        <v>1</v>
      </c>
      <c r="B46" s="167" t="s">
        <v>2</v>
      </c>
      <c r="C46" s="167" t="s">
        <v>3</v>
      </c>
      <c r="D46" s="167" t="s">
        <v>4</v>
      </c>
      <c r="E46" s="167" t="s">
        <v>5</v>
      </c>
      <c r="F46" s="168" t="s">
        <v>252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167" t="s">
        <v>7</v>
      </c>
      <c r="S46" s="167" t="s">
        <v>8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0"/>
      <c r="B47" s="11"/>
      <c r="C47" s="11"/>
      <c r="D47" s="11"/>
      <c r="E47" s="11"/>
      <c r="F47" s="169" t="s">
        <v>9</v>
      </c>
      <c r="G47" s="170" t="s">
        <v>10</v>
      </c>
      <c r="H47" s="9"/>
      <c r="I47" s="170" t="s">
        <v>11</v>
      </c>
      <c r="J47" s="9"/>
      <c r="K47" s="167" t="s">
        <v>12</v>
      </c>
      <c r="L47" s="171"/>
      <c r="M47" s="171"/>
      <c r="N47" s="171"/>
      <c r="O47" s="172" t="s">
        <v>677</v>
      </c>
      <c r="P47" s="167" t="s">
        <v>14</v>
      </c>
      <c r="Q47" s="167" t="s">
        <v>15</v>
      </c>
      <c r="R47" s="11"/>
      <c r="S47" s="1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14"/>
      <c r="B48" s="9"/>
      <c r="C48" s="9"/>
      <c r="D48" s="9"/>
      <c r="E48" s="9"/>
      <c r="F48" s="9"/>
      <c r="G48" s="173" t="s">
        <v>16</v>
      </c>
      <c r="H48" s="173" t="s">
        <v>17</v>
      </c>
      <c r="I48" s="173" t="s">
        <v>18</v>
      </c>
      <c r="J48" s="173" t="s">
        <v>19</v>
      </c>
      <c r="K48" s="9"/>
      <c r="L48" s="173" t="s">
        <v>20</v>
      </c>
      <c r="M48" s="173" t="s">
        <v>21</v>
      </c>
      <c r="N48" s="173" t="s">
        <v>22</v>
      </c>
      <c r="O48" s="9"/>
      <c r="P48" s="9"/>
      <c r="Q48" s="9"/>
      <c r="R48" s="9"/>
      <c r="S48" s="9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48.0" customHeight="1">
      <c r="A49" s="16">
        <v>1.0</v>
      </c>
      <c r="B49" s="32">
        <v>45671.0</v>
      </c>
      <c r="C49" s="33" t="s">
        <v>678</v>
      </c>
      <c r="D49" s="34">
        <v>50568.0</v>
      </c>
      <c r="E49" s="35" t="s">
        <v>639</v>
      </c>
      <c r="F49" s="30"/>
      <c r="G49" s="36"/>
      <c r="H49" s="36">
        <v>5000.0</v>
      </c>
      <c r="I49" s="30"/>
      <c r="J49" s="30"/>
      <c r="K49" s="37"/>
      <c r="L49" s="36"/>
      <c r="M49" s="36"/>
      <c r="N49" s="36"/>
      <c r="O49" s="36"/>
      <c r="P49" s="38">
        <v>5000.0</v>
      </c>
      <c r="Q49" s="25">
        <f t="shared" ref="Q49:Q50" si="6">F49+G49+H49+I49+J49+K49+L49+M49+N49+O49-P49</f>
        <v>0</v>
      </c>
      <c r="R49" s="38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58.5" customHeight="1">
      <c r="A50" s="174"/>
      <c r="B50" s="175"/>
      <c r="C50" s="176"/>
      <c r="D50" s="177" t="s">
        <v>115</v>
      </c>
      <c r="E50" s="178"/>
      <c r="F50" s="179">
        <f t="shared" ref="F50:P50" si="5">SUM(F49)</f>
        <v>0</v>
      </c>
      <c r="G50" s="179">
        <f t="shared" si="5"/>
        <v>0</v>
      </c>
      <c r="H50" s="179">
        <f t="shared" si="5"/>
        <v>5000</v>
      </c>
      <c r="I50" s="179">
        <f t="shared" si="5"/>
        <v>0</v>
      </c>
      <c r="J50" s="179">
        <f t="shared" si="5"/>
        <v>0</v>
      </c>
      <c r="K50" s="179">
        <f t="shared" si="5"/>
        <v>0</v>
      </c>
      <c r="L50" s="179">
        <f t="shared" si="5"/>
        <v>0</v>
      </c>
      <c r="M50" s="179">
        <f t="shared" si="5"/>
        <v>0</v>
      </c>
      <c r="N50" s="179">
        <f t="shared" si="5"/>
        <v>0</v>
      </c>
      <c r="O50" s="179">
        <f t="shared" si="5"/>
        <v>0</v>
      </c>
      <c r="P50" s="179">
        <f t="shared" si="5"/>
        <v>5000</v>
      </c>
      <c r="Q50" s="180">
        <f t="shared" si="6"/>
        <v>0</v>
      </c>
      <c r="R50" s="178"/>
      <c r="S50" s="18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58.5" customHeight="1">
      <c r="A51" s="182"/>
      <c r="B51" s="183"/>
      <c r="C51" s="184"/>
      <c r="D51" s="183"/>
      <c r="E51" s="183"/>
      <c r="F51" s="185">
        <f>F50+G50+H50+I50+J50+K50+L50+M50+N50+O50</f>
        <v>5000</v>
      </c>
      <c r="G51" s="2"/>
      <c r="H51" s="2"/>
      <c r="I51" s="2"/>
      <c r="J51" s="2"/>
      <c r="K51" s="2"/>
      <c r="L51" s="2"/>
      <c r="M51" s="2"/>
      <c r="N51" s="2"/>
      <c r="O51" s="2"/>
      <c r="P51" s="186"/>
      <c r="Q51" s="186"/>
      <c r="R51" s="183"/>
      <c r="S51" s="18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58.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/>
      <c r="B53" s="4"/>
      <c r="C53" s="51"/>
      <c r="D53" s="4"/>
      <c r="E53" s="188" t="s">
        <v>118</v>
      </c>
      <c r="F53" s="189" t="s">
        <v>170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4"/>
      <c r="B54" s="4"/>
      <c r="C54" s="51"/>
      <c r="D54" s="4"/>
      <c r="E54" s="188" t="s">
        <v>120</v>
      </c>
      <c r="F54" s="189" t="s">
        <v>119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"/>
      <c r="B55" s="4"/>
      <c r="C55" s="51"/>
      <c r="D55" s="4"/>
      <c r="E55" s="188" t="s">
        <v>121</v>
      </c>
      <c r="F55" s="189" t="s">
        <v>119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/>
      <c r="B56" s="4"/>
      <c r="C56" s="51"/>
      <c r="D56" s="4"/>
      <c r="E56" s="188" t="s">
        <v>122</v>
      </c>
      <c r="F56" s="189" t="s">
        <v>119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/>
      <c r="B57" s="4"/>
      <c r="C57" s="51"/>
      <c r="D57" s="4"/>
      <c r="E57" s="188" t="s">
        <v>679</v>
      </c>
      <c r="F57" s="189" t="s">
        <v>119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51"/>
      <c r="D58" s="4"/>
      <c r="E58" s="188" t="s">
        <v>124</v>
      </c>
      <c r="F58" s="189" t="s">
        <v>549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51"/>
      <c r="D59" s="4"/>
      <c r="E59" s="188" t="s">
        <v>126</v>
      </c>
      <c r="F59" s="189" t="s">
        <v>117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 t="s">
        <v>595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A46:A48"/>
    <mergeCell ref="B46:B48"/>
    <mergeCell ref="C46:C48"/>
    <mergeCell ref="D46:D48"/>
    <mergeCell ref="E46:E48"/>
    <mergeCell ref="F47:F48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R46:R48"/>
    <mergeCell ref="S46:S48"/>
    <mergeCell ref="P47:P48"/>
    <mergeCell ref="Q47:Q48"/>
    <mergeCell ref="F43:O43"/>
    <mergeCell ref="A45:S45"/>
    <mergeCell ref="F46:Q46"/>
    <mergeCell ref="G47:H47"/>
    <mergeCell ref="I47:J47"/>
    <mergeCell ref="K47:K48"/>
    <mergeCell ref="O47:O48"/>
    <mergeCell ref="F51:O51"/>
    <mergeCell ref="F37:Q37"/>
    <mergeCell ref="R37:R39"/>
    <mergeCell ref="F38:F39"/>
    <mergeCell ref="G38:H38"/>
    <mergeCell ref="I38:J38"/>
    <mergeCell ref="K38:K39"/>
    <mergeCell ref="O38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7.88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680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45671.0</v>
      </c>
      <c r="C6" s="18" t="s">
        <v>681</v>
      </c>
      <c r="D6" s="19">
        <v>10250.0</v>
      </c>
      <c r="E6" s="20" t="s">
        <v>148</v>
      </c>
      <c r="F6" s="22"/>
      <c r="G6" s="22"/>
      <c r="H6" s="22"/>
      <c r="I6" s="21">
        <v>19000.0</v>
      </c>
      <c r="J6" s="21"/>
      <c r="K6" s="22"/>
      <c r="L6" s="22"/>
      <c r="M6" s="21"/>
      <c r="N6" s="22"/>
      <c r="O6" s="22"/>
      <c r="P6" s="24">
        <v>19000.0</v>
      </c>
      <c r="Q6" s="25">
        <f t="shared" ref="Q6:Q31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45671.0</v>
      </c>
      <c r="C7" s="18" t="s">
        <v>682</v>
      </c>
      <c r="D7" s="19">
        <v>43112.0</v>
      </c>
      <c r="E7" s="20" t="s">
        <v>683</v>
      </c>
      <c r="F7" s="21"/>
      <c r="G7" s="22"/>
      <c r="H7" s="22"/>
      <c r="I7" s="30"/>
      <c r="J7" s="22">
        <v>2600.0</v>
      </c>
      <c r="K7" s="31"/>
      <c r="L7" s="22"/>
      <c r="M7" s="22"/>
      <c r="N7" s="22"/>
      <c r="O7" s="22"/>
      <c r="P7" s="24">
        <v>2600.0</v>
      </c>
      <c r="Q7" s="25">
        <f t="shared" si="1"/>
        <v>0</v>
      </c>
      <c r="R7" s="24" t="s">
        <v>512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45672.0</v>
      </c>
      <c r="C8" s="18" t="s">
        <v>684</v>
      </c>
      <c r="D8" s="19">
        <v>74492.0</v>
      </c>
      <c r="E8" s="20" t="s">
        <v>685</v>
      </c>
      <c r="F8" s="21"/>
      <c r="G8" s="22"/>
      <c r="H8" s="22"/>
      <c r="I8" s="21">
        <v>7100.0</v>
      </c>
      <c r="J8" s="22"/>
      <c r="K8" s="21"/>
      <c r="L8" s="22"/>
      <c r="M8" s="22"/>
      <c r="N8" s="22"/>
      <c r="O8" s="22"/>
      <c r="P8" s="24">
        <v>7100.0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45672.0</v>
      </c>
      <c r="C9" s="33" t="s">
        <v>686</v>
      </c>
      <c r="D9" s="34">
        <v>26831.0</v>
      </c>
      <c r="E9" s="35" t="s">
        <v>150</v>
      </c>
      <c r="F9" s="30"/>
      <c r="G9" s="36"/>
      <c r="H9" s="36"/>
      <c r="I9" s="30"/>
      <c r="J9" s="30">
        <v>1900.0</v>
      </c>
      <c r="K9" s="37"/>
      <c r="L9" s="36"/>
      <c r="M9" s="36"/>
      <c r="N9" s="36"/>
      <c r="O9" s="36"/>
      <c r="P9" s="38">
        <v>1900.0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45672.0</v>
      </c>
      <c r="C10" s="33" t="s">
        <v>687</v>
      </c>
      <c r="D10" s="34">
        <v>66219.0</v>
      </c>
      <c r="E10" s="35" t="s">
        <v>688</v>
      </c>
      <c r="F10" s="30"/>
      <c r="G10" s="36"/>
      <c r="H10" s="36"/>
      <c r="I10" s="30">
        <v>10000.0</v>
      </c>
      <c r="J10" s="30"/>
      <c r="K10" s="37"/>
      <c r="L10" s="36"/>
      <c r="M10" s="36"/>
      <c r="N10" s="36"/>
      <c r="O10" s="36"/>
      <c r="P10" s="38">
        <v>10000.0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45672.0</v>
      </c>
      <c r="C11" s="33" t="s">
        <v>689</v>
      </c>
      <c r="D11" s="34">
        <v>10250.0</v>
      </c>
      <c r="E11" s="35" t="s">
        <v>148</v>
      </c>
      <c r="F11" s="30"/>
      <c r="G11" s="36"/>
      <c r="H11" s="36"/>
      <c r="I11" s="30">
        <v>1000.0</v>
      </c>
      <c r="J11" s="30"/>
      <c r="K11" s="37"/>
      <c r="L11" s="36"/>
      <c r="M11" s="36"/>
      <c r="N11" s="36"/>
      <c r="O11" s="36"/>
      <c r="P11" s="38">
        <v>1000.0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45672.0</v>
      </c>
      <c r="C12" s="33" t="s">
        <v>690</v>
      </c>
      <c r="D12" s="34">
        <v>78454.0</v>
      </c>
      <c r="E12" s="35" t="s">
        <v>691</v>
      </c>
      <c r="F12" s="30"/>
      <c r="G12" s="36"/>
      <c r="H12" s="36"/>
      <c r="I12" s="30">
        <v>2600.0</v>
      </c>
      <c r="J12" s="30"/>
      <c r="K12" s="37"/>
      <c r="L12" s="36"/>
      <c r="M12" s="36"/>
      <c r="N12" s="36"/>
      <c r="O12" s="36"/>
      <c r="P12" s="38">
        <v>2600.0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45672.0</v>
      </c>
      <c r="C13" s="33" t="s">
        <v>692</v>
      </c>
      <c r="D13" s="34">
        <v>10744.0</v>
      </c>
      <c r="E13" s="35" t="s">
        <v>271</v>
      </c>
      <c r="F13" s="30"/>
      <c r="G13" s="36"/>
      <c r="H13" s="36"/>
      <c r="I13" s="30">
        <v>15000.0</v>
      </c>
      <c r="J13" s="30"/>
      <c r="K13" s="37"/>
      <c r="L13" s="36"/>
      <c r="M13" s="36"/>
      <c r="N13" s="36"/>
      <c r="O13" s="36"/>
      <c r="P13" s="38">
        <v>15000.0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45672.0</v>
      </c>
      <c r="C14" s="33" t="s">
        <v>693</v>
      </c>
      <c r="D14" s="34">
        <v>65868.0</v>
      </c>
      <c r="E14" s="35" t="s">
        <v>694</v>
      </c>
      <c r="F14" s="30"/>
      <c r="G14" s="36"/>
      <c r="H14" s="36"/>
      <c r="I14" s="30">
        <v>7100.0</v>
      </c>
      <c r="J14" s="30"/>
      <c r="K14" s="37"/>
      <c r="L14" s="36"/>
      <c r="M14" s="36"/>
      <c r="N14" s="36"/>
      <c r="O14" s="36"/>
      <c r="P14" s="38">
        <v>7100.0</v>
      </c>
      <c r="Q14" s="25">
        <f t="shared" si="1"/>
        <v>0</v>
      </c>
      <c r="R14" s="38" t="s">
        <v>28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45672.0</v>
      </c>
      <c r="C15" s="33" t="s">
        <v>695</v>
      </c>
      <c r="D15" s="34">
        <v>85963.0</v>
      </c>
      <c r="E15" s="35" t="s">
        <v>696</v>
      </c>
      <c r="F15" s="30"/>
      <c r="G15" s="36"/>
      <c r="H15" s="36"/>
      <c r="I15" s="30">
        <v>7300.0</v>
      </c>
      <c r="J15" s="30"/>
      <c r="K15" s="37"/>
      <c r="L15" s="36"/>
      <c r="M15" s="36"/>
      <c r="N15" s="36"/>
      <c r="O15" s="36"/>
      <c r="P15" s="38">
        <v>7300.0</v>
      </c>
      <c r="Q15" s="25">
        <f t="shared" si="1"/>
        <v>0</v>
      </c>
      <c r="R15" s="38" t="s">
        <v>28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45672.0</v>
      </c>
      <c r="C16" s="33" t="s">
        <v>697</v>
      </c>
      <c r="D16" s="34">
        <v>85963.0</v>
      </c>
      <c r="E16" s="35" t="s">
        <v>696</v>
      </c>
      <c r="F16" s="30"/>
      <c r="G16" s="36"/>
      <c r="H16" s="36"/>
      <c r="I16" s="30">
        <v>2500.0</v>
      </c>
      <c r="J16" s="30"/>
      <c r="K16" s="37"/>
      <c r="L16" s="36"/>
      <c r="M16" s="36"/>
      <c r="N16" s="36"/>
      <c r="O16" s="36"/>
      <c r="P16" s="38">
        <v>2500.0</v>
      </c>
      <c r="Q16" s="25">
        <f t="shared" si="1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45672.0</v>
      </c>
      <c r="C17" s="33" t="s">
        <v>698</v>
      </c>
      <c r="D17" s="34">
        <v>52585.0</v>
      </c>
      <c r="E17" s="35" t="s">
        <v>144</v>
      </c>
      <c r="F17" s="30"/>
      <c r="G17" s="36"/>
      <c r="H17" s="36"/>
      <c r="I17" s="30"/>
      <c r="J17" s="30">
        <v>2600.0</v>
      </c>
      <c r="K17" s="37"/>
      <c r="L17" s="36"/>
      <c r="M17" s="36"/>
      <c r="N17" s="36"/>
      <c r="O17" s="36"/>
      <c r="P17" s="38">
        <v>2600.0</v>
      </c>
      <c r="Q17" s="25">
        <f t="shared" si="1"/>
        <v>0</v>
      </c>
      <c r="R17" s="38" t="s">
        <v>31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45672.0</v>
      </c>
      <c r="C18" s="33" t="s">
        <v>699</v>
      </c>
      <c r="D18" s="34">
        <v>19688.0</v>
      </c>
      <c r="E18" s="35" t="s">
        <v>300</v>
      </c>
      <c r="F18" s="30"/>
      <c r="G18" s="36"/>
      <c r="H18" s="36"/>
      <c r="I18" s="30"/>
      <c r="J18" s="30">
        <v>7600.0</v>
      </c>
      <c r="K18" s="37"/>
      <c r="L18" s="36"/>
      <c r="M18" s="36"/>
      <c r="N18" s="36"/>
      <c r="O18" s="36"/>
      <c r="P18" s="38">
        <v>7600.0</v>
      </c>
      <c r="Q18" s="25">
        <f t="shared" si="1"/>
        <v>0</v>
      </c>
      <c r="R18" s="38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45672.0</v>
      </c>
      <c r="C19" s="33" t="s">
        <v>700</v>
      </c>
      <c r="D19" s="34">
        <v>51876.0</v>
      </c>
      <c r="E19" s="35" t="s">
        <v>180</v>
      </c>
      <c r="F19" s="30"/>
      <c r="G19" s="36"/>
      <c r="H19" s="36"/>
      <c r="I19" s="30">
        <v>8350.0</v>
      </c>
      <c r="J19" s="30"/>
      <c r="K19" s="37"/>
      <c r="L19" s="36"/>
      <c r="M19" s="36"/>
      <c r="N19" s="36"/>
      <c r="O19" s="36"/>
      <c r="P19" s="38">
        <v>8350.0</v>
      </c>
      <c r="Q19" s="25">
        <f t="shared" si="1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45672.0</v>
      </c>
      <c r="C20" s="33" t="s">
        <v>701</v>
      </c>
      <c r="D20" s="34">
        <v>47787.0</v>
      </c>
      <c r="E20" s="35" t="s">
        <v>158</v>
      </c>
      <c r="F20" s="30"/>
      <c r="G20" s="36"/>
      <c r="H20" s="36"/>
      <c r="I20" s="30">
        <v>6250.0</v>
      </c>
      <c r="J20" s="30"/>
      <c r="K20" s="37"/>
      <c r="L20" s="36"/>
      <c r="M20" s="36"/>
      <c r="N20" s="36"/>
      <c r="O20" s="36"/>
      <c r="P20" s="38">
        <v>6250.0</v>
      </c>
      <c r="Q20" s="25">
        <f t="shared" si="1"/>
        <v>0</v>
      </c>
      <c r="R20" s="38" t="s">
        <v>28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45672.0</v>
      </c>
      <c r="C21" s="33" t="s">
        <v>702</v>
      </c>
      <c r="D21" s="34">
        <v>50596.0</v>
      </c>
      <c r="E21" s="35" t="s">
        <v>514</v>
      </c>
      <c r="F21" s="30"/>
      <c r="G21" s="36"/>
      <c r="H21" s="36"/>
      <c r="I21" s="30">
        <v>5000.0</v>
      </c>
      <c r="J21" s="30"/>
      <c r="K21" s="37"/>
      <c r="L21" s="36"/>
      <c r="M21" s="36"/>
      <c r="N21" s="36"/>
      <c r="O21" s="36"/>
      <c r="P21" s="38">
        <v>5000.0</v>
      </c>
      <c r="Q21" s="25">
        <f t="shared" si="1"/>
        <v>0</v>
      </c>
      <c r="R21" s="38" t="s">
        <v>28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45672.0</v>
      </c>
      <c r="C22" s="33" t="s">
        <v>703</v>
      </c>
      <c r="D22" s="34">
        <v>22332.0</v>
      </c>
      <c r="E22" s="35" t="s">
        <v>350</v>
      </c>
      <c r="F22" s="30"/>
      <c r="G22" s="36"/>
      <c r="H22" s="36"/>
      <c r="I22" s="30"/>
      <c r="J22" s="30">
        <v>55000.0</v>
      </c>
      <c r="K22" s="37"/>
      <c r="L22" s="36"/>
      <c r="M22" s="36"/>
      <c r="N22" s="36"/>
      <c r="O22" s="36"/>
      <c r="P22" s="38">
        <v>55000.0</v>
      </c>
      <c r="Q22" s="25">
        <f t="shared" si="1"/>
        <v>0</v>
      </c>
      <c r="R22" s="38" t="s">
        <v>28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45672.0</v>
      </c>
      <c r="C23" s="33" t="s">
        <v>704</v>
      </c>
      <c r="D23" s="34">
        <v>19688.0</v>
      </c>
      <c r="E23" s="35" t="s">
        <v>300</v>
      </c>
      <c r="F23" s="30"/>
      <c r="G23" s="36"/>
      <c r="H23" s="36"/>
      <c r="I23" s="30"/>
      <c r="J23" s="30">
        <v>15000.0</v>
      </c>
      <c r="K23" s="37"/>
      <c r="L23" s="36"/>
      <c r="M23" s="36"/>
      <c r="N23" s="36"/>
      <c r="O23" s="36"/>
      <c r="P23" s="38">
        <v>15000.0</v>
      </c>
      <c r="Q23" s="25">
        <f t="shared" si="1"/>
        <v>0</v>
      </c>
      <c r="R23" s="38" t="s">
        <v>31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45672.0</v>
      </c>
      <c r="C24" s="33" t="s">
        <v>705</v>
      </c>
      <c r="D24" s="34">
        <v>75228.0</v>
      </c>
      <c r="E24" s="35" t="s">
        <v>706</v>
      </c>
      <c r="F24" s="30"/>
      <c r="G24" s="36"/>
      <c r="H24" s="36"/>
      <c r="I24" s="30"/>
      <c r="J24" s="30">
        <v>6450.0</v>
      </c>
      <c r="K24" s="37"/>
      <c r="L24" s="36"/>
      <c r="M24" s="36"/>
      <c r="N24" s="36"/>
      <c r="O24" s="36"/>
      <c r="P24" s="38">
        <v>6450.0</v>
      </c>
      <c r="Q24" s="25">
        <f t="shared" si="1"/>
        <v>0</v>
      </c>
      <c r="R24" s="38" t="s">
        <v>31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45672.0</v>
      </c>
      <c r="C25" s="33" t="s">
        <v>707</v>
      </c>
      <c r="D25" s="34">
        <v>64461.0</v>
      </c>
      <c r="E25" s="35" t="s">
        <v>708</v>
      </c>
      <c r="F25" s="30">
        <v>5000.0</v>
      </c>
      <c r="G25" s="36"/>
      <c r="H25" s="36"/>
      <c r="I25" s="30"/>
      <c r="J25" s="30"/>
      <c r="K25" s="37"/>
      <c r="L25" s="36"/>
      <c r="M25" s="36"/>
      <c r="N25" s="36"/>
      <c r="O25" s="36"/>
      <c r="P25" s="38">
        <v>5000.0</v>
      </c>
      <c r="Q25" s="25">
        <f t="shared" si="1"/>
        <v>0</v>
      </c>
      <c r="R25" s="38" t="s">
        <v>31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45672.0</v>
      </c>
      <c r="C26" s="33" t="s">
        <v>709</v>
      </c>
      <c r="D26" s="34">
        <v>64461.0</v>
      </c>
      <c r="E26" s="35" t="s">
        <v>708</v>
      </c>
      <c r="F26" s="30">
        <v>4500.0</v>
      </c>
      <c r="G26" s="36"/>
      <c r="H26" s="36"/>
      <c r="I26" s="30"/>
      <c r="J26" s="30"/>
      <c r="K26" s="37"/>
      <c r="L26" s="36"/>
      <c r="M26" s="36"/>
      <c r="N26" s="36"/>
      <c r="O26" s="36"/>
      <c r="P26" s="38">
        <v>4500.0</v>
      </c>
      <c r="Q26" s="25">
        <f t="shared" si="1"/>
        <v>0</v>
      </c>
      <c r="R26" s="38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45672.0</v>
      </c>
      <c r="C27" s="33" t="s">
        <v>710</v>
      </c>
      <c r="D27" s="34">
        <v>75565.0</v>
      </c>
      <c r="E27" s="35" t="s">
        <v>711</v>
      </c>
      <c r="F27" s="30"/>
      <c r="G27" s="36"/>
      <c r="H27" s="36"/>
      <c r="I27" s="30">
        <v>5100.0</v>
      </c>
      <c r="J27" s="30"/>
      <c r="K27" s="37"/>
      <c r="L27" s="36"/>
      <c r="M27" s="36"/>
      <c r="N27" s="36"/>
      <c r="O27" s="36"/>
      <c r="P27" s="38">
        <v>5100.0</v>
      </c>
      <c r="Q27" s="25">
        <f t="shared" si="1"/>
        <v>0</v>
      </c>
      <c r="R27" s="38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45672.0</v>
      </c>
      <c r="C28" s="33" t="s">
        <v>712</v>
      </c>
      <c r="D28" s="34">
        <v>67621.0</v>
      </c>
      <c r="E28" s="35" t="s">
        <v>56</v>
      </c>
      <c r="F28" s="30"/>
      <c r="G28" s="36"/>
      <c r="H28" s="36"/>
      <c r="I28" s="30"/>
      <c r="J28" s="30"/>
      <c r="K28" s="37">
        <v>5000.0</v>
      </c>
      <c r="L28" s="36"/>
      <c r="M28" s="36"/>
      <c r="N28" s="36"/>
      <c r="O28" s="36"/>
      <c r="P28" s="38">
        <v>5000.0</v>
      </c>
      <c r="Q28" s="25">
        <f t="shared" si="1"/>
        <v>0</v>
      </c>
      <c r="R28" s="38" t="s">
        <v>31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45672.0</v>
      </c>
      <c r="C29" s="33" t="s">
        <v>713</v>
      </c>
      <c r="D29" s="34">
        <v>68284.0</v>
      </c>
      <c r="E29" s="35" t="s">
        <v>714</v>
      </c>
      <c r="F29" s="30"/>
      <c r="G29" s="36"/>
      <c r="H29" s="36">
        <v>9300.0</v>
      </c>
      <c r="I29" s="30"/>
      <c r="J29" s="30"/>
      <c r="K29" s="37"/>
      <c r="L29" s="36"/>
      <c r="M29" s="36"/>
      <c r="N29" s="36"/>
      <c r="O29" s="36"/>
      <c r="P29" s="38">
        <v>9300.0</v>
      </c>
      <c r="Q29" s="25">
        <f t="shared" si="1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45672.0</v>
      </c>
      <c r="C30" s="33" t="s">
        <v>715</v>
      </c>
      <c r="D30" s="34">
        <v>35220.0</v>
      </c>
      <c r="E30" s="35" t="s">
        <v>716</v>
      </c>
      <c r="F30" s="30"/>
      <c r="G30" s="36"/>
      <c r="H30" s="36"/>
      <c r="I30" s="30"/>
      <c r="J30" s="30"/>
      <c r="K30" s="37">
        <v>2500.0</v>
      </c>
      <c r="L30" s="36"/>
      <c r="M30" s="36"/>
      <c r="N30" s="36"/>
      <c r="O30" s="36"/>
      <c r="P30" s="38">
        <v>2500.0</v>
      </c>
      <c r="Q30" s="25">
        <f t="shared" si="1"/>
        <v>0</v>
      </c>
      <c r="R30" s="38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45672.0</v>
      </c>
      <c r="C31" s="33" t="s">
        <v>717</v>
      </c>
      <c r="D31" s="34">
        <v>52083.0</v>
      </c>
      <c r="E31" s="35" t="s">
        <v>423</v>
      </c>
      <c r="F31" s="30"/>
      <c r="G31" s="36"/>
      <c r="H31" s="36">
        <v>10600.0</v>
      </c>
      <c r="I31" s="30"/>
      <c r="J31" s="30"/>
      <c r="K31" s="37"/>
      <c r="L31" s="36"/>
      <c r="M31" s="36"/>
      <c r="N31" s="36"/>
      <c r="O31" s="36"/>
      <c r="P31" s="38">
        <v>10600.0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27"/>
      <c r="B32" s="128"/>
      <c r="C32" s="129"/>
      <c r="D32" s="130"/>
      <c r="E32" s="131"/>
      <c r="F32" s="132">
        <f t="shared" ref="F32:Q32" si="2">SUM(F6:F31)</f>
        <v>9500</v>
      </c>
      <c r="G32" s="132">
        <f t="shared" si="2"/>
        <v>0</v>
      </c>
      <c r="H32" s="132">
        <f t="shared" si="2"/>
        <v>19900</v>
      </c>
      <c r="I32" s="132">
        <f t="shared" si="2"/>
        <v>96300</v>
      </c>
      <c r="J32" s="132">
        <f t="shared" si="2"/>
        <v>91150</v>
      </c>
      <c r="K32" s="132">
        <f t="shared" si="2"/>
        <v>7500</v>
      </c>
      <c r="L32" s="132">
        <f t="shared" si="2"/>
        <v>0</v>
      </c>
      <c r="M32" s="132">
        <f t="shared" si="2"/>
        <v>0</v>
      </c>
      <c r="N32" s="132">
        <f t="shared" si="2"/>
        <v>0</v>
      </c>
      <c r="O32" s="132">
        <f t="shared" si="2"/>
        <v>0</v>
      </c>
      <c r="P32" s="132">
        <f t="shared" si="2"/>
        <v>224350</v>
      </c>
      <c r="Q32" s="133">
        <f t="shared" si="2"/>
        <v>0</v>
      </c>
      <c r="R32" s="134"/>
      <c r="S32" s="135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</row>
    <row r="33" ht="45.0" customHeight="1">
      <c r="A33" s="136"/>
      <c r="B33" s="137"/>
      <c r="C33" s="138"/>
      <c r="D33" s="137"/>
      <c r="E33" s="137"/>
      <c r="F33" s="139">
        <f>F32+G32+H32+I32+J32+K32+L32+M32+N32+O32</f>
        <v>224350</v>
      </c>
      <c r="G33" s="2"/>
      <c r="H33" s="2"/>
      <c r="I33" s="2"/>
      <c r="J33" s="2"/>
      <c r="K33" s="2"/>
      <c r="L33" s="2"/>
      <c r="M33" s="2"/>
      <c r="N33" s="2"/>
      <c r="O33" s="2"/>
      <c r="P33" s="140"/>
      <c r="Q33" s="140"/>
      <c r="R33" s="137"/>
      <c r="S33" s="141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 ht="45.0" customHeight="1">
      <c r="A34" s="27"/>
      <c r="B34" s="27"/>
      <c r="C34" s="75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142" t="s">
        <v>437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45.0" customHeight="1">
      <c r="A36" s="143" t="s">
        <v>1</v>
      </c>
      <c r="B36" s="144" t="s">
        <v>2</v>
      </c>
      <c r="C36" s="144" t="s">
        <v>3</v>
      </c>
      <c r="D36" s="144" t="s">
        <v>4</v>
      </c>
      <c r="E36" s="144" t="s">
        <v>5</v>
      </c>
      <c r="F36" s="145" t="s">
        <v>371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144" t="s">
        <v>7</v>
      </c>
      <c r="S36" s="144" t="s">
        <v>8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45.0" customHeight="1">
      <c r="A37" s="10"/>
      <c r="B37" s="11"/>
      <c r="C37" s="11"/>
      <c r="D37" s="11"/>
      <c r="E37" s="11"/>
      <c r="F37" s="146" t="s">
        <v>9</v>
      </c>
      <c r="G37" s="147" t="s">
        <v>10</v>
      </c>
      <c r="H37" s="9"/>
      <c r="I37" s="147" t="s">
        <v>11</v>
      </c>
      <c r="J37" s="9"/>
      <c r="K37" s="144" t="s">
        <v>12</v>
      </c>
      <c r="L37" s="148"/>
      <c r="M37" s="148"/>
      <c r="N37" s="148"/>
      <c r="O37" s="149" t="s">
        <v>718</v>
      </c>
      <c r="P37" s="144" t="s">
        <v>14</v>
      </c>
      <c r="Q37" s="144" t="s">
        <v>15</v>
      </c>
      <c r="R37" s="11"/>
      <c r="S37" s="11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t="45.0" customHeight="1">
      <c r="A38" s="14"/>
      <c r="B38" s="9"/>
      <c r="C38" s="9"/>
      <c r="D38" s="9"/>
      <c r="E38" s="9"/>
      <c r="F38" s="9"/>
      <c r="G38" s="150" t="s">
        <v>16</v>
      </c>
      <c r="H38" s="150" t="s">
        <v>17</v>
      </c>
      <c r="I38" s="150" t="s">
        <v>18</v>
      </c>
      <c r="J38" s="150" t="s">
        <v>19</v>
      </c>
      <c r="K38" s="9"/>
      <c r="L38" s="150" t="s">
        <v>20</v>
      </c>
      <c r="M38" s="150" t="s">
        <v>21</v>
      </c>
      <c r="N38" s="150" t="s">
        <v>22</v>
      </c>
      <c r="O38" s="9"/>
      <c r="P38" s="9"/>
      <c r="Q38" s="9"/>
      <c r="R38" s="9"/>
      <c r="S38" s="9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t="45.0" customHeight="1">
      <c r="A39" s="16">
        <v>1.0</v>
      </c>
      <c r="B39" s="32">
        <v>45672.0</v>
      </c>
      <c r="C39" s="33" t="s">
        <v>719</v>
      </c>
      <c r="D39" s="34">
        <v>26040.0</v>
      </c>
      <c r="E39" s="35" t="s">
        <v>720</v>
      </c>
      <c r="F39" s="22"/>
      <c r="G39" s="22"/>
      <c r="H39" s="22"/>
      <c r="I39" s="23"/>
      <c r="J39" s="23"/>
      <c r="K39" s="22"/>
      <c r="L39" s="22"/>
      <c r="M39" s="22"/>
      <c r="N39" s="22"/>
      <c r="O39" s="36">
        <v>35.0</v>
      </c>
      <c r="P39" s="36">
        <v>35.0</v>
      </c>
      <c r="Q39" s="25">
        <v>0.0</v>
      </c>
      <c r="R39" s="38"/>
      <c r="S39" s="26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ht="45.0" customHeight="1">
      <c r="A40" s="16"/>
      <c r="B40" s="32"/>
      <c r="C40" s="33"/>
      <c r="D40" s="34"/>
      <c r="E40" s="35"/>
      <c r="F40" s="30"/>
      <c r="G40" s="36"/>
      <c r="H40" s="36"/>
      <c r="I40" s="30"/>
      <c r="J40" s="30"/>
      <c r="K40" s="37"/>
      <c r="L40" s="36"/>
      <c r="M40" s="36"/>
      <c r="N40" s="36"/>
      <c r="O40" s="36"/>
      <c r="P40" s="36"/>
      <c r="Q40" s="25">
        <v>0.0</v>
      </c>
      <c r="R40" s="38"/>
      <c r="S40" s="26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ht="45.0" customHeight="1">
      <c r="A41" s="151"/>
      <c r="B41" s="152"/>
      <c r="C41" s="153"/>
      <c r="D41" s="154" t="s">
        <v>115</v>
      </c>
      <c r="E41" s="155"/>
      <c r="F41" s="156">
        <f t="shared" ref="F41:P41" si="3">SUM(F39:F40)</f>
        <v>0</v>
      </c>
      <c r="G41" s="156">
        <f t="shared" si="3"/>
        <v>0</v>
      </c>
      <c r="H41" s="156">
        <f t="shared" si="3"/>
        <v>0</v>
      </c>
      <c r="I41" s="156">
        <f t="shared" si="3"/>
        <v>0</v>
      </c>
      <c r="J41" s="156">
        <f t="shared" si="3"/>
        <v>0</v>
      </c>
      <c r="K41" s="156">
        <f t="shared" si="3"/>
        <v>0</v>
      </c>
      <c r="L41" s="156">
        <f t="shared" si="3"/>
        <v>0</v>
      </c>
      <c r="M41" s="156">
        <f t="shared" si="3"/>
        <v>0</v>
      </c>
      <c r="N41" s="156">
        <f t="shared" si="3"/>
        <v>0</v>
      </c>
      <c r="O41" s="156">
        <f t="shared" si="3"/>
        <v>35</v>
      </c>
      <c r="P41" s="156">
        <f t="shared" si="3"/>
        <v>35</v>
      </c>
      <c r="Q41" s="157">
        <v>0.0</v>
      </c>
      <c r="R41" s="155"/>
      <c r="S41" s="15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ht="45.0" customHeight="1">
      <c r="A42" s="159"/>
      <c r="B42" s="160"/>
      <c r="C42" s="161"/>
      <c r="D42" s="160"/>
      <c r="E42" s="160"/>
      <c r="F42" s="162">
        <f>F41+G41+H41+I41+J41+K41+L41+M41+N41+O41</f>
        <v>35</v>
      </c>
      <c r="G42" s="2"/>
      <c r="H42" s="2"/>
      <c r="I42" s="2"/>
      <c r="J42" s="2"/>
      <c r="K42" s="2"/>
      <c r="L42" s="2"/>
      <c r="M42" s="2"/>
      <c r="N42" s="2"/>
      <c r="O42" s="2"/>
      <c r="P42" s="163"/>
      <c r="Q42" s="163"/>
      <c r="R42" s="160"/>
      <c r="S42" s="164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t="45.0" customHeight="1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 ht="45.0" customHeight="1">
      <c r="A44" s="165" t="s">
        <v>445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166" t="s">
        <v>1</v>
      </c>
      <c r="B45" s="167" t="s">
        <v>2</v>
      </c>
      <c r="C45" s="167" t="s">
        <v>3</v>
      </c>
      <c r="D45" s="167" t="s">
        <v>4</v>
      </c>
      <c r="E45" s="167" t="s">
        <v>5</v>
      </c>
      <c r="F45" s="168" t="s">
        <v>252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R45" s="167" t="s">
        <v>7</v>
      </c>
      <c r="S45" s="167" t="s">
        <v>8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0"/>
      <c r="B46" s="11"/>
      <c r="C46" s="11"/>
      <c r="D46" s="11"/>
      <c r="E46" s="11"/>
      <c r="F46" s="169" t="s">
        <v>9</v>
      </c>
      <c r="G46" s="170" t="s">
        <v>10</v>
      </c>
      <c r="H46" s="9"/>
      <c r="I46" s="170" t="s">
        <v>11</v>
      </c>
      <c r="J46" s="9"/>
      <c r="K46" s="167" t="s">
        <v>12</v>
      </c>
      <c r="L46" s="171"/>
      <c r="M46" s="171"/>
      <c r="N46" s="171"/>
      <c r="O46" s="172" t="s">
        <v>721</v>
      </c>
      <c r="P46" s="167" t="s">
        <v>14</v>
      </c>
      <c r="Q46" s="167" t="s">
        <v>15</v>
      </c>
      <c r="R46" s="11"/>
      <c r="S46" s="1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4"/>
      <c r="B47" s="9"/>
      <c r="C47" s="9"/>
      <c r="D47" s="9"/>
      <c r="E47" s="9"/>
      <c r="F47" s="9"/>
      <c r="G47" s="173" t="s">
        <v>16</v>
      </c>
      <c r="H47" s="173" t="s">
        <v>17</v>
      </c>
      <c r="I47" s="173" t="s">
        <v>18</v>
      </c>
      <c r="J47" s="173" t="s">
        <v>19</v>
      </c>
      <c r="K47" s="9"/>
      <c r="L47" s="173" t="s">
        <v>20</v>
      </c>
      <c r="M47" s="173" t="s">
        <v>21</v>
      </c>
      <c r="N47" s="173" t="s">
        <v>22</v>
      </c>
      <c r="O47" s="9"/>
      <c r="P47" s="9"/>
      <c r="Q47" s="9"/>
      <c r="R47" s="9"/>
      <c r="S47" s="9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48.0" customHeight="1">
      <c r="A48" s="16">
        <v>1.0</v>
      </c>
      <c r="B48" s="32">
        <v>45672.0</v>
      </c>
      <c r="C48" s="33" t="s">
        <v>722</v>
      </c>
      <c r="D48" s="34">
        <v>18886.0</v>
      </c>
      <c r="E48" s="35" t="s">
        <v>723</v>
      </c>
      <c r="F48" s="30"/>
      <c r="G48" s="36"/>
      <c r="H48" s="36"/>
      <c r="I48" s="30"/>
      <c r="J48" s="30"/>
      <c r="K48" s="37"/>
      <c r="L48" s="36">
        <v>5700.0</v>
      </c>
      <c r="M48" s="36"/>
      <c r="N48" s="36"/>
      <c r="O48" s="36"/>
      <c r="P48" s="38">
        <v>5700.0</v>
      </c>
      <c r="Q48" s="25">
        <f t="shared" ref="Q48:Q53" si="4">F48+G48+H48+I48+J48+K48+L48+M48+N48+O48-P48</f>
        <v>0</v>
      </c>
      <c r="R48" s="38" t="s">
        <v>28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48.0" customHeight="1">
      <c r="A49" s="16">
        <v>2.0</v>
      </c>
      <c r="B49" s="32">
        <v>45672.0</v>
      </c>
      <c r="C49" s="33" t="s">
        <v>724</v>
      </c>
      <c r="D49" s="34">
        <v>21384.0</v>
      </c>
      <c r="E49" s="35" t="s">
        <v>725</v>
      </c>
      <c r="F49" s="30"/>
      <c r="G49" s="36"/>
      <c r="H49" s="36"/>
      <c r="I49" s="30"/>
      <c r="J49" s="30"/>
      <c r="K49" s="37"/>
      <c r="L49" s="36">
        <v>5700.0</v>
      </c>
      <c r="M49" s="36"/>
      <c r="N49" s="36"/>
      <c r="O49" s="36"/>
      <c r="P49" s="38">
        <v>5700.0</v>
      </c>
      <c r="Q49" s="25">
        <f t="shared" si="4"/>
        <v>0</v>
      </c>
      <c r="R49" s="38" t="s">
        <v>28</v>
      </c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48.0" customHeight="1">
      <c r="A50" s="16">
        <v>3.0</v>
      </c>
      <c r="B50" s="32">
        <v>45672.0</v>
      </c>
      <c r="C50" s="33" t="s">
        <v>726</v>
      </c>
      <c r="D50" s="34">
        <v>18886.0</v>
      </c>
      <c r="E50" s="35" t="s">
        <v>723</v>
      </c>
      <c r="F50" s="30"/>
      <c r="G50" s="36"/>
      <c r="H50" s="36"/>
      <c r="I50" s="30"/>
      <c r="J50" s="30">
        <v>50.0</v>
      </c>
      <c r="K50" s="37"/>
      <c r="L50" s="36"/>
      <c r="M50" s="36"/>
      <c r="N50" s="36"/>
      <c r="O50" s="36"/>
      <c r="P50" s="38">
        <v>50.0</v>
      </c>
      <c r="Q50" s="25">
        <f t="shared" si="4"/>
        <v>0</v>
      </c>
      <c r="R50" s="38" t="s">
        <v>28</v>
      </c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48.0" customHeight="1">
      <c r="A51" s="16">
        <v>4.0</v>
      </c>
      <c r="B51" s="32">
        <v>45672.0</v>
      </c>
      <c r="C51" s="33" t="s">
        <v>727</v>
      </c>
      <c r="D51" s="34">
        <v>18886.0</v>
      </c>
      <c r="E51" s="35" t="s">
        <v>723</v>
      </c>
      <c r="F51" s="30"/>
      <c r="G51" s="36"/>
      <c r="H51" s="36"/>
      <c r="I51" s="30"/>
      <c r="J51" s="30">
        <v>10.0</v>
      </c>
      <c r="K51" s="37"/>
      <c r="L51" s="36"/>
      <c r="M51" s="36"/>
      <c r="N51" s="36"/>
      <c r="O51" s="36"/>
      <c r="P51" s="38">
        <v>10.0</v>
      </c>
      <c r="Q51" s="25">
        <f t="shared" si="4"/>
        <v>0</v>
      </c>
      <c r="R51" s="38" t="s">
        <v>28</v>
      </c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48.0" customHeight="1">
      <c r="A52" s="16">
        <v>5.0</v>
      </c>
      <c r="B52" s="32">
        <v>45672.0</v>
      </c>
      <c r="C52" s="33" t="s">
        <v>728</v>
      </c>
      <c r="D52" s="34">
        <v>67621.0</v>
      </c>
      <c r="E52" s="35" t="s">
        <v>56</v>
      </c>
      <c r="F52" s="30"/>
      <c r="G52" s="36"/>
      <c r="H52" s="36">
        <v>5000.0</v>
      </c>
      <c r="I52" s="30"/>
      <c r="J52" s="30"/>
      <c r="K52" s="37"/>
      <c r="L52" s="36"/>
      <c r="M52" s="36"/>
      <c r="N52" s="36"/>
      <c r="O52" s="36"/>
      <c r="P52" s="38">
        <v>5000.0</v>
      </c>
      <c r="Q52" s="25">
        <f t="shared" si="4"/>
        <v>0</v>
      </c>
      <c r="R52" s="38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58.5" customHeight="1">
      <c r="A53" s="174"/>
      <c r="B53" s="175"/>
      <c r="C53" s="176"/>
      <c r="D53" s="177" t="s">
        <v>115</v>
      </c>
      <c r="E53" s="178"/>
      <c r="F53" s="179">
        <f t="shared" ref="F53:G53" si="5">SUM(F48:F51)</f>
        <v>0</v>
      </c>
      <c r="G53" s="179">
        <f t="shared" si="5"/>
        <v>0</v>
      </c>
      <c r="H53" s="179">
        <f>SUM(H48:H52)</f>
        <v>5000</v>
      </c>
      <c r="I53" s="179">
        <f t="shared" ref="I53:O53" si="6">SUM(I48:I51)</f>
        <v>0</v>
      </c>
      <c r="J53" s="179">
        <f t="shared" si="6"/>
        <v>60</v>
      </c>
      <c r="K53" s="179">
        <f t="shared" si="6"/>
        <v>0</v>
      </c>
      <c r="L53" s="179">
        <f t="shared" si="6"/>
        <v>11400</v>
      </c>
      <c r="M53" s="179">
        <f t="shared" si="6"/>
        <v>0</v>
      </c>
      <c r="N53" s="179">
        <f t="shared" si="6"/>
        <v>0</v>
      </c>
      <c r="O53" s="179">
        <f t="shared" si="6"/>
        <v>0</v>
      </c>
      <c r="P53" s="179">
        <f>SUM(P48:P52)</f>
        <v>16460</v>
      </c>
      <c r="Q53" s="180">
        <f t="shared" si="4"/>
        <v>0</v>
      </c>
      <c r="R53" s="178"/>
      <c r="S53" s="18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58.5" customHeight="1">
      <c r="A54" s="182"/>
      <c r="B54" s="183"/>
      <c r="C54" s="184"/>
      <c r="D54" s="183"/>
      <c r="E54" s="183"/>
      <c r="F54" s="185">
        <f>F53+G53+H53+I53+J53+K53+L53+M53+N53+O53</f>
        <v>16460</v>
      </c>
      <c r="G54" s="2"/>
      <c r="H54" s="2"/>
      <c r="I54" s="2"/>
      <c r="J54" s="2"/>
      <c r="K54" s="2"/>
      <c r="L54" s="2"/>
      <c r="M54" s="2"/>
      <c r="N54" s="2"/>
      <c r="O54" s="2"/>
      <c r="P54" s="186"/>
      <c r="Q54" s="186"/>
      <c r="R54" s="183"/>
      <c r="S54" s="18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58.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/>
      <c r="B56" s="4"/>
      <c r="C56" s="51"/>
      <c r="D56" s="4"/>
      <c r="E56" s="188" t="s">
        <v>118</v>
      </c>
      <c r="F56" s="189" t="s">
        <v>119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/>
      <c r="B57" s="4"/>
      <c r="C57" s="51"/>
      <c r="D57" s="4"/>
      <c r="E57" s="188" t="s">
        <v>120</v>
      </c>
      <c r="F57" s="189" t="s">
        <v>119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51"/>
      <c r="D58" s="4"/>
      <c r="E58" s="188" t="s">
        <v>121</v>
      </c>
      <c r="F58" s="189" t="s">
        <v>119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51"/>
      <c r="D59" s="4"/>
      <c r="E59" s="188" t="s">
        <v>122</v>
      </c>
      <c r="F59" s="189" t="s">
        <v>119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51"/>
      <c r="D60" s="4"/>
      <c r="E60" s="188" t="s">
        <v>729</v>
      </c>
      <c r="F60" s="189" t="s">
        <v>119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51"/>
      <c r="D61" s="4"/>
      <c r="E61" s="188" t="s">
        <v>124</v>
      </c>
      <c r="F61" s="189" t="s">
        <v>549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51"/>
      <c r="D62" s="4"/>
      <c r="E62" s="188" t="s">
        <v>126</v>
      </c>
      <c r="F62" s="189" t="s">
        <v>117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 t="s">
        <v>595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A45:A47"/>
    <mergeCell ref="B45:B47"/>
    <mergeCell ref="C45:C47"/>
    <mergeCell ref="D45:D47"/>
    <mergeCell ref="E45:E47"/>
    <mergeCell ref="F46:F47"/>
    <mergeCell ref="P4:P5"/>
    <mergeCell ref="Q4:Q5"/>
    <mergeCell ref="F33:O33"/>
    <mergeCell ref="A35:S35"/>
    <mergeCell ref="A36:A38"/>
    <mergeCell ref="B36:B38"/>
    <mergeCell ref="C36:C38"/>
    <mergeCell ref="S36:S38"/>
    <mergeCell ref="P37:P38"/>
    <mergeCell ref="Q37:Q38"/>
    <mergeCell ref="R45:R47"/>
    <mergeCell ref="S45:S47"/>
    <mergeCell ref="P46:P47"/>
    <mergeCell ref="Q46:Q47"/>
    <mergeCell ref="F42:O42"/>
    <mergeCell ref="A44:S44"/>
    <mergeCell ref="F45:Q45"/>
    <mergeCell ref="G46:H46"/>
    <mergeCell ref="I46:J46"/>
    <mergeCell ref="K46:K47"/>
    <mergeCell ref="O46:O47"/>
    <mergeCell ref="F54:O54"/>
    <mergeCell ref="F36:Q36"/>
    <mergeCell ref="R36:R38"/>
    <mergeCell ref="F37:F38"/>
    <mergeCell ref="G37:H37"/>
    <mergeCell ref="I37:J37"/>
    <mergeCell ref="K37:K38"/>
    <mergeCell ref="O37:O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7.88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5.13"/>
    <col customWidth="1" min="18" max="18" width="19.63"/>
    <col customWidth="1" min="19" max="19" width="24.5"/>
  </cols>
  <sheetData>
    <row r="1" ht="82.5" customHeight="1">
      <c r="A1" s="125" t="s">
        <v>730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32">
        <v>45672.0</v>
      </c>
      <c r="C6" s="33" t="s">
        <v>731</v>
      </c>
      <c r="D6" s="34">
        <v>85970.0</v>
      </c>
      <c r="E6" s="35" t="s">
        <v>732</v>
      </c>
      <c r="F6" s="30"/>
      <c r="G6" s="36"/>
      <c r="H6" s="36"/>
      <c r="I6" s="30"/>
      <c r="J6" s="30">
        <v>300.0</v>
      </c>
      <c r="K6" s="37"/>
      <c r="L6" s="36"/>
      <c r="M6" s="36"/>
      <c r="N6" s="36"/>
      <c r="O6" s="36"/>
      <c r="P6" s="38">
        <v>300.0</v>
      </c>
      <c r="Q6" s="25">
        <f t="shared" ref="Q6:Q26" si="1">F6+G6+H6+I6+J6+K6+L6+M6+N6+O6-P6</f>
        <v>0</v>
      </c>
      <c r="R6" s="38" t="s">
        <v>512</v>
      </c>
      <c r="S6" s="2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 ht="45.0" customHeight="1">
      <c r="A7" s="16">
        <v>2.0</v>
      </c>
      <c r="B7" s="32">
        <v>45673.0</v>
      </c>
      <c r="C7" s="33" t="s">
        <v>733</v>
      </c>
      <c r="D7" s="34">
        <v>30894.0</v>
      </c>
      <c r="E7" s="35" t="s">
        <v>91</v>
      </c>
      <c r="F7" s="30"/>
      <c r="G7" s="36"/>
      <c r="H7" s="36"/>
      <c r="I7" s="30">
        <v>4600.0</v>
      </c>
      <c r="J7" s="30"/>
      <c r="K7" s="37"/>
      <c r="L7" s="36"/>
      <c r="M7" s="36"/>
      <c r="N7" s="36"/>
      <c r="O7" s="36"/>
      <c r="P7" s="38">
        <v>4600.0</v>
      </c>
      <c r="Q7" s="25">
        <f t="shared" si="1"/>
        <v>0</v>
      </c>
      <c r="R7" s="38" t="s">
        <v>28</v>
      </c>
      <c r="S7" s="26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</row>
    <row r="8" ht="45.0" customHeight="1">
      <c r="A8" s="16">
        <v>3.0</v>
      </c>
      <c r="B8" s="32">
        <v>45673.0</v>
      </c>
      <c r="C8" s="33" t="s">
        <v>734</v>
      </c>
      <c r="D8" s="34">
        <v>10753.0</v>
      </c>
      <c r="E8" s="35" t="s">
        <v>735</v>
      </c>
      <c r="F8" s="30">
        <v>290.0</v>
      </c>
      <c r="G8" s="36"/>
      <c r="H8" s="36"/>
      <c r="I8" s="30"/>
      <c r="J8" s="30"/>
      <c r="K8" s="37"/>
      <c r="L8" s="36"/>
      <c r="M8" s="36"/>
      <c r="N8" s="36"/>
      <c r="O8" s="36"/>
      <c r="P8" s="38">
        <v>290.0</v>
      </c>
      <c r="Q8" s="25">
        <f t="shared" si="1"/>
        <v>0</v>
      </c>
      <c r="R8" s="38" t="s">
        <v>28</v>
      </c>
      <c r="S8" s="26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ht="45.0" customHeight="1">
      <c r="A9" s="16">
        <v>4.0</v>
      </c>
      <c r="B9" s="32">
        <v>45673.0</v>
      </c>
      <c r="C9" s="33" t="s">
        <v>736</v>
      </c>
      <c r="D9" s="34">
        <v>26831.0</v>
      </c>
      <c r="E9" s="35" t="s">
        <v>150</v>
      </c>
      <c r="F9" s="30"/>
      <c r="G9" s="36"/>
      <c r="H9" s="36"/>
      <c r="I9" s="30"/>
      <c r="J9" s="30">
        <v>3500.0</v>
      </c>
      <c r="K9" s="37"/>
      <c r="L9" s="36"/>
      <c r="M9" s="36"/>
      <c r="N9" s="36"/>
      <c r="O9" s="36"/>
      <c r="P9" s="38">
        <v>3500.0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45673.0</v>
      </c>
      <c r="C10" s="33" t="s">
        <v>737</v>
      </c>
      <c r="D10" s="34">
        <v>51309.0</v>
      </c>
      <c r="E10" s="35" t="s">
        <v>200</v>
      </c>
      <c r="F10" s="30"/>
      <c r="G10" s="36"/>
      <c r="H10" s="36"/>
      <c r="I10" s="30">
        <v>5100.0</v>
      </c>
      <c r="J10" s="30"/>
      <c r="K10" s="37"/>
      <c r="L10" s="36"/>
      <c r="M10" s="36"/>
      <c r="N10" s="36"/>
      <c r="O10" s="36"/>
      <c r="P10" s="38">
        <v>5100.0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45673.0</v>
      </c>
      <c r="C11" s="33" t="s">
        <v>738</v>
      </c>
      <c r="D11" s="34">
        <v>50136.0</v>
      </c>
      <c r="E11" s="35" t="s">
        <v>739</v>
      </c>
      <c r="F11" s="30"/>
      <c r="G11" s="36"/>
      <c r="H11" s="36"/>
      <c r="I11" s="30"/>
      <c r="J11" s="30">
        <v>5100.0</v>
      </c>
      <c r="K11" s="37"/>
      <c r="L11" s="36"/>
      <c r="M11" s="36"/>
      <c r="N11" s="36"/>
      <c r="O11" s="36"/>
      <c r="P11" s="38">
        <v>5100.0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45673.0</v>
      </c>
      <c r="C12" s="33" t="s">
        <v>740</v>
      </c>
      <c r="D12" s="34">
        <v>60151.0</v>
      </c>
      <c r="E12" s="35" t="s">
        <v>741</v>
      </c>
      <c r="F12" s="30"/>
      <c r="G12" s="36"/>
      <c r="H12" s="36"/>
      <c r="I12" s="30">
        <v>2600.0</v>
      </c>
      <c r="J12" s="30"/>
      <c r="K12" s="37"/>
      <c r="L12" s="36"/>
      <c r="M12" s="36"/>
      <c r="N12" s="36"/>
      <c r="O12" s="36"/>
      <c r="P12" s="38">
        <v>2600.0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45673.0</v>
      </c>
      <c r="C13" s="33" t="s">
        <v>742</v>
      </c>
      <c r="D13" s="34">
        <v>32700.0</v>
      </c>
      <c r="E13" s="35" t="s">
        <v>152</v>
      </c>
      <c r="F13" s="30"/>
      <c r="G13" s="36"/>
      <c r="H13" s="36"/>
      <c r="I13" s="30"/>
      <c r="J13" s="30">
        <v>5000.0</v>
      </c>
      <c r="K13" s="37"/>
      <c r="L13" s="36"/>
      <c r="M13" s="36"/>
      <c r="N13" s="36"/>
      <c r="O13" s="36"/>
      <c r="P13" s="38">
        <v>5000.0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45673.0</v>
      </c>
      <c r="C14" s="33" t="s">
        <v>743</v>
      </c>
      <c r="D14" s="34">
        <v>32700.0</v>
      </c>
      <c r="E14" s="35" t="s">
        <v>152</v>
      </c>
      <c r="F14" s="30"/>
      <c r="G14" s="36"/>
      <c r="H14" s="36"/>
      <c r="I14" s="30"/>
      <c r="J14" s="30">
        <v>5000.0</v>
      </c>
      <c r="K14" s="37"/>
      <c r="L14" s="36"/>
      <c r="M14" s="36"/>
      <c r="N14" s="36"/>
      <c r="O14" s="36"/>
      <c r="P14" s="38">
        <v>5000.0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45673.0</v>
      </c>
      <c r="C15" s="33" t="s">
        <v>744</v>
      </c>
      <c r="D15" s="34">
        <v>53093.0</v>
      </c>
      <c r="E15" s="35" t="s">
        <v>745</v>
      </c>
      <c r="F15" s="30"/>
      <c r="G15" s="36"/>
      <c r="H15" s="36"/>
      <c r="I15" s="30">
        <v>5100.0</v>
      </c>
      <c r="J15" s="30"/>
      <c r="K15" s="37"/>
      <c r="L15" s="36"/>
      <c r="M15" s="36"/>
      <c r="N15" s="36"/>
      <c r="O15" s="36"/>
      <c r="P15" s="38">
        <v>5100.0</v>
      </c>
      <c r="Q15" s="25">
        <f t="shared" si="1"/>
        <v>0</v>
      </c>
      <c r="R15" s="38" t="s">
        <v>512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45673.0</v>
      </c>
      <c r="C16" s="33" t="s">
        <v>746</v>
      </c>
      <c r="D16" s="34">
        <v>63735.0</v>
      </c>
      <c r="E16" s="35" t="s">
        <v>747</v>
      </c>
      <c r="F16" s="30"/>
      <c r="G16" s="36"/>
      <c r="H16" s="36"/>
      <c r="I16" s="30">
        <v>7600.0</v>
      </c>
      <c r="J16" s="30"/>
      <c r="K16" s="37"/>
      <c r="L16" s="36"/>
      <c r="M16" s="36"/>
      <c r="N16" s="36"/>
      <c r="O16" s="36"/>
      <c r="P16" s="38">
        <v>7600.0</v>
      </c>
      <c r="Q16" s="25">
        <f t="shared" si="1"/>
        <v>0</v>
      </c>
      <c r="R16" s="38" t="s">
        <v>31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45673.0</v>
      </c>
      <c r="C17" s="33" t="s">
        <v>748</v>
      </c>
      <c r="D17" s="34">
        <v>53249.0</v>
      </c>
      <c r="E17" s="35" t="s">
        <v>269</v>
      </c>
      <c r="F17" s="30"/>
      <c r="G17" s="36"/>
      <c r="H17" s="36"/>
      <c r="I17" s="30"/>
      <c r="J17" s="30">
        <v>16100.0</v>
      </c>
      <c r="K17" s="37"/>
      <c r="L17" s="36"/>
      <c r="M17" s="36"/>
      <c r="N17" s="36"/>
      <c r="O17" s="36"/>
      <c r="P17" s="38">
        <v>16100.0</v>
      </c>
      <c r="Q17" s="25">
        <f t="shared" si="1"/>
        <v>0</v>
      </c>
      <c r="R17" s="38" t="s">
        <v>512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45673.0</v>
      </c>
      <c r="C18" s="33" t="s">
        <v>749</v>
      </c>
      <c r="D18" s="34">
        <v>69659.0</v>
      </c>
      <c r="E18" s="35" t="s">
        <v>307</v>
      </c>
      <c r="F18" s="30"/>
      <c r="G18" s="36"/>
      <c r="H18" s="36"/>
      <c r="I18" s="30">
        <v>2250.0</v>
      </c>
      <c r="J18" s="30"/>
      <c r="K18" s="37"/>
      <c r="L18" s="36"/>
      <c r="M18" s="36"/>
      <c r="N18" s="36"/>
      <c r="O18" s="36"/>
      <c r="P18" s="38">
        <v>2250.0</v>
      </c>
      <c r="Q18" s="25">
        <f t="shared" si="1"/>
        <v>0</v>
      </c>
      <c r="R18" s="38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45673.0</v>
      </c>
      <c r="C19" s="33" t="s">
        <v>750</v>
      </c>
      <c r="D19" s="34">
        <v>85974.0</v>
      </c>
      <c r="E19" s="35" t="s">
        <v>751</v>
      </c>
      <c r="F19" s="30"/>
      <c r="G19" s="36"/>
      <c r="H19" s="36"/>
      <c r="I19" s="30"/>
      <c r="J19" s="30">
        <v>300.0</v>
      </c>
      <c r="K19" s="37"/>
      <c r="L19" s="36"/>
      <c r="M19" s="36"/>
      <c r="N19" s="36"/>
      <c r="O19" s="36"/>
      <c r="P19" s="38">
        <v>300.0</v>
      </c>
      <c r="Q19" s="25">
        <f t="shared" si="1"/>
        <v>0</v>
      </c>
      <c r="R19" s="38" t="s">
        <v>512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45673.0</v>
      </c>
      <c r="C20" s="33" t="s">
        <v>752</v>
      </c>
      <c r="D20" s="34">
        <v>57499.0</v>
      </c>
      <c r="E20" s="35" t="s">
        <v>50</v>
      </c>
      <c r="F20" s="30"/>
      <c r="G20" s="36"/>
      <c r="H20" s="36"/>
      <c r="I20" s="30"/>
      <c r="J20" s="30">
        <v>1000.0</v>
      </c>
      <c r="K20" s="37"/>
      <c r="L20" s="36"/>
      <c r="M20" s="36"/>
      <c r="N20" s="36"/>
      <c r="O20" s="36"/>
      <c r="P20" s="38">
        <v>1000.0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45673.0</v>
      </c>
      <c r="C21" s="33" t="s">
        <v>753</v>
      </c>
      <c r="D21" s="34">
        <v>21821.0</v>
      </c>
      <c r="E21" s="35" t="s">
        <v>473</v>
      </c>
      <c r="F21" s="30"/>
      <c r="G21" s="36"/>
      <c r="H21" s="36"/>
      <c r="I21" s="30"/>
      <c r="J21" s="30"/>
      <c r="K21" s="37">
        <v>250000.0</v>
      </c>
      <c r="L21" s="36"/>
      <c r="M21" s="36"/>
      <c r="N21" s="36"/>
      <c r="O21" s="36"/>
      <c r="P21" s="38">
        <v>250000.0</v>
      </c>
      <c r="Q21" s="25">
        <f t="shared" si="1"/>
        <v>0</v>
      </c>
      <c r="R21" s="38" t="s">
        <v>28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45673.0</v>
      </c>
      <c r="C22" s="33" t="s">
        <v>754</v>
      </c>
      <c r="D22" s="34">
        <v>83997.0</v>
      </c>
      <c r="E22" s="35" t="s">
        <v>626</v>
      </c>
      <c r="F22" s="30"/>
      <c r="G22" s="36"/>
      <c r="H22" s="36"/>
      <c r="I22" s="30"/>
      <c r="J22" s="30"/>
      <c r="K22" s="37">
        <v>22500.0</v>
      </c>
      <c r="L22" s="36"/>
      <c r="M22" s="36"/>
      <c r="N22" s="36"/>
      <c r="O22" s="36"/>
      <c r="P22" s="38">
        <v>22500.0</v>
      </c>
      <c r="Q22" s="25">
        <f t="shared" si="1"/>
        <v>0</v>
      </c>
      <c r="R22" s="38" t="s">
        <v>28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45673.0</v>
      </c>
      <c r="C23" s="33" t="s">
        <v>755</v>
      </c>
      <c r="D23" s="34">
        <v>48387.0</v>
      </c>
      <c r="E23" s="35" t="s">
        <v>238</v>
      </c>
      <c r="F23" s="30"/>
      <c r="G23" s="36"/>
      <c r="H23" s="36"/>
      <c r="I23" s="30">
        <v>10580.0</v>
      </c>
      <c r="J23" s="30"/>
      <c r="K23" s="37"/>
      <c r="L23" s="36"/>
      <c r="M23" s="36"/>
      <c r="N23" s="36"/>
      <c r="O23" s="36"/>
      <c r="P23" s="38">
        <v>10580.0</v>
      </c>
      <c r="Q23" s="25">
        <f t="shared" si="1"/>
        <v>0</v>
      </c>
      <c r="R23" s="38" t="s">
        <v>31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45672.0</v>
      </c>
      <c r="C24" s="33" t="s">
        <v>756</v>
      </c>
      <c r="D24" s="34">
        <v>51017.0</v>
      </c>
      <c r="E24" s="35" t="s">
        <v>167</v>
      </c>
      <c r="F24" s="30"/>
      <c r="G24" s="36"/>
      <c r="H24" s="36">
        <v>10000.0</v>
      </c>
      <c r="I24" s="30"/>
      <c r="J24" s="30"/>
      <c r="K24" s="37"/>
      <c r="L24" s="36"/>
      <c r="M24" s="36"/>
      <c r="N24" s="36"/>
      <c r="O24" s="36"/>
      <c r="P24" s="38">
        <v>10000.0</v>
      </c>
      <c r="Q24" s="25">
        <f t="shared" si="1"/>
        <v>0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45673.0</v>
      </c>
      <c r="C25" s="33" t="s">
        <v>757</v>
      </c>
      <c r="D25" s="34">
        <v>72839.0</v>
      </c>
      <c r="E25" s="35" t="s">
        <v>364</v>
      </c>
      <c r="F25" s="30"/>
      <c r="G25" s="36"/>
      <c r="H25" s="36">
        <v>35000.0</v>
      </c>
      <c r="I25" s="30"/>
      <c r="J25" s="30"/>
      <c r="K25" s="37"/>
      <c r="L25" s="36"/>
      <c r="M25" s="36"/>
      <c r="N25" s="36"/>
      <c r="O25" s="36"/>
      <c r="P25" s="38">
        <v>35000.0</v>
      </c>
      <c r="Q25" s="25">
        <f t="shared" si="1"/>
        <v>0</v>
      </c>
      <c r="R25" s="38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45673.0</v>
      </c>
      <c r="C26" s="33" t="s">
        <v>758</v>
      </c>
      <c r="D26" s="34">
        <v>50595.0</v>
      </c>
      <c r="E26" s="35" t="s">
        <v>759</v>
      </c>
      <c r="F26" s="30"/>
      <c r="G26" s="36"/>
      <c r="H26" s="36">
        <v>15200.0</v>
      </c>
      <c r="I26" s="30"/>
      <c r="J26" s="30"/>
      <c r="K26" s="37"/>
      <c r="L26" s="36"/>
      <c r="M26" s="36"/>
      <c r="N26" s="36"/>
      <c r="O26" s="36"/>
      <c r="P26" s="38">
        <v>15200.0</v>
      </c>
      <c r="Q26" s="25">
        <f t="shared" si="1"/>
        <v>0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27"/>
      <c r="B27" s="128"/>
      <c r="C27" s="129"/>
      <c r="D27" s="130"/>
      <c r="E27" s="131"/>
      <c r="F27" s="132">
        <f t="shared" ref="F27:Q27" si="2">SUM(F6:F26)</f>
        <v>290</v>
      </c>
      <c r="G27" s="132">
        <f t="shared" si="2"/>
        <v>0</v>
      </c>
      <c r="H27" s="132">
        <f t="shared" si="2"/>
        <v>60200</v>
      </c>
      <c r="I27" s="132">
        <f t="shared" si="2"/>
        <v>37830</v>
      </c>
      <c r="J27" s="132">
        <f t="shared" si="2"/>
        <v>36300</v>
      </c>
      <c r="K27" s="132">
        <f t="shared" si="2"/>
        <v>272500</v>
      </c>
      <c r="L27" s="132">
        <f t="shared" si="2"/>
        <v>0</v>
      </c>
      <c r="M27" s="132">
        <f t="shared" si="2"/>
        <v>0</v>
      </c>
      <c r="N27" s="132">
        <f t="shared" si="2"/>
        <v>0</v>
      </c>
      <c r="O27" s="132">
        <f t="shared" si="2"/>
        <v>0</v>
      </c>
      <c r="P27" s="132">
        <f t="shared" si="2"/>
        <v>407120</v>
      </c>
      <c r="Q27" s="132">
        <f t="shared" si="2"/>
        <v>0</v>
      </c>
      <c r="R27" s="134"/>
      <c r="S27" s="135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</row>
    <row r="28" ht="45.0" customHeight="1">
      <c r="A28" s="136"/>
      <c r="B28" s="137"/>
      <c r="C28" s="138"/>
      <c r="D28" s="137"/>
      <c r="E28" s="137"/>
      <c r="F28" s="139">
        <f>F27+G27+H27+I27+J27+K27+L27+M27+N27+O27</f>
        <v>407120</v>
      </c>
      <c r="G28" s="2"/>
      <c r="H28" s="2"/>
      <c r="I28" s="2"/>
      <c r="J28" s="2"/>
      <c r="K28" s="2"/>
      <c r="L28" s="2"/>
      <c r="M28" s="2"/>
      <c r="N28" s="2"/>
      <c r="O28" s="2"/>
      <c r="P28" s="140"/>
      <c r="Q28" s="140"/>
      <c r="R28" s="137"/>
      <c r="S28" s="141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45.0" customHeight="1">
      <c r="A29" s="27"/>
      <c r="B29" s="27"/>
      <c r="C29" s="75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45.0" customHeight="1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45.0" customHeight="1">
      <c r="A31" s="165" t="s">
        <v>445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66" t="s">
        <v>1</v>
      </c>
      <c r="B32" s="167" t="s">
        <v>2</v>
      </c>
      <c r="C32" s="167" t="s">
        <v>3</v>
      </c>
      <c r="D32" s="167" t="s">
        <v>4</v>
      </c>
      <c r="E32" s="167" t="s">
        <v>5</v>
      </c>
      <c r="F32" s="168" t="s">
        <v>252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67" t="s">
        <v>7</v>
      </c>
      <c r="S32" s="167" t="s">
        <v>8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10"/>
      <c r="B33" s="11"/>
      <c r="C33" s="11"/>
      <c r="D33" s="11"/>
      <c r="E33" s="11"/>
      <c r="F33" s="169" t="s">
        <v>9</v>
      </c>
      <c r="G33" s="170" t="s">
        <v>10</v>
      </c>
      <c r="H33" s="9"/>
      <c r="I33" s="170" t="s">
        <v>11</v>
      </c>
      <c r="J33" s="9"/>
      <c r="K33" s="167" t="s">
        <v>12</v>
      </c>
      <c r="L33" s="171"/>
      <c r="M33" s="171"/>
      <c r="N33" s="171"/>
      <c r="O33" s="172" t="s">
        <v>760</v>
      </c>
      <c r="P33" s="167" t="s">
        <v>14</v>
      </c>
      <c r="Q33" s="167" t="s">
        <v>15</v>
      </c>
      <c r="R33" s="11"/>
      <c r="S33" s="1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4"/>
      <c r="B34" s="9"/>
      <c r="C34" s="9"/>
      <c r="D34" s="9"/>
      <c r="E34" s="9"/>
      <c r="F34" s="9"/>
      <c r="G34" s="173" t="s">
        <v>16</v>
      </c>
      <c r="H34" s="173" t="s">
        <v>17</v>
      </c>
      <c r="I34" s="173" t="s">
        <v>18</v>
      </c>
      <c r="J34" s="173" t="s">
        <v>19</v>
      </c>
      <c r="K34" s="9"/>
      <c r="L34" s="173" t="s">
        <v>20</v>
      </c>
      <c r="M34" s="173" t="s">
        <v>21</v>
      </c>
      <c r="N34" s="173" t="s">
        <v>22</v>
      </c>
      <c r="O34" s="9"/>
      <c r="P34" s="9"/>
      <c r="Q34" s="9"/>
      <c r="R34" s="9"/>
      <c r="S34" s="9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48.0" customHeight="1">
      <c r="A35" s="16">
        <v>1.0</v>
      </c>
      <c r="B35" s="32">
        <v>45673.0</v>
      </c>
      <c r="C35" s="33" t="s">
        <v>761</v>
      </c>
      <c r="D35" s="34">
        <v>21821.0</v>
      </c>
      <c r="E35" s="35" t="s">
        <v>473</v>
      </c>
      <c r="F35" s="30"/>
      <c r="G35" s="36"/>
      <c r="H35" s="36">
        <v>50000.0</v>
      </c>
      <c r="I35" s="30"/>
      <c r="J35" s="30"/>
      <c r="K35" s="37"/>
      <c r="L35" s="36"/>
      <c r="M35" s="36"/>
      <c r="N35" s="36"/>
      <c r="O35" s="36"/>
      <c r="P35" s="38">
        <v>50000.0</v>
      </c>
      <c r="Q35" s="25">
        <f t="shared" ref="Q35:Q40" si="3">F35+G35+H35+I35+J35+K35+L35+M35+N35+O35-P35</f>
        <v>0</v>
      </c>
      <c r="R35" s="38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48.0" customHeight="1">
      <c r="A36" s="16">
        <v>2.0</v>
      </c>
      <c r="B36" s="32">
        <v>45673.0</v>
      </c>
      <c r="C36" s="33" t="s">
        <v>762</v>
      </c>
      <c r="D36" s="34">
        <v>21821.0</v>
      </c>
      <c r="E36" s="35" t="s">
        <v>473</v>
      </c>
      <c r="F36" s="30"/>
      <c r="G36" s="36"/>
      <c r="H36" s="36">
        <v>200000.0</v>
      </c>
      <c r="I36" s="30"/>
      <c r="J36" s="30"/>
      <c r="K36" s="37"/>
      <c r="L36" s="36"/>
      <c r="M36" s="36"/>
      <c r="N36" s="36"/>
      <c r="O36" s="36"/>
      <c r="P36" s="38">
        <v>200000.0</v>
      </c>
      <c r="Q36" s="25">
        <f t="shared" si="3"/>
        <v>0</v>
      </c>
      <c r="R36" s="38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48.0" customHeight="1">
      <c r="A37" s="16">
        <v>3.0</v>
      </c>
      <c r="B37" s="32">
        <v>45673.0</v>
      </c>
      <c r="C37" s="33" t="s">
        <v>763</v>
      </c>
      <c r="D37" s="34">
        <v>78211.0</v>
      </c>
      <c r="E37" s="35" t="s">
        <v>764</v>
      </c>
      <c r="F37" s="30"/>
      <c r="G37" s="36"/>
      <c r="H37" s="36"/>
      <c r="I37" s="30"/>
      <c r="J37" s="30"/>
      <c r="K37" s="37"/>
      <c r="L37" s="36"/>
      <c r="M37" s="36">
        <v>100.0</v>
      </c>
      <c r="N37" s="36"/>
      <c r="O37" s="36"/>
      <c r="P37" s="38">
        <v>100.0</v>
      </c>
      <c r="Q37" s="25">
        <f t="shared" si="3"/>
        <v>0</v>
      </c>
      <c r="R37" s="38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48.0" customHeight="1">
      <c r="A38" s="16">
        <v>4.0</v>
      </c>
      <c r="B38" s="32">
        <v>45673.0</v>
      </c>
      <c r="C38" s="33" t="s">
        <v>765</v>
      </c>
      <c r="D38" s="34">
        <v>21821.0</v>
      </c>
      <c r="E38" s="35" t="s">
        <v>473</v>
      </c>
      <c r="F38" s="30"/>
      <c r="G38" s="36"/>
      <c r="H38" s="36"/>
      <c r="I38" s="30"/>
      <c r="J38" s="30"/>
      <c r="K38" s="37"/>
      <c r="L38" s="36">
        <v>11400.0</v>
      </c>
      <c r="M38" s="36"/>
      <c r="N38" s="36"/>
      <c r="O38" s="36"/>
      <c r="P38" s="38">
        <v>11400.0</v>
      </c>
      <c r="Q38" s="25">
        <f t="shared" si="3"/>
        <v>0</v>
      </c>
      <c r="R38" s="38" t="s">
        <v>28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48.0" customHeight="1">
      <c r="A39" s="16">
        <v>5.0</v>
      </c>
      <c r="B39" s="32">
        <v>45673.0</v>
      </c>
      <c r="C39" s="33" t="s">
        <v>766</v>
      </c>
      <c r="D39" s="34">
        <v>13762.0</v>
      </c>
      <c r="E39" s="35" t="s">
        <v>421</v>
      </c>
      <c r="F39" s="30"/>
      <c r="G39" s="36"/>
      <c r="H39" s="36"/>
      <c r="I39" s="30"/>
      <c r="J39" s="30"/>
      <c r="K39" s="37"/>
      <c r="L39" s="36">
        <v>5700.0</v>
      </c>
      <c r="M39" s="36"/>
      <c r="N39" s="36"/>
      <c r="O39" s="36"/>
      <c r="P39" s="38">
        <v>5700.0</v>
      </c>
      <c r="Q39" s="25">
        <f t="shared" si="3"/>
        <v>0</v>
      </c>
      <c r="R39" s="38" t="s">
        <v>28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58.5" customHeight="1">
      <c r="A40" s="174"/>
      <c r="B40" s="175"/>
      <c r="C40" s="176"/>
      <c r="D40" s="177" t="s">
        <v>115</v>
      </c>
      <c r="E40" s="178"/>
      <c r="F40" s="179">
        <f t="shared" ref="F40:K40" si="4">SUM(F35:F38)</f>
        <v>0</v>
      </c>
      <c r="G40" s="179">
        <f t="shared" si="4"/>
        <v>0</v>
      </c>
      <c r="H40" s="179">
        <f t="shared" si="4"/>
        <v>250000</v>
      </c>
      <c r="I40" s="179">
        <f t="shared" si="4"/>
        <v>0</v>
      </c>
      <c r="J40" s="179">
        <f t="shared" si="4"/>
        <v>0</v>
      </c>
      <c r="K40" s="179">
        <f t="shared" si="4"/>
        <v>0</v>
      </c>
      <c r="L40" s="179">
        <f>SUM(L35:L39)</f>
        <v>17100</v>
      </c>
      <c r="M40" s="179">
        <f t="shared" ref="M40:O40" si="5">SUM(M35:M38)</f>
        <v>100</v>
      </c>
      <c r="N40" s="179">
        <f t="shared" si="5"/>
        <v>0</v>
      </c>
      <c r="O40" s="179">
        <f t="shared" si="5"/>
        <v>0</v>
      </c>
      <c r="P40" s="179">
        <f>SUM(P35:P39)</f>
        <v>267200</v>
      </c>
      <c r="Q40" s="180">
        <f t="shared" si="3"/>
        <v>0</v>
      </c>
      <c r="R40" s="178"/>
      <c r="S40" s="18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58.5" customHeight="1">
      <c r="A41" s="182"/>
      <c r="B41" s="183"/>
      <c r="C41" s="184"/>
      <c r="D41" s="183"/>
      <c r="E41" s="183"/>
      <c r="F41" s="185">
        <f>F40+G40+H40+I40+J40+K40+L40+M40+N40+O40</f>
        <v>267200</v>
      </c>
      <c r="G41" s="2"/>
      <c r="H41" s="2"/>
      <c r="I41" s="2"/>
      <c r="J41" s="2"/>
      <c r="K41" s="2"/>
      <c r="L41" s="2"/>
      <c r="M41" s="2"/>
      <c r="N41" s="2"/>
      <c r="O41" s="2"/>
      <c r="P41" s="186"/>
      <c r="Q41" s="186"/>
      <c r="R41" s="183"/>
      <c r="S41" s="18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58.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118</v>
      </c>
      <c r="F43" s="189" t="s">
        <v>170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120</v>
      </c>
      <c r="F44" s="189" t="s">
        <v>119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121</v>
      </c>
      <c r="F45" s="189" t="s">
        <v>119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122</v>
      </c>
      <c r="F46" s="189" t="s">
        <v>172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767</v>
      </c>
      <c r="F47" s="189" t="s">
        <v>119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51"/>
      <c r="D48" s="4"/>
      <c r="E48" s="188" t="s">
        <v>124</v>
      </c>
      <c r="F48" s="189" t="s">
        <v>549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188" t="s">
        <v>126</v>
      </c>
      <c r="F49" s="189" t="s">
        <v>117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 t="s">
        <v>595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8:O28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F41:O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7.88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768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45673.0</v>
      </c>
      <c r="C6" s="18" t="s">
        <v>769</v>
      </c>
      <c r="D6" s="19">
        <v>67621.0</v>
      </c>
      <c r="E6" s="20" t="s">
        <v>56</v>
      </c>
      <c r="F6" s="22"/>
      <c r="G6" s="22"/>
      <c r="H6" s="22"/>
      <c r="I6" s="21">
        <v>32500.0</v>
      </c>
      <c r="J6" s="21"/>
      <c r="K6" s="22"/>
      <c r="L6" s="22"/>
      <c r="M6" s="21"/>
      <c r="N6" s="22"/>
      <c r="O6" s="22"/>
      <c r="P6" s="24">
        <v>32500.0</v>
      </c>
      <c r="Q6" s="25">
        <f t="shared" ref="Q6:Q19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45674.0</v>
      </c>
      <c r="C7" s="18" t="s">
        <v>770</v>
      </c>
      <c r="D7" s="19">
        <v>51848.0</v>
      </c>
      <c r="E7" s="20" t="s">
        <v>771</v>
      </c>
      <c r="F7" s="21"/>
      <c r="G7" s="22"/>
      <c r="H7" s="22"/>
      <c r="I7" s="30"/>
      <c r="J7" s="22">
        <v>5100.0</v>
      </c>
      <c r="K7" s="31"/>
      <c r="L7" s="22"/>
      <c r="M7" s="22"/>
      <c r="N7" s="22"/>
      <c r="O7" s="22"/>
      <c r="P7" s="24">
        <v>5100.0</v>
      </c>
      <c r="Q7" s="25">
        <f t="shared" si="1"/>
        <v>0</v>
      </c>
      <c r="R7" s="24" t="s">
        <v>512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45674.0</v>
      </c>
      <c r="C8" s="18" t="s">
        <v>772</v>
      </c>
      <c r="D8" s="19">
        <v>85978.0</v>
      </c>
      <c r="E8" s="20" t="s">
        <v>773</v>
      </c>
      <c r="F8" s="21"/>
      <c r="G8" s="22"/>
      <c r="H8" s="22"/>
      <c r="I8" s="21"/>
      <c r="J8" s="22">
        <v>300.0</v>
      </c>
      <c r="K8" s="21"/>
      <c r="L8" s="22"/>
      <c r="M8" s="22"/>
      <c r="N8" s="22"/>
      <c r="O8" s="22"/>
      <c r="P8" s="24">
        <v>300.0</v>
      </c>
      <c r="Q8" s="25">
        <f t="shared" si="1"/>
        <v>0</v>
      </c>
      <c r="R8" s="24" t="s">
        <v>512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45674.0</v>
      </c>
      <c r="C9" s="33" t="s">
        <v>774</v>
      </c>
      <c r="D9" s="34">
        <v>68463.0</v>
      </c>
      <c r="E9" s="35" t="s">
        <v>775</v>
      </c>
      <c r="F9" s="30"/>
      <c r="G9" s="36"/>
      <c r="H9" s="36"/>
      <c r="I9" s="30">
        <v>15000.0</v>
      </c>
      <c r="J9" s="30"/>
      <c r="K9" s="37"/>
      <c r="L9" s="36"/>
      <c r="M9" s="36"/>
      <c r="N9" s="36"/>
      <c r="O9" s="36"/>
      <c r="P9" s="38">
        <v>15000.0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45674.0</v>
      </c>
      <c r="C10" s="33" t="s">
        <v>776</v>
      </c>
      <c r="D10" s="34">
        <v>48657.0</v>
      </c>
      <c r="E10" s="35" t="s">
        <v>60</v>
      </c>
      <c r="F10" s="30"/>
      <c r="G10" s="36"/>
      <c r="H10" s="36"/>
      <c r="I10" s="30">
        <v>10000.0</v>
      </c>
      <c r="J10" s="30"/>
      <c r="K10" s="37"/>
      <c r="L10" s="36"/>
      <c r="M10" s="36"/>
      <c r="N10" s="36"/>
      <c r="O10" s="36"/>
      <c r="P10" s="38">
        <v>10000.0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45674.0</v>
      </c>
      <c r="C11" s="33" t="s">
        <v>777</v>
      </c>
      <c r="D11" s="34">
        <v>22978.0</v>
      </c>
      <c r="E11" s="35" t="s">
        <v>778</v>
      </c>
      <c r="F11" s="30"/>
      <c r="G11" s="36"/>
      <c r="H11" s="36"/>
      <c r="I11" s="30">
        <v>4600.0</v>
      </c>
      <c r="J11" s="30"/>
      <c r="K11" s="37"/>
      <c r="L11" s="36"/>
      <c r="M11" s="36"/>
      <c r="N11" s="36"/>
      <c r="O11" s="36"/>
      <c r="P11" s="38">
        <v>4600.0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45674.0</v>
      </c>
      <c r="C12" s="33" t="s">
        <v>779</v>
      </c>
      <c r="D12" s="34">
        <v>50436.0</v>
      </c>
      <c r="E12" s="35" t="s">
        <v>154</v>
      </c>
      <c r="F12" s="30"/>
      <c r="G12" s="36"/>
      <c r="H12" s="36"/>
      <c r="I12" s="30">
        <v>10000.0</v>
      </c>
      <c r="J12" s="30"/>
      <c r="K12" s="37"/>
      <c r="L12" s="36"/>
      <c r="M12" s="36"/>
      <c r="N12" s="36"/>
      <c r="O12" s="36"/>
      <c r="P12" s="38">
        <v>10000.0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45674.0</v>
      </c>
      <c r="C13" s="33" t="s">
        <v>780</v>
      </c>
      <c r="D13" s="34">
        <v>35245.0</v>
      </c>
      <c r="E13" s="35" t="s">
        <v>106</v>
      </c>
      <c r="F13" s="30">
        <v>3000.0</v>
      </c>
      <c r="G13" s="36"/>
      <c r="H13" s="36"/>
      <c r="I13" s="30"/>
      <c r="J13" s="30"/>
      <c r="K13" s="37"/>
      <c r="L13" s="36"/>
      <c r="M13" s="36"/>
      <c r="N13" s="36"/>
      <c r="O13" s="36"/>
      <c r="P13" s="38">
        <v>3000.0</v>
      </c>
      <c r="Q13" s="25">
        <f t="shared" si="1"/>
        <v>0</v>
      </c>
      <c r="R13" s="38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45674.0</v>
      </c>
      <c r="C14" s="33" t="s">
        <v>781</v>
      </c>
      <c r="D14" s="34">
        <v>54226.0</v>
      </c>
      <c r="E14" s="35" t="s">
        <v>782</v>
      </c>
      <c r="F14" s="30"/>
      <c r="G14" s="36"/>
      <c r="H14" s="36"/>
      <c r="I14" s="30">
        <v>2500.0</v>
      </c>
      <c r="J14" s="30">
        <v>10000.0</v>
      </c>
      <c r="K14" s="37"/>
      <c r="L14" s="36"/>
      <c r="M14" s="36"/>
      <c r="N14" s="36"/>
      <c r="O14" s="36"/>
      <c r="P14" s="38">
        <v>12500.0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45674.0</v>
      </c>
      <c r="C15" s="33" t="s">
        <v>783</v>
      </c>
      <c r="D15" s="34">
        <v>52083.0</v>
      </c>
      <c r="E15" s="35" t="s">
        <v>423</v>
      </c>
      <c r="F15" s="30"/>
      <c r="G15" s="36"/>
      <c r="H15" s="36"/>
      <c r="I15" s="30">
        <v>700.0</v>
      </c>
      <c r="J15" s="30"/>
      <c r="K15" s="37"/>
      <c r="L15" s="36"/>
      <c r="M15" s="36"/>
      <c r="N15" s="36"/>
      <c r="O15" s="36"/>
      <c r="P15" s="38">
        <v>700.0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45674.0</v>
      </c>
      <c r="C16" s="33" t="s">
        <v>784</v>
      </c>
      <c r="D16" s="34">
        <v>78256.0</v>
      </c>
      <c r="E16" s="35" t="s">
        <v>785</v>
      </c>
      <c r="F16" s="30"/>
      <c r="G16" s="36"/>
      <c r="H16" s="36"/>
      <c r="I16" s="30">
        <v>4500.0</v>
      </c>
      <c r="J16" s="30"/>
      <c r="K16" s="37"/>
      <c r="L16" s="36"/>
      <c r="M16" s="36"/>
      <c r="N16" s="36"/>
      <c r="O16" s="36"/>
      <c r="P16" s="38">
        <v>4500.0</v>
      </c>
      <c r="Q16" s="25">
        <f t="shared" si="1"/>
        <v>0</v>
      </c>
      <c r="R16" s="38" t="s">
        <v>31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45673.0</v>
      </c>
      <c r="C17" s="33" t="s">
        <v>786</v>
      </c>
      <c r="D17" s="34">
        <v>51017.0</v>
      </c>
      <c r="E17" s="35" t="s">
        <v>167</v>
      </c>
      <c r="F17" s="30"/>
      <c r="G17" s="36"/>
      <c r="H17" s="36">
        <v>10000.0</v>
      </c>
      <c r="I17" s="30"/>
      <c r="J17" s="30"/>
      <c r="K17" s="37"/>
      <c r="L17" s="36"/>
      <c r="M17" s="36"/>
      <c r="N17" s="36"/>
      <c r="O17" s="36"/>
      <c r="P17" s="38">
        <v>10000.0</v>
      </c>
      <c r="Q17" s="25">
        <f t="shared" si="1"/>
        <v>0</v>
      </c>
      <c r="R17" s="38"/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45674.0</v>
      </c>
      <c r="C18" s="33" t="s">
        <v>787</v>
      </c>
      <c r="D18" s="34">
        <v>25650.0</v>
      </c>
      <c r="E18" s="35" t="s">
        <v>788</v>
      </c>
      <c r="F18" s="30"/>
      <c r="G18" s="36"/>
      <c r="H18" s="36"/>
      <c r="I18" s="30"/>
      <c r="J18" s="30"/>
      <c r="K18" s="37"/>
      <c r="L18" s="36"/>
      <c r="M18" s="36">
        <v>15000.0</v>
      </c>
      <c r="N18" s="36"/>
      <c r="O18" s="36"/>
      <c r="P18" s="38">
        <v>15000.0</v>
      </c>
      <c r="Q18" s="25">
        <f t="shared" si="1"/>
        <v>0</v>
      </c>
      <c r="R18" s="38"/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45674.0</v>
      </c>
      <c r="C19" s="33" t="s">
        <v>789</v>
      </c>
      <c r="D19" s="34">
        <v>21821.0</v>
      </c>
      <c r="E19" s="35" t="s">
        <v>473</v>
      </c>
      <c r="F19" s="30"/>
      <c r="G19" s="36"/>
      <c r="H19" s="36">
        <v>4500.0</v>
      </c>
      <c r="I19" s="30"/>
      <c r="J19" s="30"/>
      <c r="K19" s="37"/>
      <c r="L19" s="36"/>
      <c r="M19" s="36"/>
      <c r="N19" s="36"/>
      <c r="O19" s="36"/>
      <c r="P19" s="38">
        <v>4500.0</v>
      </c>
      <c r="Q19" s="25">
        <f t="shared" si="1"/>
        <v>0</v>
      </c>
      <c r="R19" s="38"/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27"/>
      <c r="B20" s="128"/>
      <c r="C20" s="129"/>
      <c r="D20" s="130"/>
      <c r="E20" s="131"/>
      <c r="F20" s="132">
        <f t="shared" ref="F20:P20" si="2">SUM(F6:F19)</f>
        <v>3000</v>
      </c>
      <c r="G20" s="132">
        <f t="shared" si="2"/>
        <v>0</v>
      </c>
      <c r="H20" s="132">
        <f t="shared" si="2"/>
        <v>14500</v>
      </c>
      <c r="I20" s="132">
        <f t="shared" si="2"/>
        <v>79800</v>
      </c>
      <c r="J20" s="132">
        <f t="shared" si="2"/>
        <v>15400</v>
      </c>
      <c r="K20" s="132">
        <f t="shared" si="2"/>
        <v>0</v>
      </c>
      <c r="L20" s="132">
        <f t="shared" si="2"/>
        <v>0</v>
      </c>
      <c r="M20" s="132">
        <f t="shared" si="2"/>
        <v>15000</v>
      </c>
      <c r="N20" s="132">
        <f t="shared" si="2"/>
        <v>0</v>
      </c>
      <c r="O20" s="132">
        <f t="shared" si="2"/>
        <v>0</v>
      </c>
      <c r="P20" s="132">
        <f t="shared" si="2"/>
        <v>127700</v>
      </c>
      <c r="Q20" s="133"/>
      <c r="R20" s="134"/>
      <c r="S20" s="135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</row>
    <row r="21" ht="45.0" customHeight="1">
      <c r="A21" s="136"/>
      <c r="B21" s="137"/>
      <c r="C21" s="138"/>
      <c r="D21" s="137"/>
      <c r="E21" s="137"/>
      <c r="F21" s="139">
        <f>F20+G20+H20+I20+J20+K20+L20+M20+N20+O20</f>
        <v>127700</v>
      </c>
      <c r="G21" s="2"/>
      <c r="H21" s="2"/>
      <c r="I21" s="2"/>
      <c r="J21" s="2"/>
      <c r="K21" s="2"/>
      <c r="L21" s="2"/>
      <c r="M21" s="2"/>
      <c r="N21" s="2"/>
      <c r="O21" s="2"/>
      <c r="P21" s="140"/>
      <c r="Q21" s="140"/>
      <c r="R21" s="137"/>
      <c r="S21" s="141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t="45.0" customHeight="1">
      <c r="A22" s="27"/>
      <c r="B22" s="27"/>
      <c r="C22" s="75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t="45.0" customHeight="1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ht="45.0" customHeight="1">
      <c r="A24" s="165" t="s">
        <v>445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6" t="s">
        <v>1</v>
      </c>
      <c r="B25" s="167" t="s">
        <v>2</v>
      </c>
      <c r="C25" s="167" t="s">
        <v>3</v>
      </c>
      <c r="D25" s="167" t="s">
        <v>4</v>
      </c>
      <c r="E25" s="167" t="s">
        <v>5</v>
      </c>
      <c r="F25" s="168" t="s">
        <v>252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167" t="s">
        <v>7</v>
      </c>
      <c r="S25" s="167" t="s">
        <v>8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0"/>
      <c r="B26" s="11"/>
      <c r="C26" s="11"/>
      <c r="D26" s="11"/>
      <c r="E26" s="11"/>
      <c r="F26" s="169" t="s">
        <v>9</v>
      </c>
      <c r="G26" s="170" t="s">
        <v>10</v>
      </c>
      <c r="H26" s="9"/>
      <c r="I26" s="170" t="s">
        <v>11</v>
      </c>
      <c r="J26" s="9"/>
      <c r="K26" s="167" t="s">
        <v>12</v>
      </c>
      <c r="L26" s="171"/>
      <c r="M26" s="171"/>
      <c r="N26" s="171"/>
      <c r="O26" s="172" t="s">
        <v>790</v>
      </c>
      <c r="P26" s="167" t="s">
        <v>14</v>
      </c>
      <c r="Q26" s="167" t="s">
        <v>15</v>
      </c>
      <c r="R26" s="11"/>
      <c r="S26" s="1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4"/>
      <c r="B27" s="9"/>
      <c r="C27" s="9"/>
      <c r="D27" s="9"/>
      <c r="E27" s="9"/>
      <c r="F27" s="9"/>
      <c r="G27" s="173" t="s">
        <v>16</v>
      </c>
      <c r="H27" s="173" t="s">
        <v>17</v>
      </c>
      <c r="I27" s="173" t="s">
        <v>18</v>
      </c>
      <c r="J27" s="173" t="s">
        <v>19</v>
      </c>
      <c r="K27" s="9"/>
      <c r="L27" s="173" t="s">
        <v>20</v>
      </c>
      <c r="M27" s="173" t="s">
        <v>21</v>
      </c>
      <c r="N27" s="173" t="s">
        <v>22</v>
      </c>
      <c r="O27" s="9"/>
      <c r="P27" s="9"/>
      <c r="Q27" s="9"/>
      <c r="R27" s="9"/>
      <c r="S27" s="9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48.0" customHeight="1">
      <c r="A28" s="16">
        <v>1.0</v>
      </c>
      <c r="B28" s="32">
        <v>45674.0</v>
      </c>
      <c r="C28" s="33" t="s">
        <v>791</v>
      </c>
      <c r="D28" s="34">
        <v>10255.0</v>
      </c>
      <c r="E28" s="35" t="s">
        <v>630</v>
      </c>
      <c r="F28" s="30"/>
      <c r="G28" s="36"/>
      <c r="H28" s="36"/>
      <c r="I28" s="30">
        <v>600.0</v>
      </c>
      <c r="J28" s="30"/>
      <c r="K28" s="37"/>
      <c r="L28" s="36"/>
      <c r="M28" s="36"/>
      <c r="N28" s="36"/>
      <c r="O28" s="36"/>
      <c r="P28" s="38">
        <v>600.0</v>
      </c>
      <c r="Q28" s="25">
        <f t="shared" ref="Q28:Q29" si="4">F28+G28+H28+I28+J28+K28+L28+M28+N28+O28-P28</f>
        <v>0</v>
      </c>
      <c r="R28" s="38" t="s">
        <v>512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58.5" customHeight="1">
      <c r="A29" s="174"/>
      <c r="B29" s="175"/>
      <c r="C29" s="176"/>
      <c r="D29" s="177" t="s">
        <v>115</v>
      </c>
      <c r="E29" s="178"/>
      <c r="F29" s="179">
        <f t="shared" ref="F29:P29" si="3">SUM(F28)</f>
        <v>0</v>
      </c>
      <c r="G29" s="179">
        <f t="shared" si="3"/>
        <v>0</v>
      </c>
      <c r="H29" s="179">
        <f t="shared" si="3"/>
        <v>0</v>
      </c>
      <c r="I29" s="179">
        <f t="shared" si="3"/>
        <v>600</v>
      </c>
      <c r="J29" s="179">
        <f t="shared" si="3"/>
        <v>0</v>
      </c>
      <c r="K29" s="179">
        <f t="shared" si="3"/>
        <v>0</v>
      </c>
      <c r="L29" s="179">
        <f t="shared" si="3"/>
        <v>0</v>
      </c>
      <c r="M29" s="179">
        <f t="shared" si="3"/>
        <v>0</v>
      </c>
      <c r="N29" s="179">
        <f t="shared" si="3"/>
        <v>0</v>
      </c>
      <c r="O29" s="179">
        <f t="shared" si="3"/>
        <v>0</v>
      </c>
      <c r="P29" s="179">
        <f t="shared" si="3"/>
        <v>600</v>
      </c>
      <c r="Q29" s="180">
        <f t="shared" si="4"/>
        <v>0</v>
      </c>
      <c r="R29" s="178"/>
      <c r="S29" s="18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58.5" customHeight="1">
      <c r="A30" s="182"/>
      <c r="B30" s="183"/>
      <c r="C30" s="184"/>
      <c r="D30" s="183"/>
      <c r="E30" s="183"/>
      <c r="F30" s="185">
        <f>F29+G29+H29+I29+J29+K29+L29+M29+N29+O29</f>
        <v>600</v>
      </c>
      <c r="G30" s="2"/>
      <c r="H30" s="2"/>
      <c r="I30" s="2"/>
      <c r="J30" s="2"/>
      <c r="K30" s="2"/>
      <c r="L30" s="2"/>
      <c r="M30" s="2"/>
      <c r="N30" s="2"/>
      <c r="O30" s="2"/>
      <c r="P30" s="186"/>
      <c r="Q30" s="186"/>
      <c r="R30" s="183"/>
      <c r="S30" s="18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58.5" customHeight="1">
      <c r="A31" s="4"/>
      <c r="B31" s="4"/>
      <c r="C31" s="5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/>
      <c r="B32" s="4"/>
      <c r="C32" s="51"/>
      <c r="D32" s="4"/>
      <c r="E32" s="188" t="s">
        <v>118</v>
      </c>
      <c r="F32" s="189" t="s">
        <v>119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/>
      <c r="B33" s="4"/>
      <c r="C33" s="51"/>
      <c r="D33" s="4"/>
      <c r="E33" s="188" t="s">
        <v>120</v>
      </c>
      <c r="F33" s="189" t="s">
        <v>119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"/>
      <c r="B34" s="4"/>
      <c r="C34" s="51"/>
      <c r="D34" s="4"/>
      <c r="E34" s="188" t="s">
        <v>121</v>
      </c>
      <c r="F34" s="189" t="s">
        <v>119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4"/>
      <c r="B35" s="4"/>
      <c r="C35" s="51"/>
      <c r="D35" s="4"/>
      <c r="E35" s="188" t="s">
        <v>122</v>
      </c>
      <c r="F35" s="189" t="s">
        <v>119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"/>
      <c r="B36" s="4"/>
      <c r="C36" s="51"/>
      <c r="D36" s="4"/>
      <c r="E36" s="188" t="s">
        <v>792</v>
      </c>
      <c r="F36" s="189" t="s">
        <v>119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4"/>
      <c r="C37" s="51"/>
      <c r="D37" s="4"/>
      <c r="E37" s="188" t="s">
        <v>124</v>
      </c>
      <c r="F37" s="189" t="s">
        <v>170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51"/>
      <c r="D38" s="4"/>
      <c r="E38" s="188" t="s">
        <v>126</v>
      </c>
      <c r="F38" s="189" t="s">
        <v>117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 t="s">
        <v>595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  <mergeCell ref="A24:S24"/>
    <mergeCell ref="A25:A27"/>
    <mergeCell ref="B25:B27"/>
    <mergeCell ref="C25:C27"/>
    <mergeCell ref="D25:D27"/>
    <mergeCell ref="E25:E27"/>
    <mergeCell ref="S25:S27"/>
    <mergeCell ref="P26:P27"/>
    <mergeCell ref="Q26:Q27"/>
    <mergeCell ref="F25:Q25"/>
    <mergeCell ref="R25:R27"/>
    <mergeCell ref="F26:F27"/>
    <mergeCell ref="G26:H26"/>
    <mergeCell ref="I26:J26"/>
    <mergeCell ref="K26:K27"/>
    <mergeCell ref="O26:O27"/>
    <mergeCell ref="F30:O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793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45675.0</v>
      </c>
      <c r="C6" s="18" t="s">
        <v>794</v>
      </c>
      <c r="D6" s="19">
        <v>52396.0</v>
      </c>
      <c r="E6" s="20" t="s">
        <v>795</v>
      </c>
      <c r="F6" s="22"/>
      <c r="G6" s="22"/>
      <c r="H6" s="22"/>
      <c r="I6" s="21"/>
      <c r="J6" s="21">
        <v>5000.0</v>
      </c>
      <c r="K6" s="22"/>
      <c r="L6" s="22"/>
      <c r="M6" s="21"/>
      <c r="N6" s="22"/>
      <c r="O6" s="22"/>
      <c r="P6" s="24">
        <v>5000.0</v>
      </c>
      <c r="Q6" s="25">
        <f t="shared" ref="Q6:Q24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45675.0</v>
      </c>
      <c r="C7" s="18" t="s">
        <v>796</v>
      </c>
      <c r="D7" s="19">
        <v>54242.0</v>
      </c>
      <c r="E7" s="20" t="s">
        <v>797</v>
      </c>
      <c r="F7" s="21"/>
      <c r="G7" s="22"/>
      <c r="H7" s="22"/>
      <c r="I7" s="30"/>
      <c r="J7" s="22">
        <v>5000.0</v>
      </c>
      <c r="K7" s="31"/>
      <c r="L7" s="22"/>
      <c r="M7" s="22"/>
      <c r="N7" s="22"/>
      <c r="O7" s="22"/>
      <c r="P7" s="24">
        <v>5000.0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45675.0</v>
      </c>
      <c r="C8" s="18" t="s">
        <v>798</v>
      </c>
      <c r="D8" s="19">
        <v>52808.0</v>
      </c>
      <c r="E8" s="20" t="s">
        <v>799</v>
      </c>
      <c r="F8" s="21"/>
      <c r="G8" s="22"/>
      <c r="H8" s="22"/>
      <c r="I8" s="21"/>
      <c r="J8" s="22">
        <v>5000.0</v>
      </c>
      <c r="K8" s="21"/>
      <c r="L8" s="22"/>
      <c r="M8" s="22"/>
      <c r="N8" s="22"/>
      <c r="O8" s="22"/>
      <c r="P8" s="24">
        <v>5000.0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45675.0</v>
      </c>
      <c r="C9" s="33" t="s">
        <v>800</v>
      </c>
      <c r="D9" s="34">
        <v>57773.0</v>
      </c>
      <c r="E9" s="35" t="s">
        <v>801</v>
      </c>
      <c r="F9" s="30"/>
      <c r="G9" s="36"/>
      <c r="H9" s="36"/>
      <c r="I9" s="30">
        <v>2600.0</v>
      </c>
      <c r="J9" s="30"/>
      <c r="K9" s="37"/>
      <c r="L9" s="36"/>
      <c r="M9" s="36"/>
      <c r="N9" s="36"/>
      <c r="O9" s="36"/>
      <c r="P9" s="38">
        <v>2600.0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45675.0</v>
      </c>
      <c r="C10" s="33" t="s">
        <v>802</v>
      </c>
      <c r="D10" s="34">
        <v>53249.0</v>
      </c>
      <c r="E10" s="35" t="s">
        <v>269</v>
      </c>
      <c r="F10" s="30"/>
      <c r="G10" s="36"/>
      <c r="H10" s="36"/>
      <c r="I10" s="30">
        <v>15450.0</v>
      </c>
      <c r="J10" s="30"/>
      <c r="K10" s="37"/>
      <c r="L10" s="36"/>
      <c r="M10" s="36"/>
      <c r="N10" s="36"/>
      <c r="O10" s="36"/>
      <c r="P10" s="38">
        <v>15450.0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45675.0</v>
      </c>
      <c r="C11" s="33" t="s">
        <v>803</v>
      </c>
      <c r="D11" s="34">
        <v>53249.0</v>
      </c>
      <c r="E11" s="35" t="s">
        <v>269</v>
      </c>
      <c r="F11" s="30"/>
      <c r="G11" s="36"/>
      <c r="H11" s="36"/>
      <c r="I11" s="30">
        <v>100.0</v>
      </c>
      <c r="J11" s="30"/>
      <c r="K11" s="37"/>
      <c r="L11" s="36"/>
      <c r="M11" s="36"/>
      <c r="N11" s="36"/>
      <c r="O11" s="36"/>
      <c r="P11" s="38">
        <v>100.0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45675.0</v>
      </c>
      <c r="C12" s="33" t="s">
        <v>804</v>
      </c>
      <c r="D12" s="34">
        <v>79705.0</v>
      </c>
      <c r="E12" s="35" t="s">
        <v>805</v>
      </c>
      <c r="F12" s="30"/>
      <c r="G12" s="36"/>
      <c r="H12" s="36"/>
      <c r="I12" s="30">
        <v>2650.0</v>
      </c>
      <c r="J12" s="30"/>
      <c r="K12" s="37"/>
      <c r="L12" s="36"/>
      <c r="M12" s="36"/>
      <c r="N12" s="36"/>
      <c r="O12" s="36"/>
      <c r="P12" s="38">
        <v>2650.0</v>
      </c>
      <c r="Q12" s="25">
        <f t="shared" si="1"/>
        <v>0</v>
      </c>
      <c r="R12" s="38" t="s">
        <v>512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45675.0</v>
      </c>
      <c r="C13" s="33" t="s">
        <v>806</v>
      </c>
      <c r="D13" s="34">
        <v>85562.0</v>
      </c>
      <c r="E13" s="35" t="s">
        <v>162</v>
      </c>
      <c r="F13" s="30">
        <v>250.0</v>
      </c>
      <c r="G13" s="36"/>
      <c r="H13" s="36"/>
      <c r="I13" s="30"/>
      <c r="J13" s="30"/>
      <c r="K13" s="37"/>
      <c r="L13" s="36"/>
      <c r="M13" s="36"/>
      <c r="N13" s="36"/>
      <c r="O13" s="36"/>
      <c r="P13" s="38">
        <v>250.0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45675.0</v>
      </c>
      <c r="C14" s="33" t="s">
        <v>807</v>
      </c>
      <c r="D14" s="34">
        <v>21818.0</v>
      </c>
      <c r="E14" s="35" t="s">
        <v>65</v>
      </c>
      <c r="F14" s="30"/>
      <c r="G14" s="36"/>
      <c r="H14" s="36"/>
      <c r="I14" s="30"/>
      <c r="J14" s="30"/>
      <c r="K14" s="37">
        <v>250.0</v>
      </c>
      <c r="L14" s="36"/>
      <c r="M14" s="36"/>
      <c r="N14" s="36"/>
      <c r="O14" s="36"/>
      <c r="P14" s="38">
        <v>250.0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45675.0</v>
      </c>
      <c r="C15" s="33" t="s">
        <v>808</v>
      </c>
      <c r="D15" s="34">
        <v>56747.0</v>
      </c>
      <c r="E15" s="35" t="s">
        <v>809</v>
      </c>
      <c r="F15" s="30"/>
      <c r="G15" s="36"/>
      <c r="H15" s="36"/>
      <c r="I15" s="30">
        <v>2600.0</v>
      </c>
      <c r="J15" s="30"/>
      <c r="K15" s="37"/>
      <c r="L15" s="36"/>
      <c r="M15" s="36"/>
      <c r="N15" s="36"/>
      <c r="O15" s="36"/>
      <c r="P15" s="38">
        <v>2600.0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45675.0</v>
      </c>
      <c r="C16" s="33" t="s">
        <v>810</v>
      </c>
      <c r="D16" s="34">
        <v>52240.0</v>
      </c>
      <c r="E16" s="35" t="s">
        <v>578</v>
      </c>
      <c r="F16" s="30"/>
      <c r="G16" s="36"/>
      <c r="H16" s="36"/>
      <c r="I16" s="30"/>
      <c r="J16" s="30">
        <v>5100.0</v>
      </c>
      <c r="K16" s="37"/>
      <c r="L16" s="36"/>
      <c r="M16" s="36"/>
      <c r="N16" s="36"/>
      <c r="O16" s="36"/>
      <c r="P16" s="38">
        <v>5100.0</v>
      </c>
      <c r="Q16" s="25">
        <f t="shared" si="1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45675.0</v>
      </c>
      <c r="C17" s="33" t="s">
        <v>811</v>
      </c>
      <c r="D17" s="34">
        <v>28414.0</v>
      </c>
      <c r="E17" s="35" t="s">
        <v>78</v>
      </c>
      <c r="F17" s="30"/>
      <c r="G17" s="36"/>
      <c r="H17" s="36"/>
      <c r="I17" s="30">
        <v>774.0</v>
      </c>
      <c r="J17" s="30"/>
      <c r="K17" s="37">
        <v>776.0</v>
      </c>
      <c r="L17" s="36"/>
      <c r="M17" s="36"/>
      <c r="N17" s="36"/>
      <c r="O17" s="36"/>
      <c r="P17" s="38">
        <v>1550.0</v>
      </c>
      <c r="Q17" s="25">
        <f t="shared" si="1"/>
        <v>0</v>
      </c>
      <c r="R17" s="38" t="s">
        <v>31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45675.0</v>
      </c>
      <c r="C18" s="33" t="s">
        <v>812</v>
      </c>
      <c r="D18" s="34">
        <v>35227.0</v>
      </c>
      <c r="E18" s="35" t="s">
        <v>219</v>
      </c>
      <c r="F18" s="30"/>
      <c r="G18" s="36"/>
      <c r="H18" s="36"/>
      <c r="I18" s="30">
        <v>1000.0</v>
      </c>
      <c r="J18" s="30"/>
      <c r="K18" s="37"/>
      <c r="L18" s="36"/>
      <c r="M18" s="36"/>
      <c r="N18" s="36"/>
      <c r="O18" s="36"/>
      <c r="P18" s="38">
        <v>1000.0</v>
      </c>
      <c r="Q18" s="25">
        <f t="shared" si="1"/>
        <v>0</v>
      </c>
      <c r="R18" s="38" t="s">
        <v>512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45675.0</v>
      </c>
      <c r="C19" s="33" t="s">
        <v>813</v>
      </c>
      <c r="D19" s="34">
        <v>47787.0</v>
      </c>
      <c r="E19" s="35" t="s">
        <v>158</v>
      </c>
      <c r="F19" s="30"/>
      <c r="G19" s="36"/>
      <c r="H19" s="36"/>
      <c r="I19" s="30">
        <v>450.0</v>
      </c>
      <c r="J19" s="30"/>
      <c r="K19" s="37"/>
      <c r="L19" s="36"/>
      <c r="M19" s="36"/>
      <c r="N19" s="36"/>
      <c r="O19" s="36"/>
      <c r="P19" s="38">
        <v>450.0</v>
      </c>
      <c r="Q19" s="25">
        <f t="shared" si="1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45675.0</v>
      </c>
      <c r="C20" s="33" t="s">
        <v>814</v>
      </c>
      <c r="D20" s="34">
        <v>85986.0</v>
      </c>
      <c r="E20" s="35" t="s">
        <v>815</v>
      </c>
      <c r="F20" s="30"/>
      <c r="G20" s="36"/>
      <c r="H20" s="36"/>
      <c r="I20" s="30"/>
      <c r="J20" s="30">
        <v>7300.0</v>
      </c>
      <c r="K20" s="37"/>
      <c r="L20" s="36"/>
      <c r="M20" s="36"/>
      <c r="N20" s="36"/>
      <c r="O20" s="36"/>
      <c r="P20" s="38">
        <v>7300.0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45675.0</v>
      </c>
      <c r="C21" s="33" t="s">
        <v>816</v>
      </c>
      <c r="D21" s="34">
        <v>21818.0</v>
      </c>
      <c r="E21" s="35" t="s">
        <v>65</v>
      </c>
      <c r="F21" s="30"/>
      <c r="G21" s="36"/>
      <c r="H21" s="36"/>
      <c r="I21" s="30"/>
      <c r="J21" s="30"/>
      <c r="K21" s="37">
        <v>300.0</v>
      </c>
      <c r="L21" s="36"/>
      <c r="M21" s="36"/>
      <c r="N21" s="36"/>
      <c r="O21" s="36"/>
      <c r="P21" s="38">
        <v>300.0</v>
      </c>
      <c r="Q21" s="25">
        <f t="shared" si="1"/>
        <v>0</v>
      </c>
      <c r="R21" s="38" t="s">
        <v>31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45675.0</v>
      </c>
      <c r="C22" s="33" t="s">
        <v>817</v>
      </c>
      <c r="D22" s="34">
        <v>29621.0</v>
      </c>
      <c r="E22" s="35" t="s">
        <v>818</v>
      </c>
      <c r="F22" s="30"/>
      <c r="G22" s="36"/>
      <c r="H22" s="36"/>
      <c r="I22" s="30"/>
      <c r="J22" s="30">
        <v>7600.0</v>
      </c>
      <c r="K22" s="37"/>
      <c r="L22" s="36"/>
      <c r="M22" s="36"/>
      <c r="N22" s="36"/>
      <c r="O22" s="36"/>
      <c r="P22" s="38">
        <v>7600.0</v>
      </c>
      <c r="Q22" s="25">
        <f t="shared" si="1"/>
        <v>0</v>
      </c>
      <c r="R22" s="38" t="s">
        <v>31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45675.0</v>
      </c>
      <c r="C23" s="33" t="s">
        <v>819</v>
      </c>
      <c r="D23" s="34">
        <v>10271.0</v>
      </c>
      <c r="E23" s="35" t="s">
        <v>566</v>
      </c>
      <c r="F23" s="30"/>
      <c r="G23" s="36">
        <v>2900.0</v>
      </c>
      <c r="H23" s="36"/>
      <c r="I23" s="30"/>
      <c r="J23" s="30"/>
      <c r="K23" s="37"/>
      <c r="L23" s="36"/>
      <c r="M23" s="36"/>
      <c r="N23" s="36"/>
      <c r="O23" s="36"/>
      <c r="P23" s="38">
        <v>2900.0</v>
      </c>
      <c r="Q23" s="25">
        <f t="shared" si="1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/>
      <c r="B24" s="32"/>
      <c r="C24" s="33"/>
      <c r="D24" s="34"/>
      <c r="E24" s="35"/>
      <c r="F24" s="30"/>
      <c r="G24" s="36"/>
      <c r="H24" s="36"/>
      <c r="I24" s="30"/>
      <c r="J24" s="30"/>
      <c r="K24" s="37"/>
      <c r="L24" s="36"/>
      <c r="M24" s="36"/>
      <c r="N24" s="36"/>
      <c r="O24" s="36"/>
      <c r="P24" s="38"/>
      <c r="Q24" s="25">
        <f t="shared" si="1"/>
        <v>0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27"/>
      <c r="B25" s="128"/>
      <c r="C25" s="129"/>
      <c r="D25" s="130"/>
      <c r="E25" s="131"/>
      <c r="F25" s="132">
        <f t="shared" ref="F25:P25" si="2">SUM(F6:F24)</f>
        <v>250</v>
      </c>
      <c r="G25" s="132">
        <f t="shared" si="2"/>
        <v>2900</v>
      </c>
      <c r="H25" s="132">
        <f t="shared" si="2"/>
        <v>0</v>
      </c>
      <c r="I25" s="132">
        <f t="shared" si="2"/>
        <v>25624</v>
      </c>
      <c r="J25" s="132">
        <f t="shared" si="2"/>
        <v>35000</v>
      </c>
      <c r="K25" s="132">
        <f t="shared" si="2"/>
        <v>1326</v>
      </c>
      <c r="L25" s="132">
        <f t="shared" si="2"/>
        <v>0</v>
      </c>
      <c r="M25" s="132">
        <f t="shared" si="2"/>
        <v>0</v>
      </c>
      <c r="N25" s="132">
        <f t="shared" si="2"/>
        <v>0</v>
      </c>
      <c r="O25" s="132">
        <f t="shared" si="2"/>
        <v>0</v>
      </c>
      <c r="P25" s="132">
        <f t="shared" si="2"/>
        <v>65100</v>
      </c>
      <c r="Q25" s="133"/>
      <c r="R25" s="134"/>
      <c r="S25" s="135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</row>
    <row r="26" ht="45.0" customHeight="1">
      <c r="A26" s="136"/>
      <c r="B26" s="137"/>
      <c r="C26" s="138"/>
      <c r="D26" s="137"/>
      <c r="E26" s="137"/>
      <c r="F26" s="139">
        <f>F25+G25+H25+I25+J25+K25+L25+M25+N25+O25</f>
        <v>65100</v>
      </c>
      <c r="G26" s="2"/>
      <c r="H26" s="2"/>
      <c r="I26" s="2"/>
      <c r="J26" s="2"/>
      <c r="K26" s="2"/>
      <c r="L26" s="2"/>
      <c r="M26" s="2"/>
      <c r="N26" s="2"/>
      <c r="O26" s="2"/>
      <c r="P26" s="140"/>
      <c r="Q26" s="140"/>
      <c r="R26" s="137"/>
      <c r="S26" s="141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ht="45.0" customHeight="1">
      <c r="A27" s="27"/>
      <c r="B27" s="27"/>
      <c r="C27" s="75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ht="45.0" customHeight="1">
      <c r="A28" s="165" t="s">
        <v>445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66" t="s">
        <v>1</v>
      </c>
      <c r="B29" s="167" t="s">
        <v>2</v>
      </c>
      <c r="C29" s="167" t="s">
        <v>3</v>
      </c>
      <c r="D29" s="167" t="s">
        <v>4</v>
      </c>
      <c r="E29" s="167" t="s">
        <v>5</v>
      </c>
      <c r="F29" s="168" t="s">
        <v>252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167" t="s">
        <v>7</v>
      </c>
      <c r="S29" s="167" t="s">
        <v>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10"/>
      <c r="B30" s="11"/>
      <c r="C30" s="11"/>
      <c r="D30" s="11"/>
      <c r="E30" s="11"/>
      <c r="F30" s="169" t="s">
        <v>9</v>
      </c>
      <c r="G30" s="170" t="s">
        <v>10</v>
      </c>
      <c r="H30" s="9"/>
      <c r="I30" s="170" t="s">
        <v>11</v>
      </c>
      <c r="J30" s="9"/>
      <c r="K30" s="167" t="s">
        <v>12</v>
      </c>
      <c r="L30" s="171"/>
      <c r="M30" s="171"/>
      <c r="N30" s="171"/>
      <c r="O30" s="172" t="s">
        <v>820</v>
      </c>
      <c r="P30" s="167" t="s">
        <v>14</v>
      </c>
      <c r="Q30" s="167" t="s">
        <v>15</v>
      </c>
      <c r="R30" s="11"/>
      <c r="S30" s="1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4"/>
      <c r="B31" s="9"/>
      <c r="C31" s="9"/>
      <c r="D31" s="9"/>
      <c r="E31" s="9"/>
      <c r="F31" s="9"/>
      <c r="G31" s="173" t="s">
        <v>16</v>
      </c>
      <c r="H31" s="173" t="s">
        <v>17</v>
      </c>
      <c r="I31" s="173" t="s">
        <v>18</v>
      </c>
      <c r="J31" s="173" t="s">
        <v>19</v>
      </c>
      <c r="K31" s="9"/>
      <c r="L31" s="173" t="s">
        <v>20</v>
      </c>
      <c r="M31" s="173" t="s">
        <v>21</v>
      </c>
      <c r="N31" s="173" t="s">
        <v>22</v>
      </c>
      <c r="O31" s="9"/>
      <c r="P31" s="9"/>
      <c r="Q31" s="9"/>
      <c r="R31" s="9"/>
      <c r="S31" s="9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48.0" customHeight="1">
      <c r="A32" s="16">
        <v>1.0</v>
      </c>
      <c r="B32" s="32">
        <v>45675.0</v>
      </c>
      <c r="C32" s="33" t="s">
        <v>821</v>
      </c>
      <c r="D32" s="34">
        <v>44035.0</v>
      </c>
      <c r="E32" s="35" t="s">
        <v>822</v>
      </c>
      <c r="F32" s="30"/>
      <c r="G32" s="36"/>
      <c r="H32" s="36">
        <v>22000.0</v>
      </c>
      <c r="I32" s="30"/>
      <c r="J32" s="30"/>
      <c r="K32" s="37"/>
      <c r="L32" s="36"/>
      <c r="M32" s="36"/>
      <c r="N32" s="36"/>
      <c r="O32" s="36"/>
      <c r="P32" s="38">
        <v>22000.0</v>
      </c>
      <c r="Q32" s="25">
        <f t="shared" ref="Q32:Q36" si="3">F32+G32+H32+I32+J32+K32+L32+M32+N32+O32-P32</f>
        <v>0</v>
      </c>
      <c r="R32" s="38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48.0" customHeight="1">
      <c r="A33" s="16">
        <v>2.0</v>
      </c>
      <c r="B33" s="32">
        <v>45675.0</v>
      </c>
      <c r="C33" s="33" t="s">
        <v>823</v>
      </c>
      <c r="D33" s="34">
        <v>44035.0</v>
      </c>
      <c r="E33" s="35" t="s">
        <v>822</v>
      </c>
      <c r="F33" s="30"/>
      <c r="G33" s="36"/>
      <c r="H33" s="36">
        <v>15000.0</v>
      </c>
      <c r="I33" s="30"/>
      <c r="J33" s="30"/>
      <c r="K33" s="37"/>
      <c r="L33" s="36"/>
      <c r="M33" s="36"/>
      <c r="N33" s="36"/>
      <c r="O33" s="36"/>
      <c r="P33" s="38">
        <v>15000.0</v>
      </c>
      <c r="Q33" s="25">
        <f t="shared" si="3"/>
        <v>0</v>
      </c>
      <c r="R33" s="38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48.0" customHeight="1">
      <c r="A34" s="16">
        <v>3.0</v>
      </c>
      <c r="B34" s="32">
        <v>45675.0</v>
      </c>
      <c r="C34" s="33" t="s">
        <v>824</v>
      </c>
      <c r="D34" s="34">
        <v>21384.0</v>
      </c>
      <c r="E34" s="35" t="s">
        <v>725</v>
      </c>
      <c r="F34" s="30"/>
      <c r="G34" s="36"/>
      <c r="H34" s="36">
        <v>6800.0</v>
      </c>
      <c r="I34" s="30"/>
      <c r="J34" s="30"/>
      <c r="K34" s="37"/>
      <c r="L34" s="36"/>
      <c r="M34" s="36"/>
      <c r="N34" s="36"/>
      <c r="O34" s="36"/>
      <c r="P34" s="38">
        <v>6800.0</v>
      </c>
      <c r="Q34" s="25">
        <f t="shared" si="3"/>
        <v>0</v>
      </c>
      <c r="R34" s="38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48.0" customHeight="1">
      <c r="A35" s="16">
        <v>4.0</v>
      </c>
      <c r="B35" s="32">
        <v>45675.0</v>
      </c>
      <c r="C35" s="33" t="s">
        <v>825</v>
      </c>
      <c r="D35" s="34">
        <v>79725.0</v>
      </c>
      <c r="E35" s="35" t="s">
        <v>826</v>
      </c>
      <c r="F35" s="30"/>
      <c r="G35" s="36"/>
      <c r="H35" s="36"/>
      <c r="I35" s="30"/>
      <c r="J35" s="30"/>
      <c r="K35" s="37"/>
      <c r="L35" s="36">
        <v>5700.0</v>
      </c>
      <c r="M35" s="36"/>
      <c r="N35" s="36"/>
      <c r="O35" s="36"/>
      <c r="P35" s="38">
        <v>5700.0</v>
      </c>
      <c r="Q35" s="25">
        <f t="shared" si="3"/>
        <v>0</v>
      </c>
      <c r="R35" s="38" t="s">
        <v>28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58.5" customHeight="1">
      <c r="A36" s="174"/>
      <c r="B36" s="175"/>
      <c r="C36" s="176"/>
      <c r="D36" s="177" t="s">
        <v>115</v>
      </c>
      <c r="E36" s="178"/>
      <c r="F36" s="179">
        <f t="shared" ref="F36:P36" si="4">SUM(F32:F35)</f>
        <v>0</v>
      </c>
      <c r="G36" s="179">
        <f t="shared" si="4"/>
        <v>0</v>
      </c>
      <c r="H36" s="179">
        <f t="shared" si="4"/>
        <v>43800</v>
      </c>
      <c r="I36" s="179">
        <f t="shared" si="4"/>
        <v>0</v>
      </c>
      <c r="J36" s="179">
        <f t="shared" si="4"/>
        <v>0</v>
      </c>
      <c r="K36" s="179">
        <f t="shared" si="4"/>
        <v>0</v>
      </c>
      <c r="L36" s="179">
        <f t="shared" si="4"/>
        <v>5700</v>
      </c>
      <c r="M36" s="179">
        <f t="shared" si="4"/>
        <v>0</v>
      </c>
      <c r="N36" s="179">
        <f t="shared" si="4"/>
        <v>0</v>
      </c>
      <c r="O36" s="179">
        <f t="shared" si="4"/>
        <v>0</v>
      </c>
      <c r="P36" s="179">
        <f t="shared" si="4"/>
        <v>49500</v>
      </c>
      <c r="Q36" s="180">
        <f t="shared" si="3"/>
        <v>0</v>
      </c>
      <c r="R36" s="178"/>
      <c r="S36" s="18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58.5" customHeight="1">
      <c r="A37" s="182"/>
      <c r="B37" s="183"/>
      <c r="C37" s="184"/>
      <c r="D37" s="183"/>
      <c r="E37" s="183"/>
      <c r="F37" s="185">
        <f>F36+G36+H36+I36+J36+K36+L36+M36+N36+O36</f>
        <v>49500</v>
      </c>
      <c r="G37" s="2"/>
      <c r="H37" s="2"/>
      <c r="I37" s="2"/>
      <c r="J37" s="2"/>
      <c r="K37" s="2"/>
      <c r="L37" s="2"/>
      <c r="M37" s="2"/>
      <c r="N37" s="2"/>
      <c r="O37" s="2"/>
      <c r="P37" s="186"/>
      <c r="Q37" s="186"/>
      <c r="R37" s="183"/>
      <c r="S37" s="18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58.5" customHeight="1">
      <c r="A38" s="4"/>
      <c r="B38" s="4"/>
      <c r="C38" s="5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118</v>
      </c>
      <c r="F39" s="189" t="s">
        <v>170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120</v>
      </c>
      <c r="F40" s="189" t="s">
        <v>119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121</v>
      </c>
      <c r="F41" s="189" t="s">
        <v>119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122</v>
      </c>
      <c r="F42" s="189" t="s">
        <v>172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827</v>
      </c>
      <c r="F43" s="189" t="s">
        <v>119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124</v>
      </c>
      <c r="F44" s="189" t="s">
        <v>170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126</v>
      </c>
      <c r="F45" s="189" t="s">
        <v>117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 t="s">
        <v>595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828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45675.0</v>
      </c>
      <c r="C6" s="18" t="s">
        <v>829</v>
      </c>
      <c r="D6" s="19">
        <v>75886.0</v>
      </c>
      <c r="E6" s="20" t="s">
        <v>830</v>
      </c>
      <c r="F6" s="22">
        <v>4500.0</v>
      </c>
      <c r="G6" s="22"/>
      <c r="H6" s="22"/>
      <c r="I6" s="21"/>
      <c r="J6" s="21"/>
      <c r="K6" s="22"/>
      <c r="L6" s="22"/>
      <c r="M6" s="21"/>
      <c r="N6" s="22"/>
      <c r="O6" s="22"/>
      <c r="P6" s="24">
        <v>4500.0</v>
      </c>
      <c r="Q6" s="25">
        <f t="shared" ref="Q6:Q26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45676.0</v>
      </c>
      <c r="C7" s="18" t="s">
        <v>831</v>
      </c>
      <c r="D7" s="19">
        <v>59103.0</v>
      </c>
      <c r="E7" s="20" t="s">
        <v>98</v>
      </c>
      <c r="F7" s="21"/>
      <c r="G7" s="22"/>
      <c r="H7" s="22"/>
      <c r="I7" s="30"/>
      <c r="J7" s="22"/>
      <c r="K7" s="31">
        <v>4500.0</v>
      </c>
      <c r="L7" s="22"/>
      <c r="M7" s="22"/>
      <c r="N7" s="22"/>
      <c r="O7" s="22"/>
      <c r="P7" s="24">
        <v>4500.0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45676.0</v>
      </c>
      <c r="C8" s="18" t="s">
        <v>832</v>
      </c>
      <c r="D8" s="19">
        <v>42046.0</v>
      </c>
      <c r="E8" s="20" t="s">
        <v>357</v>
      </c>
      <c r="F8" s="21"/>
      <c r="G8" s="22"/>
      <c r="H8" s="22"/>
      <c r="I8" s="21"/>
      <c r="J8" s="22"/>
      <c r="K8" s="21">
        <v>2600.0</v>
      </c>
      <c r="L8" s="22"/>
      <c r="M8" s="22"/>
      <c r="N8" s="22"/>
      <c r="O8" s="22"/>
      <c r="P8" s="24">
        <v>2600.0</v>
      </c>
      <c r="Q8" s="25">
        <f t="shared" si="1"/>
        <v>0</v>
      </c>
      <c r="R8" s="24" t="s">
        <v>512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45676.0</v>
      </c>
      <c r="C9" s="33" t="s">
        <v>833</v>
      </c>
      <c r="D9" s="34">
        <v>47787.0</v>
      </c>
      <c r="E9" s="35" t="s">
        <v>158</v>
      </c>
      <c r="F9" s="30"/>
      <c r="G9" s="36"/>
      <c r="H9" s="36"/>
      <c r="I9" s="30">
        <v>5000.0</v>
      </c>
      <c r="J9" s="30"/>
      <c r="K9" s="37"/>
      <c r="L9" s="36"/>
      <c r="M9" s="36"/>
      <c r="N9" s="36"/>
      <c r="O9" s="36"/>
      <c r="P9" s="38">
        <v>5000.0</v>
      </c>
      <c r="Q9" s="25">
        <f t="shared" si="1"/>
        <v>0</v>
      </c>
      <c r="R9" s="38" t="s">
        <v>512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45676.0</v>
      </c>
      <c r="C10" s="33" t="s">
        <v>834</v>
      </c>
      <c r="D10" s="34">
        <v>56747.0</v>
      </c>
      <c r="E10" s="35" t="s">
        <v>809</v>
      </c>
      <c r="F10" s="30"/>
      <c r="G10" s="36"/>
      <c r="H10" s="36"/>
      <c r="I10" s="30">
        <v>2600.0</v>
      </c>
      <c r="J10" s="30"/>
      <c r="K10" s="37"/>
      <c r="L10" s="36"/>
      <c r="M10" s="36"/>
      <c r="N10" s="36"/>
      <c r="O10" s="36"/>
      <c r="P10" s="38">
        <v>2600.0</v>
      </c>
      <c r="Q10" s="25">
        <f t="shared" si="1"/>
        <v>0</v>
      </c>
      <c r="R10" s="38" t="s">
        <v>512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45676.0</v>
      </c>
      <c r="C11" s="33" t="s">
        <v>835</v>
      </c>
      <c r="D11" s="34">
        <v>55562.0</v>
      </c>
      <c r="E11" s="35" t="s">
        <v>95</v>
      </c>
      <c r="F11" s="30"/>
      <c r="G11" s="36"/>
      <c r="H11" s="36"/>
      <c r="I11" s="30">
        <v>5000.0</v>
      </c>
      <c r="J11" s="30"/>
      <c r="K11" s="37"/>
      <c r="L11" s="36"/>
      <c r="M11" s="36"/>
      <c r="N11" s="36"/>
      <c r="O11" s="36"/>
      <c r="P11" s="38">
        <v>5000.0</v>
      </c>
      <c r="Q11" s="25">
        <f t="shared" si="1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45676.0</v>
      </c>
      <c r="C12" s="33" t="s">
        <v>836</v>
      </c>
      <c r="D12" s="34">
        <v>55562.0</v>
      </c>
      <c r="E12" s="35" t="s">
        <v>95</v>
      </c>
      <c r="F12" s="30"/>
      <c r="G12" s="36"/>
      <c r="H12" s="36"/>
      <c r="I12" s="30">
        <v>5000.0</v>
      </c>
      <c r="J12" s="30"/>
      <c r="K12" s="37"/>
      <c r="L12" s="36"/>
      <c r="M12" s="36"/>
      <c r="N12" s="36"/>
      <c r="O12" s="36"/>
      <c r="P12" s="38">
        <v>5000.0</v>
      </c>
      <c r="Q12" s="25">
        <f t="shared" si="1"/>
        <v>0</v>
      </c>
      <c r="R12" s="38" t="s">
        <v>46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45676.0</v>
      </c>
      <c r="C13" s="33" t="s">
        <v>837</v>
      </c>
      <c r="D13" s="34">
        <v>85991.0</v>
      </c>
      <c r="E13" s="35" t="s">
        <v>838</v>
      </c>
      <c r="F13" s="30"/>
      <c r="G13" s="36"/>
      <c r="H13" s="36"/>
      <c r="I13" s="30">
        <v>300.0</v>
      </c>
      <c r="J13" s="30"/>
      <c r="K13" s="37"/>
      <c r="L13" s="36"/>
      <c r="M13" s="36"/>
      <c r="N13" s="36"/>
      <c r="O13" s="36"/>
      <c r="P13" s="38">
        <v>300.0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45676.0</v>
      </c>
      <c r="C14" s="33" t="s">
        <v>839</v>
      </c>
      <c r="D14" s="34">
        <v>75045.0</v>
      </c>
      <c r="E14" s="35" t="s">
        <v>501</v>
      </c>
      <c r="F14" s="30"/>
      <c r="G14" s="36"/>
      <c r="H14" s="36"/>
      <c r="I14" s="30"/>
      <c r="J14" s="30"/>
      <c r="K14" s="37"/>
      <c r="L14" s="36"/>
      <c r="M14" s="36">
        <v>1600.0</v>
      </c>
      <c r="N14" s="36"/>
      <c r="O14" s="36"/>
      <c r="P14" s="38">
        <v>1600.0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45676.0</v>
      </c>
      <c r="C15" s="33" t="s">
        <v>840</v>
      </c>
      <c r="D15" s="34">
        <v>10001.0</v>
      </c>
      <c r="E15" s="35" t="s">
        <v>209</v>
      </c>
      <c r="F15" s="30">
        <v>350.0</v>
      </c>
      <c r="G15" s="36"/>
      <c r="H15" s="36"/>
      <c r="I15" s="30"/>
      <c r="J15" s="30"/>
      <c r="K15" s="37"/>
      <c r="L15" s="36"/>
      <c r="M15" s="36"/>
      <c r="N15" s="36"/>
      <c r="O15" s="36"/>
      <c r="P15" s="38">
        <v>350.0</v>
      </c>
      <c r="Q15" s="25">
        <f t="shared" si="1"/>
        <v>0</v>
      </c>
      <c r="R15" s="38" t="s">
        <v>512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45676.0</v>
      </c>
      <c r="C16" s="33" t="s">
        <v>841</v>
      </c>
      <c r="D16" s="34">
        <v>70056.0</v>
      </c>
      <c r="E16" s="35" t="s">
        <v>842</v>
      </c>
      <c r="F16" s="30"/>
      <c r="G16" s="36"/>
      <c r="H16" s="36"/>
      <c r="I16" s="30">
        <v>10000.0</v>
      </c>
      <c r="J16" s="30"/>
      <c r="K16" s="37"/>
      <c r="L16" s="36"/>
      <c r="M16" s="36"/>
      <c r="N16" s="36"/>
      <c r="O16" s="36"/>
      <c r="P16" s="38">
        <v>10000.0</v>
      </c>
      <c r="Q16" s="25">
        <f t="shared" si="1"/>
        <v>0</v>
      </c>
      <c r="R16" s="38" t="s">
        <v>31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45676.0</v>
      </c>
      <c r="C17" s="33" t="s">
        <v>843</v>
      </c>
      <c r="D17" s="34">
        <v>19688.0</v>
      </c>
      <c r="E17" s="35" t="s">
        <v>300</v>
      </c>
      <c r="F17" s="30"/>
      <c r="G17" s="36"/>
      <c r="H17" s="36"/>
      <c r="I17" s="30"/>
      <c r="J17" s="30">
        <v>5000.0</v>
      </c>
      <c r="K17" s="37"/>
      <c r="L17" s="36"/>
      <c r="M17" s="36"/>
      <c r="N17" s="36"/>
      <c r="O17" s="36"/>
      <c r="P17" s="38">
        <v>5000.0</v>
      </c>
      <c r="Q17" s="25">
        <f t="shared" si="1"/>
        <v>0</v>
      </c>
      <c r="R17" s="38" t="s">
        <v>512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45676.0</v>
      </c>
      <c r="C18" s="33" t="s">
        <v>844</v>
      </c>
      <c r="D18" s="34">
        <v>13781.0</v>
      </c>
      <c r="E18" s="35" t="s">
        <v>76</v>
      </c>
      <c r="F18" s="30"/>
      <c r="G18" s="36">
        <v>4500.0</v>
      </c>
      <c r="H18" s="36"/>
      <c r="I18" s="30"/>
      <c r="J18" s="30"/>
      <c r="K18" s="37"/>
      <c r="L18" s="36"/>
      <c r="M18" s="36"/>
      <c r="N18" s="36"/>
      <c r="O18" s="36"/>
      <c r="P18" s="38">
        <v>4500.0</v>
      </c>
      <c r="Q18" s="25">
        <f t="shared" si="1"/>
        <v>0</v>
      </c>
      <c r="R18" s="38" t="s">
        <v>46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45676.0</v>
      </c>
      <c r="C19" s="33" t="s">
        <v>845</v>
      </c>
      <c r="D19" s="34">
        <v>57499.0</v>
      </c>
      <c r="E19" s="35" t="s">
        <v>50</v>
      </c>
      <c r="F19" s="30"/>
      <c r="G19" s="36"/>
      <c r="H19" s="36"/>
      <c r="I19" s="30"/>
      <c r="J19" s="30"/>
      <c r="K19" s="37">
        <v>100.0</v>
      </c>
      <c r="L19" s="36"/>
      <c r="M19" s="36"/>
      <c r="N19" s="36"/>
      <c r="O19" s="36"/>
      <c r="P19" s="38">
        <v>100.0</v>
      </c>
      <c r="Q19" s="25">
        <f t="shared" si="1"/>
        <v>0</v>
      </c>
      <c r="R19" s="38" t="s">
        <v>46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45676.0</v>
      </c>
      <c r="C20" s="33" t="s">
        <v>846</v>
      </c>
      <c r="D20" s="34">
        <v>35227.0</v>
      </c>
      <c r="E20" s="35" t="s">
        <v>219</v>
      </c>
      <c r="F20" s="30"/>
      <c r="G20" s="36">
        <v>3500.0</v>
      </c>
      <c r="H20" s="36"/>
      <c r="I20" s="30">
        <v>1000.0</v>
      </c>
      <c r="J20" s="30"/>
      <c r="K20" s="37"/>
      <c r="L20" s="36"/>
      <c r="M20" s="36"/>
      <c r="N20" s="36"/>
      <c r="O20" s="36"/>
      <c r="P20" s="38">
        <v>4500.0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45676.0</v>
      </c>
      <c r="C21" s="33" t="s">
        <v>847</v>
      </c>
      <c r="D21" s="34">
        <v>85993.0</v>
      </c>
      <c r="E21" s="35" t="s">
        <v>848</v>
      </c>
      <c r="F21" s="30">
        <v>7300.0</v>
      </c>
      <c r="G21" s="36"/>
      <c r="H21" s="36"/>
      <c r="I21" s="30"/>
      <c r="J21" s="30"/>
      <c r="K21" s="37"/>
      <c r="L21" s="36"/>
      <c r="M21" s="36"/>
      <c r="N21" s="36"/>
      <c r="O21" s="36"/>
      <c r="P21" s="38">
        <v>7300.0</v>
      </c>
      <c r="Q21" s="25">
        <f t="shared" si="1"/>
        <v>0</v>
      </c>
      <c r="R21" s="38" t="s">
        <v>512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45676.0</v>
      </c>
      <c r="C22" s="33" t="s">
        <v>849</v>
      </c>
      <c r="D22" s="34">
        <v>52083.0</v>
      </c>
      <c r="E22" s="35" t="s">
        <v>423</v>
      </c>
      <c r="F22" s="30"/>
      <c r="G22" s="36"/>
      <c r="H22" s="36"/>
      <c r="I22" s="30">
        <v>5700.0</v>
      </c>
      <c r="J22" s="30"/>
      <c r="K22" s="37"/>
      <c r="L22" s="36"/>
      <c r="M22" s="36"/>
      <c r="N22" s="36"/>
      <c r="O22" s="36"/>
      <c r="P22" s="38">
        <v>5700.0</v>
      </c>
      <c r="Q22" s="25">
        <f t="shared" si="1"/>
        <v>0</v>
      </c>
      <c r="R22" s="38" t="s">
        <v>31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45675.0</v>
      </c>
      <c r="C23" s="33" t="s">
        <v>850</v>
      </c>
      <c r="D23" s="34">
        <v>51017.0</v>
      </c>
      <c r="E23" s="35" t="s">
        <v>167</v>
      </c>
      <c r="F23" s="30"/>
      <c r="G23" s="36"/>
      <c r="H23" s="36">
        <v>10000.0</v>
      </c>
      <c r="I23" s="30"/>
      <c r="J23" s="30"/>
      <c r="K23" s="37"/>
      <c r="L23" s="36"/>
      <c r="M23" s="36"/>
      <c r="N23" s="36"/>
      <c r="O23" s="36"/>
      <c r="P23" s="38">
        <v>10000.0</v>
      </c>
      <c r="Q23" s="25">
        <f t="shared" si="1"/>
        <v>0</v>
      </c>
      <c r="R23" s="38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45676.0</v>
      </c>
      <c r="C24" s="33" t="s">
        <v>851</v>
      </c>
      <c r="D24" s="34">
        <v>51166.0</v>
      </c>
      <c r="E24" s="35" t="s">
        <v>852</v>
      </c>
      <c r="F24" s="30"/>
      <c r="G24" s="36"/>
      <c r="H24" s="36">
        <v>5000.0</v>
      </c>
      <c r="I24" s="30"/>
      <c r="J24" s="30"/>
      <c r="K24" s="37"/>
      <c r="L24" s="36"/>
      <c r="M24" s="36"/>
      <c r="N24" s="36"/>
      <c r="O24" s="36"/>
      <c r="P24" s="38">
        <v>5000.0</v>
      </c>
      <c r="Q24" s="25">
        <f t="shared" si="1"/>
        <v>0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45676.0</v>
      </c>
      <c r="C25" s="33" t="s">
        <v>853</v>
      </c>
      <c r="D25" s="34">
        <v>51166.0</v>
      </c>
      <c r="E25" s="35" t="s">
        <v>852</v>
      </c>
      <c r="F25" s="30"/>
      <c r="G25" s="36"/>
      <c r="H25" s="36">
        <v>300.0</v>
      </c>
      <c r="I25" s="30"/>
      <c r="J25" s="30"/>
      <c r="K25" s="37"/>
      <c r="L25" s="36"/>
      <c r="M25" s="36"/>
      <c r="N25" s="36"/>
      <c r="O25" s="36"/>
      <c r="P25" s="38">
        <v>300.0</v>
      </c>
      <c r="Q25" s="25">
        <f t="shared" si="1"/>
        <v>0</v>
      </c>
      <c r="R25" s="38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/>
      <c r="B26" s="32"/>
      <c r="C26" s="33"/>
      <c r="D26" s="34"/>
      <c r="E26" s="35"/>
      <c r="F26" s="30"/>
      <c r="G26" s="36"/>
      <c r="H26" s="36"/>
      <c r="I26" s="30"/>
      <c r="J26" s="30"/>
      <c r="K26" s="37"/>
      <c r="L26" s="36"/>
      <c r="M26" s="36"/>
      <c r="N26" s="36"/>
      <c r="O26" s="36"/>
      <c r="P26" s="38"/>
      <c r="Q26" s="25">
        <f t="shared" si="1"/>
        <v>0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27"/>
      <c r="B27" s="128"/>
      <c r="C27" s="129"/>
      <c r="D27" s="130"/>
      <c r="E27" s="131"/>
      <c r="F27" s="132">
        <f t="shared" ref="F27:P27" si="2">SUM(F6:F26)</f>
        <v>12150</v>
      </c>
      <c r="G27" s="132">
        <f t="shared" si="2"/>
        <v>8000</v>
      </c>
      <c r="H27" s="132">
        <f t="shared" si="2"/>
        <v>15300</v>
      </c>
      <c r="I27" s="132">
        <f t="shared" si="2"/>
        <v>34600</v>
      </c>
      <c r="J27" s="132">
        <f t="shared" si="2"/>
        <v>5000</v>
      </c>
      <c r="K27" s="132">
        <f t="shared" si="2"/>
        <v>7200</v>
      </c>
      <c r="L27" s="132">
        <f t="shared" si="2"/>
        <v>0</v>
      </c>
      <c r="M27" s="132">
        <f t="shared" si="2"/>
        <v>1600</v>
      </c>
      <c r="N27" s="132">
        <f t="shared" si="2"/>
        <v>0</v>
      </c>
      <c r="O27" s="132">
        <f t="shared" si="2"/>
        <v>0</v>
      </c>
      <c r="P27" s="132">
        <f t="shared" si="2"/>
        <v>83850</v>
      </c>
      <c r="Q27" s="133"/>
      <c r="R27" s="134"/>
      <c r="S27" s="135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</row>
    <row r="28" ht="45.0" customHeight="1">
      <c r="A28" s="136"/>
      <c r="B28" s="137"/>
      <c r="C28" s="138"/>
      <c r="D28" s="137"/>
      <c r="E28" s="137"/>
      <c r="F28" s="139">
        <f>F27+G27+H27+I27+J27+K27+L27+M27+N27+O27</f>
        <v>83850</v>
      </c>
      <c r="G28" s="2"/>
      <c r="H28" s="2"/>
      <c r="I28" s="2"/>
      <c r="J28" s="2"/>
      <c r="K28" s="2"/>
      <c r="L28" s="2"/>
      <c r="M28" s="2"/>
      <c r="N28" s="2"/>
      <c r="O28" s="2"/>
      <c r="P28" s="140"/>
      <c r="Q28" s="140"/>
      <c r="R28" s="137"/>
      <c r="S28" s="141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ht="45.0" customHeight="1">
      <c r="A29" s="27"/>
      <c r="B29" s="27"/>
      <c r="C29" s="75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45.0" customHeight="1">
      <c r="A30" s="165" t="s">
        <v>445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66" t="s">
        <v>1</v>
      </c>
      <c r="B31" s="167" t="s">
        <v>2</v>
      </c>
      <c r="C31" s="167" t="s">
        <v>3</v>
      </c>
      <c r="D31" s="167" t="s">
        <v>4</v>
      </c>
      <c r="E31" s="167" t="s">
        <v>5</v>
      </c>
      <c r="F31" s="168" t="s">
        <v>252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167" t="s">
        <v>7</v>
      </c>
      <c r="S31" s="167" t="s">
        <v>8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0"/>
      <c r="B32" s="11"/>
      <c r="C32" s="11"/>
      <c r="D32" s="11"/>
      <c r="E32" s="11"/>
      <c r="F32" s="169" t="s">
        <v>9</v>
      </c>
      <c r="G32" s="170" t="s">
        <v>10</v>
      </c>
      <c r="H32" s="9"/>
      <c r="I32" s="170" t="s">
        <v>11</v>
      </c>
      <c r="J32" s="9"/>
      <c r="K32" s="167" t="s">
        <v>12</v>
      </c>
      <c r="L32" s="171"/>
      <c r="M32" s="171"/>
      <c r="N32" s="171"/>
      <c r="O32" s="172" t="s">
        <v>854</v>
      </c>
      <c r="P32" s="167" t="s">
        <v>14</v>
      </c>
      <c r="Q32" s="167" t="s">
        <v>15</v>
      </c>
      <c r="R32" s="11"/>
      <c r="S32" s="1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14"/>
      <c r="B33" s="9"/>
      <c r="C33" s="9"/>
      <c r="D33" s="9"/>
      <c r="E33" s="9"/>
      <c r="F33" s="9"/>
      <c r="G33" s="173" t="s">
        <v>16</v>
      </c>
      <c r="H33" s="173" t="s">
        <v>17</v>
      </c>
      <c r="I33" s="173" t="s">
        <v>18</v>
      </c>
      <c r="J33" s="173" t="s">
        <v>19</v>
      </c>
      <c r="K33" s="9"/>
      <c r="L33" s="173" t="s">
        <v>20</v>
      </c>
      <c r="M33" s="173" t="s">
        <v>21</v>
      </c>
      <c r="N33" s="173" t="s">
        <v>22</v>
      </c>
      <c r="O33" s="9"/>
      <c r="P33" s="9"/>
      <c r="Q33" s="9"/>
      <c r="R33" s="9"/>
      <c r="S33" s="9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48.0" customHeight="1">
      <c r="A34" s="16">
        <v>1.0</v>
      </c>
      <c r="B34" s="34" t="s">
        <v>855</v>
      </c>
      <c r="C34" s="33" t="s">
        <v>856</v>
      </c>
      <c r="D34" s="34">
        <v>47787.0</v>
      </c>
      <c r="E34" s="35" t="s">
        <v>857</v>
      </c>
      <c r="F34" s="30"/>
      <c r="G34" s="36"/>
      <c r="H34" s="36"/>
      <c r="I34" s="30"/>
      <c r="J34" s="30"/>
      <c r="K34" s="37"/>
      <c r="L34" s="36">
        <v>11400.0</v>
      </c>
      <c r="M34" s="36"/>
      <c r="N34" s="36"/>
      <c r="O34" s="36"/>
      <c r="P34" s="38">
        <v>11400.0</v>
      </c>
      <c r="Q34" s="25">
        <f t="shared" ref="Q34:Q35" si="4">F34+G34+H34+I34+J34+K34+L34+M34+N34+O34-P34</f>
        <v>0</v>
      </c>
      <c r="R34" s="38" t="s">
        <v>171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58.5" customHeight="1">
      <c r="A35" s="174"/>
      <c r="B35" s="175"/>
      <c r="C35" s="176"/>
      <c r="D35" s="177" t="s">
        <v>115</v>
      </c>
      <c r="E35" s="178"/>
      <c r="F35" s="179">
        <f t="shared" ref="F35:P35" si="3">SUM(F34)</f>
        <v>0</v>
      </c>
      <c r="G35" s="179">
        <f t="shared" si="3"/>
        <v>0</v>
      </c>
      <c r="H35" s="179">
        <f t="shared" si="3"/>
        <v>0</v>
      </c>
      <c r="I35" s="179">
        <f t="shared" si="3"/>
        <v>0</v>
      </c>
      <c r="J35" s="179">
        <f t="shared" si="3"/>
        <v>0</v>
      </c>
      <c r="K35" s="179">
        <f t="shared" si="3"/>
        <v>0</v>
      </c>
      <c r="L35" s="179">
        <f t="shared" si="3"/>
        <v>11400</v>
      </c>
      <c r="M35" s="179">
        <f t="shared" si="3"/>
        <v>0</v>
      </c>
      <c r="N35" s="179">
        <f t="shared" si="3"/>
        <v>0</v>
      </c>
      <c r="O35" s="179">
        <f t="shared" si="3"/>
        <v>0</v>
      </c>
      <c r="P35" s="179">
        <f t="shared" si="3"/>
        <v>11400</v>
      </c>
      <c r="Q35" s="180">
        <f t="shared" si="4"/>
        <v>0</v>
      </c>
      <c r="R35" s="178"/>
      <c r="S35" s="18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58.5" customHeight="1">
      <c r="A36" s="182"/>
      <c r="B36" s="183"/>
      <c r="C36" s="184"/>
      <c r="D36" s="183"/>
      <c r="E36" s="183"/>
      <c r="F36" s="185">
        <f>F35+G35+H35+I35+J35+K35+L35+M35+N35+O35</f>
        <v>11400</v>
      </c>
      <c r="G36" s="2"/>
      <c r="H36" s="2"/>
      <c r="I36" s="2"/>
      <c r="J36" s="2"/>
      <c r="K36" s="2"/>
      <c r="L36" s="2"/>
      <c r="M36" s="2"/>
      <c r="N36" s="2"/>
      <c r="O36" s="2"/>
      <c r="P36" s="186"/>
      <c r="Q36" s="186"/>
      <c r="R36" s="183"/>
      <c r="S36" s="18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58.5" customHeight="1">
      <c r="A37" s="4"/>
      <c r="B37" s="4"/>
      <c r="C37" s="5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51"/>
      <c r="D38" s="4"/>
      <c r="E38" s="188" t="s">
        <v>118</v>
      </c>
      <c r="F38" s="189" t="s">
        <v>170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120</v>
      </c>
      <c r="F39" s="189" t="s">
        <v>171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121</v>
      </c>
      <c r="F40" s="189" t="s">
        <v>171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122</v>
      </c>
      <c r="F41" s="189" t="s">
        <v>172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858</v>
      </c>
      <c r="F42" s="189" t="s">
        <v>171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124</v>
      </c>
      <c r="F43" s="189" t="s">
        <v>549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126</v>
      </c>
      <c r="F44" s="189" t="s">
        <v>117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 t="s">
        <v>595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1:D33"/>
    <mergeCell ref="E31:E33"/>
    <mergeCell ref="P4:P5"/>
    <mergeCell ref="Q4:Q5"/>
    <mergeCell ref="F28:O28"/>
    <mergeCell ref="A30:S30"/>
    <mergeCell ref="A31:A33"/>
    <mergeCell ref="B31:B33"/>
    <mergeCell ref="C31:C33"/>
    <mergeCell ref="S31:S33"/>
    <mergeCell ref="P32:P33"/>
    <mergeCell ref="Q32:Q33"/>
    <mergeCell ref="F31:Q31"/>
    <mergeCell ref="R31:R33"/>
    <mergeCell ref="F32:F33"/>
    <mergeCell ref="G32:H32"/>
    <mergeCell ref="I32:J32"/>
    <mergeCell ref="K32:K33"/>
    <mergeCell ref="O32:O33"/>
    <mergeCell ref="F36:O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859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45676.0</v>
      </c>
      <c r="C6" s="18" t="s">
        <v>860</v>
      </c>
      <c r="D6" s="19">
        <v>57499.0</v>
      </c>
      <c r="E6" s="20" t="s">
        <v>50</v>
      </c>
      <c r="F6" s="22"/>
      <c r="G6" s="22"/>
      <c r="H6" s="22"/>
      <c r="I6" s="21"/>
      <c r="J6" s="21"/>
      <c r="K6" s="22">
        <v>129.0</v>
      </c>
      <c r="L6" s="22"/>
      <c r="M6" s="21"/>
      <c r="N6" s="22"/>
      <c r="O6" s="22"/>
      <c r="P6" s="24">
        <v>129.0</v>
      </c>
      <c r="Q6" s="25">
        <f t="shared" ref="Q6:Q29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45676.0</v>
      </c>
      <c r="C7" s="18" t="s">
        <v>861</v>
      </c>
      <c r="D7" s="19">
        <v>85994.0</v>
      </c>
      <c r="E7" s="20" t="s">
        <v>862</v>
      </c>
      <c r="F7" s="21">
        <v>280.0</v>
      </c>
      <c r="G7" s="22"/>
      <c r="H7" s="22"/>
      <c r="I7" s="30"/>
      <c r="J7" s="22"/>
      <c r="K7" s="31"/>
      <c r="L7" s="22"/>
      <c r="M7" s="22"/>
      <c r="N7" s="22"/>
      <c r="O7" s="22"/>
      <c r="P7" s="24">
        <v>280.0</v>
      </c>
      <c r="Q7" s="25">
        <f t="shared" si="1"/>
        <v>0</v>
      </c>
      <c r="R7" s="24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45676.0</v>
      </c>
      <c r="C8" s="18" t="s">
        <v>863</v>
      </c>
      <c r="D8" s="19">
        <v>85993.0</v>
      </c>
      <c r="E8" s="20" t="s">
        <v>848</v>
      </c>
      <c r="F8" s="21"/>
      <c r="G8" s="22"/>
      <c r="H8" s="22"/>
      <c r="I8" s="21">
        <v>0.0</v>
      </c>
      <c r="J8" s="22"/>
      <c r="K8" s="21"/>
      <c r="L8" s="22"/>
      <c r="M8" s="22"/>
      <c r="N8" s="22"/>
      <c r="O8" s="22"/>
      <c r="P8" s="24">
        <v>7300.0</v>
      </c>
      <c r="Q8" s="25">
        <f t="shared" si="1"/>
        <v>-7300</v>
      </c>
      <c r="R8" s="24" t="s">
        <v>512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45677.0</v>
      </c>
      <c r="C9" s="33" t="s">
        <v>864</v>
      </c>
      <c r="D9" s="34">
        <v>62146.0</v>
      </c>
      <c r="E9" s="35" t="s">
        <v>389</v>
      </c>
      <c r="F9" s="30"/>
      <c r="G9" s="36"/>
      <c r="H9" s="36"/>
      <c r="I9" s="30"/>
      <c r="J9" s="30">
        <v>10000.0</v>
      </c>
      <c r="K9" s="37"/>
      <c r="L9" s="36"/>
      <c r="M9" s="36"/>
      <c r="N9" s="36"/>
      <c r="O9" s="36"/>
      <c r="P9" s="38">
        <v>10000.0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45677.0</v>
      </c>
      <c r="C10" s="33" t="s">
        <v>865</v>
      </c>
      <c r="D10" s="34">
        <v>84036.0</v>
      </c>
      <c r="E10" s="35" t="s">
        <v>43</v>
      </c>
      <c r="F10" s="30"/>
      <c r="G10" s="36"/>
      <c r="H10" s="36"/>
      <c r="I10" s="30">
        <v>2600.0</v>
      </c>
      <c r="J10" s="30"/>
      <c r="K10" s="37"/>
      <c r="L10" s="36"/>
      <c r="M10" s="36"/>
      <c r="N10" s="36"/>
      <c r="O10" s="36"/>
      <c r="P10" s="38">
        <v>2600.0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45677.0</v>
      </c>
      <c r="C11" s="33" t="s">
        <v>866</v>
      </c>
      <c r="D11" s="34">
        <v>36928.0</v>
      </c>
      <c r="E11" s="35" t="s">
        <v>867</v>
      </c>
      <c r="F11" s="30"/>
      <c r="G11" s="36"/>
      <c r="H11" s="36"/>
      <c r="I11" s="30">
        <v>4500.0</v>
      </c>
      <c r="J11" s="30"/>
      <c r="K11" s="37"/>
      <c r="L11" s="36"/>
      <c r="M11" s="36"/>
      <c r="N11" s="36"/>
      <c r="O11" s="36"/>
      <c r="P11" s="38">
        <v>4500.0</v>
      </c>
      <c r="Q11" s="25">
        <f t="shared" si="1"/>
        <v>0</v>
      </c>
      <c r="R11" s="38" t="s">
        <v>28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45677.0</v>
      </c>
      <c r="C12" s="33" t="s">
        <v>868</v>
      </c>
      <c r="D12" s="34">
        <v>47182.0</v>
      </c>
      <c r="E12" s="35" t="s">
        <v>869</v>
      </c>
      <c r="F12" s="30"/>
      <c r="G12" s="36"/>
      <c r="H12" s="36"/>
      <c r="I12" s="30">
        <v>2600.0</v>
      </c>
      <c r="J12" s="30"/>
      <c r="K12" s="37"/>
      <c r="L12" s="36"/>
      <c r="M12" s="36"/>
      <c r="N12" s="36"/>
      <c r="O12" s="36"/>
      <c r="P12" s="38">
        <v>2600.0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45677.0</v>
      </c>
      <c r="C13" s="33" t="s">
        <v>870</v>
      </c>
      <c r="D13" s="34">
        <v>36928.0</v>
      </c>
      <c r="E13" s="35" t="s">
        <v>867</v>
      </c>
      <c r="F13" s="30"/>
      <c r="G13" s="36"/>
      <c r="H13" s="36"/>
      <c r="I13" s="30">
        <v>1550.0</v>
      </c>
      <c r="J13" s="30"/>
      <c r="K13" s="37"/>
      <c r="L13" s="36"/>
      <c r="M13" s="36"/>
      <c r="N13" s="36"/>
      <c r="O13" s="36"/>
      <c r="P13" s="38">
        <v>1550.0</v>
      </c>
      <c r="Q13" s="25">
        <f t="shared" si="1"/>
        <v>0</v>
      </c>
      <c r="R13" s="38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45677.0</v>
      </c>
      <c r="C14" s="33" t="s">
        <v>871</v>
      </c>
      <c r="D14" s="34">
        <v>64461.0</v>
      </c>
      <c r="E14" s="35" t="s">
        <v>708</v>
      </c>
      <c r="F14" s="30"/>
      <c r="G14" s="36"/>
      <c r="H14" s="36"/>
      <c r="I14" s="30">
        <v>300.0</v>
      </c>
      <c r="J14" s="30"/>
      <c r="K14" s="37"/>
      <c r="L14" s="36"/>
      <c r="M14" s="36"/>
      <c r="N14" s="36"/>
      <c r="O14" s="36"/>
      <c r="P14" s="38">
        <v>300.0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45677.0</v>
      </c>
      <c r="C15" s="33" t="s">
        <v>872</v>
      </c>
      <c r="D15" s="34">
        <v>62146.0</v>
      </c>
      <c r="E15" s="35" t="s">
        <v>389</v>
      </c>
      <c r="F15" s="30"/>
      <c r="G15" s="36"/>
      <c r="H15" s="36"/>
      <c r="I15" s="30">
        <v>50.0</v>
      </c>
      <c r="J15" s="30"/>
      <c r="K15" s="37"/>
      <c r="L15" s="36"/>
      <c r="M15" s="36"/>
      <c r="N15" s="36"/>
      <c r="O15" s="36"/>
      <c r="P15" s="38">
        <v>50.0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45677.0</v>
      </c>
      <c r="C16" s="33" t="s">
        <v>873</v>
      </c>
      <c r="D16" s="34">
        <v>43134.0</v>
      </c>
      <c r="E16" s="35" t="s">
        <v>874</v>
      </c>
      <c r="F16" s="30"/>
      <c r="G16" s="36"/>
      <c r="H16" s="36"/>
      <c r="I16" s="30">
        <v>5100.0</v>
      </c>
      <c r="J16" s="30"/>
      <c r="K16" s="37"/>
      <c r="L16" s="36"/>
      <c r="M16" s="36"/>
      <c r="N16" s="36"/>
      <c r="O16" s="36"/>
      <c r="P16" s="38">
        <v>5100.0</v>
      </c>
      <c r="Q16" s="25">
        <f t="shared" si="1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45677.0</v>
      </c>
      <c r="C17" s="33" t="s">
        <v>875</v>
      </c>
      <c r="D17" s="34">
        <v>81108.0</v>
      </c>
      <c r="E17" s="35" t="s">
        <v>328</v>
      </c>
      <c r="F17" s="30"/>
      <c r="G17" s="36"/>
      <c r="H17" s="36"/>
      <c r="I17" s="30">
        <v>15100.0</v>
      </c>
      <c r="J17" s="30"/>
      <c r="K17" s="37"/>
      <c r="L17" s="36"/>
      <c r="M17" s="36"/>
      <c r="N17" s="36"/>
      <c r="O17" s="36"/>
      <c r="P17" s="38">
        <v>15100.0</v>
      </c>
      <c r="Q17" s="25">
        <f t="shared" si="1"/>
        <v>0</v>
      </c>
      <c r="R17" s="38" t="s">
        <v>31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45677.0</v>
      </c>
      <c r="C18" s="33" t="s">
        <v>876</v>
      </c>
      <c r="D18" s="34">
        <v>72414.0</v>
      </c>
      <c r="E18" s="35" t="s">
        <v>877</v>
      </c>
      <c r="F18" s="30"/>
      <c r="G18" s="36"/>
      <c r="H18" s="36"/>
      <c r="I18" s="30"/>
      <c r="J18" s="30">
        <v>2800.0</v>
      </c>
      <c r="K18" s="37"/>
      <c r="L18" s="36"/>
      <c r="M18" s="36"/>
      <c r="N18" s="36"/>
      <c r="O18" s="36"/>
      <c r="P18" s="38">
        <v>2800.0</v>
      </c>
      <c r="Q18" s="25">
        <f t="shared" si="1"/>
        <v>0</v>
      </c>
      <c r="R18" s="38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45677.0</v>
      </c>
      <c r="C19" s="33" t="s">
        <v>878</v>
      </c>
      <c r="D19" s="34">
        <v>53249.0</v>
      </c>
      <c r="E19" s="35" t="s">
        <v>269</v>
      </c>
      <c r="F19" s="30"/>
      <c r="G19" s="36"/>
      <c r="H19" s="36"/>
      <c r="I19" s="30">
        <v>15100.0</v>
      </c>
      <c r="J19" s="30"/>
      <c r="K19" s="37"/>
      <c r="L19" s="36"/>
      <c r="M19" s="36"/>
      <c r="N19" s="36"/>
      <c r="O19" s="36"/>
      <c r="P19" s="38">
        <v>15100.0</v>
      </c>
      <c r="Q19" s="25">
        <f t="shared" si="1"/>
        <v>0</v>
      </c>
      <c r="R19" s="38" t="s">
        <v>28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45677.0</v>
      </c>
      <c r="C20" s="33" t="s">
        <v>879</v>
      </c>
      <c r="D20" s="34">
        <v>42050.0</v>
      </c>
      <c r="E20" s="35" t="s">
        <v>880</v>
      </c>
      <c r="F20" s="30"/>
      <c r="G20" s="36"/>
      <c r="H20" s="36"/>
      <c r="I20" s="30"/>
      <c r="J20" s="30">
        <v>4600.0</v>
      </c>
      <c r="K20" s="37"/>
      <c r="L20" s="36"/>
      <c r="M20" s="36"/>
      <c r="N20" s="36"/>
      <c r="O20" s="36"/>
      <c r="P20" s="38">
        <v>4600.0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45677.0</v>
      </c>
      <c r="C21" s="33" t="s">
        <v>881</v>
      </c>
      <c r="D21" s="34">
        <v>86005.0</v>
      </c>
      <c r="E21" s="35" t="s">
        <v>882</v>
      </c>
      <c r="F21" s="30"/>
      <c r="G21" s="36"/>
      <c r="H21" s="36"/>
      <c r="I21" s="30">
        <v>300.0</v>
      </c>
      <c r="J21" s="30"/>
      <c r="K21" s="37"/>
      <c r="L21" s="36"/>
      <c r="M21" s="36"/>
      <c r="N21" s="36"/>
      <c r="O21" s="36"/>
      <c r="P21" s="38">
        <v>300.0</v>
      </c>
      <c r="Q21" s="25">
        <f t="shared" si="1"/>
        <v>0</v>
      </c>
      <c r="R21" s="38" t="s">
        <v>28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45677.0</v>
      </c>
      <c r="C22" s="33" t="s">
        <v>883</v>
      </c>
      <c r="D22" s="34">
        <v>47787.0</v>
      </c>
      <c r="E22" s="35" t="s">
        <v>158</v>
      </c>
      <c r="F22" s="30"/>
      <c r="G22" s="36"/>
      <c r="H22" s="36"/>
      <c r="I22" s="30">
        <v>5000.0</v>
      </c>
      <c r="J22" s="30"/>
      <c r="K22" s="37"/>
      <c r="L22" s="36"/>
      <c r="M22" s="36"/>
      <c r="N22" s="36"/>
      <c r="O22" s="36"/>
      <c r="P22" s="38">
        <v>5000.0</v>
      </c>
      <c r="Q22" s="25">
        <f t="shared" si="1"/>
        <v>0</v>
      </c>
      <c r="R22" s="38" t="s">
        <v>28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45677.0</v>
      </c>
      <c r="C23" s="33" t="s">
        <v>884</v>
      </c>
      <c r="D23" s="34">
        <v>48910.0</v>
      </c>
      <c r="E23" s="35" t="s">
        <v>885</v>
      </c>
      <c r="F23" s="30"/>
      <c r="G23" s="36"/>
      <c r="H23" s="36"/>
      <c r="I23" s="30"/>
      <c r="J23" s="30">
        <v>1500.0</v>
      </c>
      <c r="K23" s="37"/>
      <c r="L23" s="36"/>
      <c r="M23" s="36"/>
      <c r="N23" s="36"/>
      <c r="O23" s="36"/>
      <c r="P23" s="38">
        <v>1500.0</v>
      </c>
      <c r="Q23" s="25">
        <f t="shared" si="1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45677.0</v>
      </c>
      <c r="C24" s="33" t="s">
        <v>886</v>
      </c>
      <c r="D24" s="34">
        <v>31738.0</v>
      </c>
      <c r="E24" s="35" t="s">
        <v>887</v>
      </c>
      <c r="F24" s="30"/>
      <c r="G24" s="36"/>
      <c r="H24" s="36"/>
      <c r="I24" s="30">
        <v>1400.0</v>
      </c>
      <c r="J24" s="30"/>
      <c r="K24" s="37"/>
      <c r="L24" s="36"/>
      <c r="M24" s="36"/>
      <c r="N24" s="36"/>
      <c r="O24" s="36"/>
      <c r="P24" s="38">
        <v>1400.0</v>
      </c>
      <c r="Q24" s="25">
        <f t="shared" si="1"/>
        <v>0</v>
      </c>
      <c r="R24" s="38" t="s">
        <v>28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45677.0</v>
      </c>
      <c r="C25" s="33" t="s">
        <v>888</v>
      </c>
      <c r="D25" s="34">
        <v>10006.0</v>
      </c>
      <c r="E25" s="35" t="s">
        <v>889</v>
      </c>
      <c r="F25" s="30"/>
      <c r="G25" s="36">
        <v>3000.0</v>
      </c>
      <c r="H25" s="36"/>
      <c r="I25" s="30"/>
      <c r="J25" s="30"/>
      <c r="K25" s="37"/>
      <c r="L25" s="36"/>
      <c r="M25" s="36"/>
      <c r="N25" s="36"/>
      <c r="O25" s="36"/>
      <c r="P25" s="38">
        <v>3000.0</v>
      </c>
      <c r="Q25" s="25">
        <f t="shared" si="1"/>
        <v>0</v>
      </c>
      <c r="R25" s="38" t="s">
        <v>512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45677.0</v>
      </c>
      <c r="C26" s="33" t="s">
        <v>890</v>
      </c>
      <c r="D26" s="34">
        <v>10249.0</v>
      </c>
      <c r="E26" s="35" t="s">
        <v>394</v>
      </c>
      <c r="F26" s="30"/>
      <c r="G26" s="36"/>
      <c r="H26" s="36"/>
      <c r="I26" s="30"/>
      <c r="J26" s="30">
        <v>3800.0</v>
      </c>
      <c r="K26" s="37"/>
      <c r="L26" s="36"/>
      <c r="M26" s="36"/>
      <c r="N26" s="36"/>
      <c r="O26" s="36"/>
      <c r="P26" s="38">
        <v>3800.0</v>
      </c>
      <c r="Q26" s="25">
        <f t="shared" si="1"/>
        <v>0</v>
      </c>
      <c r="R26" s="38" t="s">
        <v>512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45677.0</v>
      </c>
      <c r="C27" s="33" t="s">
        <v>891</v>
      </c>
      <c r="D27" s="34">
        <v>61445.0</v>
      </c>
      <c r="E27" s="35" t="s">
        <v>892</v>
      </c>
      <c r="F27" s="30"/>
      <c r="G27" s="36"/>
      <c r="H27" s="36"/>
      <c r="I27" s="30"/>
      <c r="J27" s="30"/>
      <c r="K27" s="37"/>
      <c r="L27" s="36"/>
      <c r="M27" s="36">
        <v>1950.0</v>
      </c>
      <c r="N27" s="36"/>
      <c r="O27" s="36"/>
      <c r="P27" s="38">
        <v>1950.0</v>
      </c>
      <c r="Q27" s="25">
        <f t="shared" si="1"/>
        <v>0</v>
      </c>
      <c r="R27" s="38" t="s">
        <v>46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45676.0</v>
      </c>
      <c r="C28" s="33" t="s">
        <v>893</v>
      </c>
      <c r="D28" s="34">
        <v>51017.0</v>
      </c>
      <c r="E28" s="35" t="s">
        <v>167</v>
      </c>
      <c r="F28" s="30"/>
      <c r="G28" s="36"/>
      <c r="H28" s="36">
        <v>12000.0</v>
      </c>
      <c r="I28" s="30"/>
      <c r="J28" s="30"/>
      <c r="K28" s="37"/>
      <c r="L28" s="36"/>
      <c r="M28" s="36"/>
      <c r="N28" s="36"/>
      <c r="O28" s="36"/>
      <c r="P28" s="38">
        <v>12000.0</v>
      </c>
      <c r="Q28" s="25">
        <f t="shared" si="1"/>
        <v>0</v>
      </c>
      <c r="R28" s="38"/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45677.0</v>
      </c>
      <c r="C29" s="33" t="s">
        <v>894</v>
      </c>
      <c r="D29" s="34">
        <v>47787.0</v>
      </c>
      <c r="E29" s="35" t="s">
        <v>158</v>
      </c>
      <c r="F29" s="30"/>
      <c r="G29" s="36"/>
      <c r="H29" s="36"/>
      <c r="I29" s="30"/>
      <c r="J29" s="30"/>
      <c r="K29" s="37">
        <v>4500.0</v>
      </c>
      <c r="L29" s="36"/>
      <c r="M29" s="36"/>
      <c r="N29" s="36"/>
      <c r="O29" s="36"/>
      <c r="P29" s="38">
        <v>4500.0</v>
      </c>
      <c r="Q29" s="25">
        <f t="shared" si="1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27"/>
      <c r="B30" s="128"/>
      <c r="C30" s="129"/>
      <c r="D30" s="130"/>
      <c r="E30" s="131"/>
      <c r="F30" s="132">
        <f t="shared" ref="F30:P30" si="2">SUM(F6:F29)</f>
        <v>280</v>
      </c>
      <c r="G30" s="132">
        <f t="shared" si="2"/>
        <v>3000</v>
      </c>
      <c r="H30" s="132">
        <f t="shared" si="2"/>
        <v>12000</v>
      </c>
      <c r="I30" s="132">
        <f t="shared" si="2"/>
        <v>53600</v>
      </c>
      <c r="J30" s="132">
        <f t="shared" si="2"/>
        <v>22700</v>
      </c>
      <c r="K30" s="132">
        <f t="shared" si="2"/>
        <v>4629</v>
      </c>
      <c r="L30" s="132">
        <f t="shared" si="2"/>
        <v>0</v>
      </c>
      <c r="M30" s="132">
        <f t="shared" si="2"/>
        <v>1950</v>
      </c>
      <c r="N30" s="132">
        <f t="shared" si="2"/>
        <v>0</v>
      </c>
      <c r="O30" s="132">
        <f t="shared" si="2"/>
        <v>0</v>
      </c>
      <c r="P30" s="132">
        <f t="shared" si="2"/>
        <v>105459</v>
      </c>
      <c r="Q30" s="133"/>
      <c r="R30" s="134"/>
      <c r="S30" s="135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 ht="45.0" customHeight="1">
      <c r="A31" s="136"/>
      <c r="B31" s="137"/>
      <c r="C31" s="138"/>
      <c r="D31" s="137"/>
      <c r="E31" s="137"/>
      <c r="F31" s="139">
        <f>F30+G30+H30+I30+J30+K30+L30+M30+N30+O30</f>
        <v>98159</v>
      </c>
      <c r="G31" s="2"/>
      <c r="H31" s="2"/>
      <c r="I31" s="2"/>
      <c r="J31" s="2"/>
      <c r="K31" s="2"/>
      <c r="L31" s="2"/>
      <c r="M31" s="2"/>
      <c r="N31" s="2"/>
      <c r="O31" s="2"/>
      <c r="P31" s="140"/>
      <c r="Q31" s="140"/>
      <c r="R31" s="137"/>
      <c r="S31" s="141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ht="45.0" customHeight="1">
      <c r="A32" s="27"/>
      <c r="B32" s="27"/>
      <c r="C32" s="75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ht="45.0" customHeight="1">
      <c r="A33" s="165" t="s">
        <v>445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6" t="s">
        <v>1</v>
      </c>
      <c r="B34" s="167" t="s">
        <v>2</v>
      </c>
      <c r="C34" s="167" t="s">
        <v>3</v>
      </c>
      <c r="D34" s="167" t="s">
        <v>4</v>
      </c>
      <c r="E34" s="167" t="s">
        <v>5</v>
      </c>
      <c r="F34" s="168" t="s">
        <v>252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67" t="s">
        <v>7</v>
      </c>
      <c r="S34" s="167" t="s">
        <v>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0"/>
      <c r="B35" s="11"/>
      <c r="C35" s="11"/>
      <c r="D35" s="11"/>
      <c r="E35" s="11"/>
      <c r="F35" s="169" t="s">
        <v>9</v>
      </c>
      <c r="G35" s="170" t="s">
        <v>10</v>
      </c>
      <c r="H35" s="9"/>
      <c r="I35" s="170" t="s">
        <v>11</v>
      </c>
      <c r="J35" s="9"/>
      <c r="K35" s="167" t="s">
        <v>12</v>
      </c>
      <c r="L35" s="171"/>
      <c r="M35" s="171"/>
      <c r="N35" s="171"/>
      <c r="O35" s="172" t="s">
        <v>895</v>
      </c>
      <c r="P35" s="167" t="s">
        <v>14</v>
      </c>
      <c r="Q35" s="167" t="s">
        <v>15</v>
      </c>
      <c r="R35" s="11"/>
      <c r="S35" s="1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4"/>
      <c r="B36" s="9"/>
      <c r="C36" s="9"/>
      <c r="D36" s="9"/>
      <c r="E36" s="9"/>
      <c r="F36" s="9"/>
      <c r="G36" s="173" t="s">
        <v>16</v>
      </c>
      <c r="H36" s="173" t="s">
        <v>17</v>
      </c>
      <c r="I36" s="173" t="s">
        <v>18</v>
      </c>
      <c r="J36" s="173" t="s">
        <v>19</v>
      </c>
      <c r="K36" s="9"/>
      <c r="L36" s="173" t="s">
        <v>20</v>
      </c>
      <c r="M36" s="173" t="s">
        <v>21</v>
      </c>
      <c r="N36" s="173" t="s">
        <v>22</v>
      </c>
      <c r="O36" s="9"/>
      <c r="P36" s="9"/>
      <c r="Q36" s="9"/>
      <c r="R36" s="9"/>
      <c r="S36" s="9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48.0" customHeight="1">
      <c r="A37" s="16">
        <v>1.0</v>
      </c>
      <c r="B37" s="191">
        <v>45677.0</v>
      </c>
      <c r="C37" s="33" t="s">
        <v>896</v>
      </c>
      <c r="D37" s="34">
        <v>10006.0</v>
      </c>
      <c r="E37" s="35" t="s">
        <v>889</v>
      </c>
      <c r="F37" s="30"/>
      <c r="G37" s="36">
        <v>100.0</v>
      </c>
      <c r="H37" s="36"/>
      <c r="I37" s="30"/>
      <c r="J37" s="30"/>
      <c r="K37" s="37"/>
      <c r="L37" s="36">
        <v>0.0</v>
      </c>
      <c r="M37" s="36"/>
      <c r="N37" s="36"/>
      <c r="O37" s="36"/>
      <c r="P37" s="38">
        <v>100.0</v>
      </c>
      <c r="Q37" s="25">
        <f t="shared" ref="Q37:Q38" si="4">F37+G37+H37+I37+J37+K37+L37+M37+N37+O37-P37</f>
        <v>0</v>
      </c>
      <c r="R37" s="38" t="s">
        <v>46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58.5" customHeight="1">
      <c r="A38" s="174"/>
      <c r="B38" s="175"/>
      <c r="C38" s="176"/>
      <c r="D38" s="177" t="s">
        <v>115</v>
      </c>
      <c r="E38" s="178"/>
      <c r="F38" s="179">
        <f t="shared" ref="F38:P38" si="3">SUM(F37)</f>
        <v>0</v>
      </c>
      <c r="G38" s="179">
        <f t="shared" si="3"/>
        <v>100</v>
      </c>
      <c r="H38" s="179">
        <f t="shared" si="3"/>
        <v>0</v>
      </c>
      <c r="I38" s="179">
        <f t="shared" si="3"/>
        <v>0</v>
      </c>
      <c r="J38" s="179">
        <f t="shared" si="3"/>
        <v>0</v>
      </c>
      <c r="K38" s="179">
        <f t="shared" si="3"/>
        <v>0</v>
      </c>
      <c r="L38" s="179">
        <f t="shared" si="3"/>
        <v>0</v>
      </c>
      <c r="M38" s="179">
        <f t="shared" si="3"/>
        <v>0</v>
      </c>
      <c r="N38" s="179">
        <f t="shared" si="3"/>
        <v>0</v>
      </c>
      <c r="O38" s="179">
        <f t="shared" si="3"/>
        <v>0</v>
      </c>
      <c r="P38" s="179">
        <f t="shared" si="3"/>
        <v>100</v>
      </c>
      <c r="Q38" s="180">
        <f t="shared" si="4"/>
        <v>0</v>
      </c>
      <c r="R38" s="178"/>
      <c r="S38" s="18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58.5" customHeight="1">
      <c r="A39" s="182"/>
      <c r="B39" s="183"/>
      <c r="C39" s="184"/>
      <c r="D39" s="183"/>
      <c r="E39" s="183"/>
      <c r="F39" s="185">
        <f>F38+G38+H38+I38+J38+K38+L38+M38+N38+O38</f>
        <v>100</v>
      </c>
      <c r="G39" s="2"/>
      <c r="H39" s="2"/>
      <c r="I39" s="2"/>
      <c r="J39" s="2"/>
      <c r="K39" s="2"/>
      <c r="L39" s="2"/>
      <c r="M39" s="2"/>
      <c r="N39" s="2"/>
      <c r="O39" s="2"/>
      <c r="P39" s="186"/>
      <c r="Q39" s="186"/>
      <c r="R39" s="183"/>
      <c r="S39" s="18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58.5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118</v>
      </c>
      <c r="F41" s="189" t="s">
        <v>170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120</v>
      </c>
      <c r="F42" s="189" t="s">
        <v>119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121</v>
      </c>
      <c r="F43" s="189" t="s">
        <v>119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122</v>
      </c>
      <c r="F44" s="189" t="s">
        <v>119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897</v>
      </c>
      <c r="F45" s="189" t="s">
        <v>119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124</v>
      </c>
      <c r="F46" s="189" t="s">
        <v>549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126</v>
      </c>
      <c r="F47" s="189" t="s">
        <v>117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 t="s">
        <v>595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1:O31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39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898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45678.0</v>
      </c>
      <c r="C6" s="18" t="s">
        <v>899</v>
      </c>
      <c r="D6" s="19">
        <v>62748.0</v>
      </c>
      <c r="E6" s="20" t="s">
        <v>900</v>
      </c>
      <c r="F6" s="22"/>
      <c r="G6" s="22"/>
      <c r="H6" s="22"/>
      <c r="I6" s="21">
        <v>10000.0</v>
      </c>
      <c r="J6" s="21"/>
      <c r="K6" s="22"/>
      <c r="L6" s="22"/>
      <c r="M6" s="21"/>
      <c r="N6" s="22"/>
      <c r="O6" s="22"/>
      <c r="P6" s="24">
        <v>10000.0</v>
      </c>
      <c r="Q6" s="25">
        <f t="shared" ref="Q6:Q18" si="1">F6+G6+H6+I6+J6+K6+L6+M6+N6+O6-P6</f>
        <v>0</v>
      </c>
      <c r="R6" s="24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45678.0</v>
      </c>
      <c r="C7" s="18" t="s">
        <v>901</v>
      </c>
      <c r="D7" s="19">
        <v>42339.0</v>
      </c>
      <c r="E7" s="20" t="s">
        <v>463</v>
      </c>
      <c r="F7" s="21"/>
      <c r="G7" s="22"/>
      <c r="H7" s="22"/>
      <c r="I7" s="30"/>
      <c r="J7" s="22">
        <v>2600.0</v>
      </c>
      <c r="K7" s="31"/>
      <c r="L7" s="22"/>
      <c r="M7" s="22"/>
      <c r="N7" s="22"/>
      <c r="O7" s="22"/>
      <c r="P7" s="24">
        <v>2600.0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45678.0</v>
      </c>
      <c r="C8" s="18" t="s">
        <v>902</v>
      </c>
      <c r="D8" s="19">
        <v>58234.0</v>
      </c>
      <c r="E8" s="20" t="s">
        <v>903</v>
      </c>
      <c r="F8" s="21"/>
      <c r="G8" s="22"/>
      <c r="H8" s="22"/>
      <c r="I8" s="21">
        <v>2600.0</v>
      </c>
      <c r="J8" s="22"/>
      <c r="K8" s="21"/>
      <c r="L8" s="22"/>
      <c r="M8" s="22"/>
      <c r="N8" s="22"/>
      <c r="O8" s="22"/>
      <c r="P8" s="24">
        <v>2600.0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45678.0</v>
      </c>
      <c r="C9" s="33" t="s">
        <v>904</v>
      </c>
      <c r="D9" s="34">
        <v>35227.0</v>
      </c>
      <c r="E9" s="35" t="s">
        <v>219</v>
      </c>
      <c r="F9" s="30"/>
      <c r="G9" s="36"/>
      <c r="H9" s="36"/>
      <c r="I9" s="30">
        <v>1000.0</v>
      </c>
      <c r="J9" s="30"/>
      <c r="K9" s="37"/>
      <c r="L9" s="36"/>
      <c r="M9" s="36"/>
      <c r="N9" s="36"/>
      <c r="O9" s="36"/>
      <c r="P9" s="38">
        <v>1000.0</v>
      </c>
      <c r="Q9" s="25">
        <f t="shared" si="1"/>
        <v>0</v>
      </c>
      <c r="R9" s="38" t="s">
        <v>28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45678.0</v>
      </c>
      <c r="C10" s="33" t="s">
        <v>905</v>
      </c>
      <c r="D10" s="34">
        <v>21818.0</v>
      </c>
      <c r="E10" s="35" t="s">
        <v>65</v>
      </c>
      <c r="F10" s="30"/>
      <c r="G10" s="36"/>
      <c r="H10" s="36"/>
      <c r="I10" s="30"/>
      <c r="J10" s="30"/>
      <c r="K10" s="37">
        <v>900.0</v>
      </c>
      <c r="L10" s="36"/>
      <c r="M10" s="36"/>
      <c r="N10" s="36"/>
      <c r="O10" s="36"/>
      <c r="P10" s="38">
        <v>900.0</v>
      </c>
      <c r="Q10" s="25">
        <f t="shared" si="1"/>
        <v>0</v>
      </c>
      <c r="R10" s="38" t="s">
        <v>28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45678.0</v>
      </c>
      <c r="C11" s="33" t="s">
        <v>906</v>
      </c>
      <c r="D11" s="34">
        <v>22341.0</v>
      </c>
      <c r="E11" s="35" t="s">
        <v>302</v>
      </c>
      <c r="F11" s="30"/>
      <c r="G11" s="36"/>
      <c r="H11" s="36"/>
      <c r="I11" s="30">
        <v>4050.0</v>
      </c>
      <c r="J11" s="30"/>
      <c r="K11" s="37"/>
      <c r="L11" s="36"/>
      <c r="M11" s="36"/>
      <c r="N11" s="36"/>
      <c r="O11" s="36"/>
      <c r="P11" s="38">
        <v>4050.0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45678.0</v>
      </c>
      <c r="C12" s="33" t="s">
        <v>907</v>
      </c>
      <c r="D12" s="34">
        <v>85562.0</v>
      </c>
      <c r="E12" s="35" t="s">
        <v>162</v>
      </c>
      <c r="F12" s="30"/>
      <c r="G12" s="36"/>
      <c r="H12" s="36"/>
      <c r="I12" s="30"/>
      <c r="J12" s="30"/>
      <c r="K12" s="37"/>
      <c r="L12" s="36"/>
      <c r="M12" s="36">
        <v>250.0</v>
      </c>
      <c r="N12" s="36"/>
      <c r="O12" s="36"/>
      <c r="P12" s="38">
        <v>250.0</v>
      </c>
      <c r="Q12" s="25">
        <f t="shared" si="1"/>
        <v>0</v>
      </c>
      <c r="R12" s="38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45678.0</v>
      </c>
      <c r="C13" s="33" t="s">
        <v>908</v>
      </c>
      <c r="D13" s="34">
        <v>77191.0</v>
      </c>
      <c r="E13" s="35" t="s">
        <v>909</v>
      </c>
      <c r="F13" s="30"/>
      <c r="G13" s="36"/>
      <c r="H13" s="36"/>
      <c r="I13" s="30">
        <v>4600.0</v>
      </c>
      <c r="J13" s="30"/>
      <c r="K13" s="37"/>
      <c r="L13" s="36"/>
      <c r="M13" s="36"/>
      <c r="N13" s="36"/>
      <c r="O13" s="36"/>
      <c r="P13" s="38">
        <v>4600.0</v>
      </c>
      <c r="Q13" s="25">
        <f t="shared" si="1"/>
        <v>0</v>
      </c>
      <c r="R13" s="38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45678.0</v>
      </c>
      <c r="C14" s="33" t="s">
        <v>910</v>
      </c>
      <c r="D14" s="34">
        <v>24052.0</v>
      </c>
      <c r="E14" s="35" t="s">
        <v>911</v>
      </c>
      <c r="F14" s="30"/>
      <c r="G14" s="36"/>
      <c r="H14" s="36"/>
      <c r="I14" s="30">
        <v>2600.0</v>
      </c>
      <c r="J14" s="30"/>
      <c r="K14" s="37"/>
      <c r="L14" s="36"/>
      <c r="M14" s="36"/>
      <c r="N14" s="36"/>
      <c r="O14" s="36"/>
      <c r="P14" s="38">
        <v>2600.0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45678.0</v>
      </c>
      <c r="C15" s="33" t="s">
        <v>912</v>
      </c>
      <c r="D15" s="34">
        <v>42137.0</v>
      </c>
      <c r="E15" s="35" t="s">
        <v>913</v>
      </c>
      <c r="F15" s="30"/>
      <c r="G15" s="36"/>
      <c r="H15" s="36"/>
      <c r="I15" s="30">
        <v>12500.0</v>
      </c>
      <c r="J15" s="30"/>
      <c r="K15" s="37"/>
      <c r="L15" s="36"/>
      <c r="M15" s="36"/>
      <c r="N15" s="36"/>
      <c r="O15" s="36"/>
      <c r="P15" s="38">
        <v>12500.0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45678.0</v>
      </c>
      <c r="C16" s="33" t="s">
        <v>914</v>
      </c>
      <c r="D16" s="34">
        <v>58309.0</v>
      </c>
      <c r="E16" s="35" t="s">
        <v>607</v>
      </c>
      <c r="F16" s="30"/>
      <c r="G16" s="36"/>
      <c r="H16" s="36"/>
      <c r="I16" s="30">
        <v>5400.0</v>
      </c>
      <c r="J16" s="30"/>
      <c r="K16" s="37"/>
      <c r="L16" s="36"/>
      <c r="M16" s="36"/>
      <c r="N16" s="36"/>
      <c r="O16" s="36"/>
      <c r="P16" s="38">
        <v>5400.0</v>
      </c>
      <c r="Q16" s="25">
        <f t="shared" si="1"/>
        <v>0</v>
      </c>
      <c r="R16" s="38" t="s">
        <v>46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45678.0</v>
      </c>
      <c r="C17" s="33" t="s">
        <v>915</v>
      </c>
      <c r="D17" s="34">
        <v>47787.0</v>
      </c>
      <c r="E17" s="35" t="s">
        <v>158</v>
      </c>
      <c r="F17" s="30"/>
      <c r="G17" s="36"/>
      <c r="H17" s="36"/>
      <c r="I17" s="30"/>
      <c r="J17" s="30"/>
      <c r="K17" s="37">
        <v>5000.0</v>
      </c>
      <c r="L17" s="36"/>
      <c r="M17" s="36"/>
      <c r="N17" s="36"/>
      <c r="O17" s="36"/>
      <c r="P17" s="38">
        <v>5000.0</v>
      </c>
      <c r="Q17" s="25">
        <f t="shared" si="1"/>
        <v>0</v>
      </c>
      <c r="R17" s="38"/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45678.0</v>
      </c>
      <c r="C18" s="33" t="s">
        <v>916</v>
      </c>
      <c r="D18" s="34">
        <v>45227.0</v>
      </c>
      <c r="E18" s="35" t="s">
        <v>585</v>
      </c>
      <c r="F18" s="30"/>
      <c r="G18" s="36"/>
      <c r="H18" s="36">
        <v>5000.0</v>
      </c>
      <c r="I18" s="30"/>
      <c r="J18" s="30"/>
      <c r="K18" s="37"/>
      <c r="L18" s="36"/>
      <c r="M18" s="36"/>
      <c r="N18" s="36"/>
      <c r="O18" s="36"/>
      <c r="P18" s="38">
        <v>5000.0</v>
      </c>
      <c r="Q18" s="25">
        <f t="shared" si="1"/>
        <v>0</v>
      </c>
      <c r="R18" s="38"/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27"/>
      <c r="B19" s="128"/>
      <c r="C19" s="129"/>
      <c r="D19" s="130"/>
      <c r="E19" s="131"/>
      <c r="F19" s="132">
        <f t="shared" ref="F19:P19" si="2">SUM(F6:F18)</f>
        <v>0</v>
      </c>
      <c r="G19" s="132">
        <f t="shared" si="2"/>
        <v>0</v>
      </c>
      <c r="H19" s="132">
        <f t="shared" si="2"/>
        <v>5000</v>
      </c>
      <c r="I19" s="132">
        <f t="shared" si="2"/>
        <v>42750</v>
      </c>
      <c r="J19" s="132">
        <f t="shared" si="2"/>
        <v>2600</v>
      </c>
      <c r="K19" s="132">
        <f t="shared" si="2"/>
        <v>5900</v>
      </c>
      <c r="L19" s="132">
        <f t="shared" si="2"/>
        <v>0</v>
      </c>
      <c r="M19" s="132">
        <f t="shared" si="2"/>
        <v>250</v>
      </c>
      <c r="N19" s="132">
        <f t="shared" si="2"/>
        <v>0</v>
      </c>
      <c r="O19" s="132">
        <f t="shared" si="2"/>
        <v>0</v>
      </c>
      <c r="P19" s="132">
        <f t="shared" si="2"/>
        <v>56500</v>
      </c>
      <c r="Q19" s="133"/>
      <c r="R19" s="134"/>
      <c r="S19" s="135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</row>
    <row r="20" ht="45.0" customHeight="1">
      <c r="A20" s="136"/>
      <c r="B20" s="137"/>
      <c r="C20" s="138"/>
      <c r="D20" s="137"/>
      <c r="E20" s="137"/>
      <c r="F20" s="139">
        <f>F19+G19+H19+I19+J19+K19+L19+M19+N19+O19</f>
        <v>56500</v>
      </c>
      <c r="G20" s="2"/>
      <c r="H20" s="2"/>
      <c r="I20" s="2"/>
      <c r="J20" s="2"/>
      <c r="K20" s="2"/>
      <c r="L20" s="2"/>
      <c r="M20" s="2"/>
      <c r="N20" s="2"/>
      <c r="O20" s="2"/>
      <c r="P20" s="140"/>
      <c r="Q20" s="140"/>
      <c r="R20" s="137"/>
      <c r="S20" s="141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ht="45.0" customHeight="1">
      <c r="A21" s="27"/>
      <c r="B21" s="27"/>
      <c r="C21" s="75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>
      <c r="A22" s="4"/>
      <c r="B22" s="4"/>
      <c r="C22" s="51"/>
      <c r="D22" s="4"/>
      <c r="E22" s="188" t="s">
        <v>118</v>
      </c>
      <c r="F22" s="189" t="s">
        <v>170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4"/>
      <c r="B23" s="4"/>
      <c r="C23" s="51"/>
      <c r="D23" s="4"/>
      <c r="E23" s="188" t="s">
        <v>120</v>
      </c>
      <c r="F23" s="189" t="s">
        <v>119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4"/>
      <c r="B24" s="4"/>
      <c r="C24" s="51"/>
      <c r="D24" s="4"/>
      <c r="E24" s="188" t="s">
        <v>121</v>
      </c>
      <c r="F24" s="189" t="s">
        <v>119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4"/>
      <c r="B25" s="4"/>
      <c r="C25" s="51"/>
      <c r="D25" s="4"/>
      <c r="E25" s="188" t="s">
        <v>122</v>
      </c>
      <c r="F25" s="189" t="s">
        <v>119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4"/>
      <c r="B26" s="4"/>
      <c r="C26" s="51"/>
      <c r="D26" s="4"/>
      <c r="E26" s="188" t="s">
        <v>917</v>
      </c>
      <c r="F26" s="189" t="s">
        <v>119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"/>
      <c r="B27" s="4"/>
      <c r="C27" s="51"/>
      <c r="D27" s="4"/>
      <c r="E27" s="188" t="s">
        <v>124</v>
      </c>
      <c r="F27" s="189" t="s">
        <v>549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4"/>
      <c r="B28" s="4"/>
      <c r="C28" s="51"/>
      <c r="D28" s="4"/>
      <c r="E28" s="188" t="s">
        <v>126</v>
      </c>
      <c r="F28" s="189" t="s">
        <v>117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5.75" customHeight="1">
      <c r="A29" s="4"/>
      <c r="B29" s="4"/>
      <c r="C29" s="5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5.75" customHeight="1">
      <c r="A30" s="4"/>
      <c r="B30" s="4"/>
      <c r="C30" s="5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4"/>
      <c r="B31" s="4"/>
      <c r="C31" s="5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5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5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1"/>
      <c r="D36" s="4"/>
      <c r="E36" s="4"/>
      <c r="F36" s="4"/>
      <c r="G36" s="4"/>
      <c r="H36" s="4"/>
      <c r="I36" s="4"/>
      <c r="J36" s="4"/>
      <c r="K36" s="4"/>
      <c r="L36" s="4" t="s">
        <v>595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918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45679.0</v>
      </c>
      <c r="C6" s="18" t="s">
        <v>919</v>
      </c>
      <c r="D6" s="19">
        <v>36918.0</v>
      </c>
      <c r="E6" s="20" t="s">
        <v>35</v>
      </c>
      <c r="F6" s="22"/>
      <c r="G6" s="22"/>
      <c r="H6" s="22"/>
      <c r="I6" s="21">
        <v>2500.0</v>
      </c>
      <c r="J6" s="21"/>
      <c r="K6" s="22"/>
      <c r="L6" s="22"/>
      <c r="M6" s="21"/>
      <c r="N6" s="22"/>
      <c r="O6" s="22"/>
      <c r="P6" s="24">
        <v>2500.0</v>
      </c>
      <c r="Q6" s="25">
        <f t="shared" ref="Q6:Q15" si="1">F6+G6+H6+I6+J6+K6+L6+M6+N6+O6-P6</f>
        <v>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45679.0</v>
      </c>
      <c r="C7" s="18" t="s">
        <v>920</v>
      </c>
      <c r="D7" s="19">
        <v>69437.0</v>
      </c>
      <c r="E7" s="20" t="s">
        <v>921</v>
      </c>
      <c r="F7" s="21"/>
      <c r="G7" s="22"/>
      <c r="H7" s="22"/>
      <c r="I7" s="30"/>
      <c r="J7" s="22">
        <v>14500.0</v>
      </c>
      <c r="K7" s="31"/>
      <c r="L7" s="22"/>
      <c r="M7" s="22"/>
      <c r="N7" s="22"/>
      <c r="O7" s="22"/>
      <c r="P7" s="24">
        <v>14500.0</v>
      </c>
      <c r="Q7" s="25">
        <f t="shared" si="1"/>
        <v>0</v>
      </c>
      <c r="R7" s="24" t="s">
        <v>31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45679.0</v>
      </c>
      <c r="C8" s="18" t="s">
        <v>922</v>
      </c>
      <c r="D8" s="19">
        <v>19688.0</v>
      </c>
      <c r="E8" s="20" t="s">
        <v>300</v>
      </c>
      <c r="F8" s="21"/>
      <c r="G8" s="22"/>
      <c r="H8" s="22"/>
      <c r="I8" s="21"/>
      <c r="J8" s="22">
        <v>100.0</v>
      </c>
      <c r="K8" s="21"/>
      <c r="L8" s="22"/>
      <c r="M8" s="22"/>
      <c r="N8" s="22"/>
      <c r="O8" s="22"/>
      <c r="P8" s="24">
        <v>100.0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45679.0</v>
      </c>
      <c r="C9" s="33" t="s">
        <v>923</v>
      </c>
      <c r="D9" s="34">
        <v>21818.0</v>
      </c>
      <c r="E9" s="35" t="s">
        <v>65</v>
      </c>
      <c r="F9" s="30"/>
      <c r="G9" s="36"/>
      <c r="H9" s="36"/>
      <c r="I9" s="30"/>
      <c r="J9" s="30"/>
      <c r="K9" s="37">
        <v>200.0</v>
      </c>
      <c r="L9" s="36"/>
      <c r="M9" s="36"/>
      <c r="N9" s="36"/>
      <c r="O9" s="36"/>
      <c r="P9" s="38">
        <v>200.0</v>
      </c>
      <c r="Q9" s="25">
        <f t="shared" si="1"/>
        <v>0</v>
      </c>
      <c r="R9" s="38" t="s">
        <v>46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45679.0</v>
      </c>
      <c r="C10" s="33" t="s">
        <v>924</v>
      </c>
      <c r="D10" s="34">
        <v>77355.0</v>
      </c>
      <c r="E10" s="35" t="s">
        <v>925</v>
      </c>
      <c r="F10" s="30"/>
      <c r="G10" s="36"/>
      <c r="H10" s="36"/>
      <c r="I10" s="30">
        <v>2600.0</v>
      </c>
      <c r="J10" s="30"/>
      <c r="K10" s="37"/>
      <c r="L10" s="36"/>
      <c r="M10" s="36"/>
      <c r="N10" s="36"/>
      <c r="O10" s="36"/>
      <c r="P10" s="38">
        <v>2600.0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45679.0</v>
      </c>
      <c r="C11" s="33" t="s">
        <v>926</v>
      </c>
      <c r="D11" s="34">
        <v>77701.0</v>
      </c>
      <c r="E11" s="35" t="s">
        <v>927</v>
      </c>
      <c r="F11" s="30"/>
      <c r="G11" s="36"/>
      <c r="H11" s="36"/>
      <c r="I11" s="30"/>
      <c r="J11" s="30">
        <v>5100.0</v>
      </c>
      <c r="K11" s="37"/>
      <c r="L11" s="36"/>
      <c r="M11" s="36"/>
      <c r="N11" s="36"/>
      <c r="O11" s="36"/>
      <c r="P11" s="38">
        <v>5100.0</v>
      </c>
      <c r="Q11" s="25">
        <f t="shared" si="1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45679.0</v>
      </c>
      <c r="C12" s="33" t="s">
        <v>928</v>
      </c>
      <c r="D12" s="34">
        <v>13781.0</v>
      </c>
      <c r="E12" s="35" t="s">
        <v>76</v>
      </c>
      <c r="F12" s="30"/>
      <c r="G12" s="36">
        <v>15000.0</v>
      </c>
      <c r="H12" s="36"/>
      <c r="I12" s="30"/>
      <c r="J12" s="30"/>
      <c r="K12" s="37"/>
      <c r="L12" s="36"/>
      <c r="M12" s="36"/>
      <c r="N12" s="36"/>
      <c r="O12" s="36"/>
      <c r="P12" s="38">
        <v>15000.0</v>
      </c>
      <c r="Q12" s="25">
        <f t="shared" si="1"/>
        <v>0</v>
      </c>
      <c r="R12" s="38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45679.0</v>
      </c>
      <c r="C13" s="33" t="s">
        <v>929</v>
      </c>
      <c r="D13" s="34">
        <v>31927.0</v>
      </c>
      <c r="E13" s="35" t="s">
        <v>104</v>
      </c>
      <c r="F13" s="30"/>
      <c r="G13" s="36"/>
      <c r="H13" s="36"/>
      <c r="I13" s="30">
        <v>2500.0</v>
      </c>
      <c r="J13" s="30"/>
      <c r="K13" s="37"/>
      <c r="L13" s="36"/>
      <c r="M13" s="36"/>
      <c r="N13" s="36"/>
      <c r="O13" s="36"/>
      <c r="P13" s="38">
        <v>2500.0</v>
      </c>
      <c r="Q13" s="25">
        <f t="shared" si="1"/>
        <v>0</v>
      </c>
      <c r="R13" s="38" t="s">
        <v>31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45679.0</v>
      </c>
      <c r="C14" s="33" t="s">
        <v>930</v>
      </c>
      <c r="D14" s="34">
        <v>25541.0</v>
      </c>
      <c r="E14" s="35" t="s">
        <v>560</v>
      </c>
      <c r="F14" s="30"/>
      <c r="G14" s="36"/>
      <c r="H14" s="36">
        <v>12800.0</v>
      </c>
      <c r="I14" s="30"/>
      <c r="J14" s="30"/>
      <c r="K14" s="37"/>
      <c r="L14" s="36"/>
      <c r="M14" s="36"/>
      <c r="N14" s="36"/>
      <c r="O14" s="36"/>
      <c r="P14" s="38">
        <v>12800.0</v>
      </c>
      <c r="Q14" s="25">
        <f t="shared" si="1"/>
        <v>0</v>
      </c>
      <c r="R14" s="38"/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45679.0</v>
      </c>
      <c r="C15" s="33" t="s">
        <v>931</v>
      </c>
      <c r="D15" s="34">
        <v>25541.0</v>
      </c>
      <c r="E15" s="35" t="s">
        <v>560</v>
      </c>
      <c r="F15" s="30"/>
      <c r="G15" s="36"/>
      <c r="H15" s="36">
        <v>4500.0</v>
      </c>
      <c r="I15" s="30"/>
      <c r="J15" s="30"/>
      <c r="K15" s="37"/>
      <c r="L15" s="36"/>
      <c r="M15" s="36"/>
      <c r="N15" s="36"/>
      <c r="O15" s="36"/>
      <c r="P15" s="38">
        <v>4500.0</v>
      </c>
      <c r="Q15" s="25">
        <f t="shared" si="1"/>
        <v>0</v>
      </c>
      <c r="R15" s="38"/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27"/>
      <c r="B16" s="128"/>
      <c r="C16" s="129"/>
      <c r="D16" s="130"/>
      <c r="E16" s="131"/>
      <c r="F16" s="132">
        <f t="shared" ref="F16:Q16" si="2">SUM(F6:F15)</f>
        <v>0</v>
      </c>
      <c r="G16" s="132">
        <f t="shared" si="2"/>
        <v>15000</v>
      </c>
      <c r="H16" s="132">
        <f t="shared" si="2"/>
        <v>17300</v>
      </c>
      <c r="I16" s="132">
        <f t="shared" si="2"/>
        <v>7600</v>
      </c>
      <c r="J16" s="132">
        <f t="shared" si="2"/>
        <v>19700</v>
      </c>
      <c r="K16" s="132">
        <f t="shared" si="2"/>
        <v>200</v>
      </c>
      <c r="L16" s="132">
        <f t="shared" si="2"/>
        <v>0</v>
      </c>
      <c r="M16" s="132">
        <f t="shared" si="2"/>
        <v>0</v>
      </c>
      <c r="N16" s="132">
        <f t="shared" si="2"/>
        <v>0</v>
      </c>
      <c r="O16" s="132">
        <f t="shared" si="2"/>
        <v>0</v>
      </c>
      <c r="P16" s="132">
        <f t="shared" si="2"/>
        <v>59800</v>
      </c>
      <c r="Q16" s="132">
        <f t="shared" si="2"/>
        <v>0</v>
      </c>
      <c r="R16" s="134"/>
      <c r="S16" s="135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</row>
    <row r="17" ht="45.0" customHeight="1">
      <c r="A17" s="136"/>
      <c r="B17" s="137"/>
      <c r="C17" s="138"/>
      <c r="D17" s="137"/>
      <c r="E17" s="137"/>
      <c r="F17" s="139">
        <f>F16+G16+H16+I16+J16+K16+L16+M16+N16+O16</f>
        <v>59800</v>
      </c>
      <c r="G17" s="2"/>
      <c r="H17" s="2"/>
      <c r="I17" s="2"/>
      <c r="J17" s="2"/>
      <c r="K17" s="2"/>
      <c r="L17" s="2"/>
      <c r="M17" s="2"/>
      <c r="N17" s="2"/>
      <c r="O17" s="2"/>
      <c r="P17" s="140"/>
      <c r="Q17" s="140"/>
      <c r="R17" s="137"/>
      <c r="S17" s="141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t="45.0" customHeight="1">
      <c r="A18" s="27"/>
      <c r="B18" s="27"/>
      <c r="C18" s="75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ht="63.0" customHeight="1">
      <c r="A19" s="165" t="s">
        <v>445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63.0" customHeight="1">
      <c r="A20" s="166" t="s">
        <v>1</v>
      </c>
      <c r="B20" s="167" t="s">
        <v>2</v>
      </c>
      <c r="C20" s="167" t="s">
        <v>3</v>
      </c>
      <c r="D20" s="167" t="s">
        <v>4</v>
      </c>
      <c r="E20" s="167" t="s">
        <v>5</v>
      </c>
      <c r="F20" s="168" t="s">
        <v>252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67" t="s">
        <v>7</v>
      </c>
      <c r="S20" s="167" t="s">
        <v>8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63.0" customHeight="1">
      <c r="A21" s="10"/>
      <c r="B21" s="11"/>
      <c r="C21" s="11"/>
      <c r="D21" s="11"/>
      <c r="E21" s="11"/>
      <c r="F21" s="169" t="s">
        <v>9</v>
      </c>
      <c r="G21" s="170" t="s">
        <v>10</v>
      </c>
      <c r="H21" s="9"/>
      <c r="I21" s="170" t="s">
        <v>11</v>
      </c>
      <c r="J21" s="9"/>
      <c r="K21" s="167" t="s">
        <v>12</v>
      </c>
      <c r="L21" s="171"/>
      <c r="M21" s="171"/>
      <c r="N21" s="171"/>
      <c r="O21" s="172" t="s">
        <v>932</v>
      </c>
      <c r="P21" s="167" t="s">
        <v>14</v>
      </c>
      <c r="Q21" s="167" t="s">
        <v>15</v>
      </c>
      <c r="R21" s="11"/>
      <c r="S21" s="1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63.0" customHeight="1">
      <c r="A22" s="14"/>
      <c r="B22" s="9"/>
      <c r="C22" s="9"/>
      <c r="D22" s="9"/>
      <c r="E22" s="9"/>
      <c r="F22" s="9"/>
      <c r="G22" s="173" t="s">
        <v>16</v>
      </c>
      <c r="H22" s="173" t="s">
        <v>17</v>
      </c>
      <c r="I22" s="173" t="s">
        <v>18</v>
      </c>
      <c r="J22" s="173" t="s">
        <v>19</v>
      </c>
      <c r="K22" s="9"/>
      <c r="L22" s="173" t="s">
        <v>20</v>
      </c>
      <c r="M22" s="173" t="s">
        <v>21</v>
      </c>
      <c r="N22" s="173" t="s">
        <v>22</v>
      </c>
      <c r="O22" s="9"/>
      <c r="P22" s="9"/>
      <c r="Q22" s="9"/>
      <c r="R22" s="9"/>
      <c r="S22" s="9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63.0" customHeight="1">
      <c r="A23" s="16">
        <v>1.0</v>
      </c>
      <c r="B23" s="191">
        <v>45679.0</v>
      </c>
      <c r="C23" s="33" t="s">
        <v>933</v>
      </c>
      <c r="D23" s="34">
        <v>75811.0</v>
      </c>
      <c r="E23" s="35" t="s">
        <v>934</v>
      </c>
      <c r="F23" s="30"/>
      <c r="G23" s="36"/>
      <c r="H23" s="36"/>
      <c r="I23" s="30"/>
      <c r="J23" s="30">
        <v>3700.0</v>
      </c>
      <c r="K23" s="37"/>
      <c r="L23" s="36">
        <v>0.0</v>
      </c>
      <c r="M23" s="36"/>
      <c r="N23" s="36"/>
      <c r="O23" s="36"/>
      <c r="P23" s="38">
        <v>3700.0</v>
      </c>
      <c r="Q23" s="25">
        <f t="shared" ref="Q23:Q24" si="4">F23+G23+H23+I23+J23+K23+L23+M23+N23+O23-P23</f>
        <v>0</v>
      </c>
      <c r="R23" s="38" t="s">
        <v>935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63.0" customHeight="1">
      <c r="A24" s="174"/>
      <c r="B24" s="175"/>
      <c r="C24" s="176"/>
      <c r="D24" s="177" t="s">
        <v>115</v>
      </c>
      <c r="E24" s="178"/>
      <c r="F24" s="179">
        <f t="shared" ref="F24:P24" si="3">SUM(F23)</f>
        <v>0</v>
      </c>
      <c r="G24" s="179">
        <f t="shared" si="3"/>
        <v>0</v>
      </c>
      <c r="H24" s="179">
        <f t="shared" si="3"/>
        <v>0</v>
      </c>
      <c r="I24" s="179">
        <f t="shared" si="3"/>
        <v>0</v>
      </c>
      <c r="J24" s="179">
        <f t="shared" si="3"/>
        <v>3700</v>
      </c>
      <c r="K24" s="179">
        <f t="shared" si="3"/>
        <v>0</v>
      </c>
      <c r="L24" s="179">
        <f t="shared" si="3"/>
        <v>0</v>
      </c>
      <c r="M24" s="179">
        <f t="shared" si="3"/>
        <v>0</v>
      </c>
      <c r="N24" s="179">
        <f t="shared" si="3"/>
        <v>0</v>
      </c>
      <c r="O24" s="179">
        <f t="shared" si="3"/>
        <v>0</v>
      </c>
      <c r="P24" s="179">
        <f t="shared" si="3"/>
        <v>3700</v>
      </c>
      <c r="Q24" s="180">
        <f t="shared" si="4"/>
        <v>0</v>
      </c>
      <c r="R24" s="178"/>
      <c r="S24" s="18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63.0" customHeight="1">
      <c r="A25" s="182"/>
      <c r="B25" s="183"/>
      <c r="C25" s="184"/>
      <c r="D25" s="183"/>
      <c r="E25" s="183"/>
      <c r="F25" s="185">
        <f>F24+G24+H24+I24+J24+K24+L24+M24+N24+O24</f>
        <v>3700</v>
      </c>
      <c r="G25" s="2"/>
      <c r="H25" s="2"/>
      <c r="I25" s="2"/>
      <c r="J25" s="2"/>
      <c r="K25" s="2"/>
      <c r="L25" s="2"/>
      <c r="M25" s="2"/>
      <c r="N25" s="2"/>
      <c r="O25" s="2"/>
      <c r="P25" s="186"/>
      <c r="Q25" s="186"/>
      <c r="R25" s="183"/>
      <c r="S25" s="18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63.0" customHeight="1">
      <c r="A26" s="4"/>
      <c r="B26" s="4"/>
      <c r="C26" s="5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"/>
      <c r="B27" s="4"/>
      <c r="C27" s="51"/>
      <c r="D27" s="4"/>
      <c r="E27" s="188" t="s">
        <v>118</v>
      </c>
      <c r="F27" s="189" t="s">
        <v>170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4"/>
      <c r="B28" s="4"/>
      <c r="C28" s="51"/>
      <c r="D28" s="4"/>
      <c r="E28" s="188" t="s">
        <v>120</v>
      </c>
      <c r="F28" s="189" t="s">
        <v>119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"/>
      <c r="B29" s="4"/>
      <c r="C29" s="51"/>
      <c r="D29" s="4"/>
      <c r="E29" s="188" t="s">
        <v>121</v>
      </c>
      <c r="F29" s="189" t="s">
        <v>119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"/>
      <c r="B30" s="4"/>
      <c r="C30" s="51"/>
      <c r="D30" s="4"/>
      <c r="E30" s="188" t="s">
        <v>122</v>
      </c>
      <c r="F30" s="189" t="s">
        <v>119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4"/>
      <c r="B31" s="4"/>
      <c r="C31" s="51"/>
      <c r="D31" s="4"/>
      <c r="E31" s="188" t="s">
        <v>936</v>
      </c>
      <c r="F31" s="189" t="s">
        <v>119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/>
      <c r="B32" s="4"/>
      <c r="C32" s="51"/>
      <c r="D32" s="4"/>
      <c r="E32" s="188" t="s">
        <v>124</v>
      </c>
      <c r="F32" s="189" t="s">
        <v>549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/>
      <c r="B33" s="4"/>
      <c r="C33" s="51"/>
      <c r="D33" s="4"/>
      <c r="E33" s="188" t="s">
        <v>126</v>
      </c>
      <c r="F33" s="189" t="s">
        <v>117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5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5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5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5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7:O17"/>
    <mergeCell ref="A19:S19"/>
    <mergeCell ref="A20:A22"/>
    <mergeCell ref="B20:B22"/>
    <mergeCell ref="C20:C22"/>
    <mergeCell ref="D20:D22"/>
    <mergeCell ref="E20:E22"/>
    <mergeCell ref="S20:S22"/>
    <mergeCell ref="P21:P22"/>
    <mergeCell ref="Q21:Q22"/>
    <mergeCell ref="F20:Q20"/>
    <mergeCell ref="R20:R22"/>
    <mergeCell ref="F21:F22"/>
    <mergeCell ref="G21:H21"/>
    <mergeCell ref="I21:J21"/>
    <mergeCell ref="K21:K22"/>
    <mergeCell ref="O21:O22"/>
    <mergeCell ref="F25:O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92" t="s">
        <v>937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195" t="s">
        <v>938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5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96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45679.0</v>
      </c>
      <c r="C6" s="18" t="s">
        <v>939</v>
      </c>
      <c r="D6" s="19">
        <v>61445.0</v>
      </c>
      <c r="E6" s="20" t="s">
        <v>892</v>
      </c>
      <c r="F6" s="22"/>
      <c r="G6" s="22"/>
      <c r="H6" s="22"/>
      <c r="I6" s="21"/>
      <c r="J6" s="21"/>
      <c r="K6" s="22"/>
      <c r="L6" s="22"/>
      <c r="M6" s="21">
        <v>5900.0</v>
      </c>
      <c r="N6" s="22"/>
      <c r="O6" s="22"/>
      <c r="P6" s="24">
        <v>5900.0</v>
      </c>
      <c r="Q6" s="25">
        <f t="shared" ref="Q6:Q29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45680.0</v>
      </c>
      <c r="C7" s="18" t="s">
        <v>940</v>
      </c>
      <c r="D7" s="19">
        <v>86036.0</v>
      </c>
      <c r="E7" s="20" t="s">
        <v>941</v>
      </c>
      <c r="F7" s="21"/>
      <c r="G7" s="22"/>
      <c r="H7" s="22"/>
      <c r="I7" s="30">
        <v>300.0</v>
      </c>
      <c r="J7" s="22"/>
      <c r="K7" s="31"/>
      <c r="L7" s="22"/>
      <c r="M7" s="22"/>
      <c r="N7" s="22"/>
      <c r="O7" s="22"/>
      <c r="P7" s="24">
        <v>300.0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45680.0</v>
      </c>
      <c r="C8" s="18" t="s">
        <v>942</v>
      </c>
      <c r="D8" s="19">
        <v>42046.0</v>
      </c>
      <c r="E8" s="20" t="s">
        <v>357</v>
      </c>
      <c r="F8" s="21"/>
      <c r="G8" s="22"/>
      <c r="H8" s="22"/>
      <c r="I8" s="21">
        <v>50000.0</v>
      </c>
      <c r="J8" s="22"/>
      <c r="K8" s="21"/>
      <c r="L8" s="22"/>
      <c r="M8" s="22"/>
      <c r="N8" s="22"/>
      <c r="O8" s="22"/>
      <c r="P8" s="24">
        <v>50000.0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45680.0</v>
      </c>
      <c r="C9" s="33" t="s">
        <v>943</v>
      </c>
      <c r="D9" s="34">
        <v>42046.0</v>
      </c>
      <c r="E9" s="35" t="s">
        <v>357</v>
      </c>
      <c r="F9" s="30"/>
      <c r="G9" s="36"/>
      <c r="H9" s="36"/>
      <c r="I9" s="30">
        <v>50000.0</v>
      </c>
      <c r="J9" s="30"/>
      <c r="K9" s="37"/>
      <c r="L9" s="36"/>
      <c r="M9" s="36"/>
      <c r="N9" s="36"/>
      <c r="O9" s="36"/>
      <c r="P9" s="38">
        <v>50000.0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45680.0</v>
      </c>
      <c r="C10" s="33" t="s">
        <v>944</v>
      </c>
      <c r="D10" s="34">
        <v>52585.0</v>
      </c>
      <c r="E10" s="35" t="s">
        <v>144</v>
      </c>
      <c r="F10" s="30"/>
      <c r="G10" s="36"/>
      <c r="H10" s="36"/>
      <c r="I10" s="30"/>
      <c r="J10" s="30">
        <v>10000.0</v>
      </c>
      <c r="K10" s="37"/>
      <c r="L10" s="36"/>
      <c r="M10" s="36"/>
      <c r="N10" s="36"/>
      <c r="O10" s="36"/>
      <c r="P10" s="38">
        <v>10000.0</v>
      </c>
      <c r="Q10" s="25">
        <f t="shared" si="1"/>
        <v>0</v>
      </c>
      <c r="R10" s="38" t="s">
        <v>28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45680.0</v>
      </c>
      <c r="C11" s="33" t="s">
        <v>945</v>
      </c>
      <c r="D11" s="34">
        <v>67867.0</v>
      </c>
      <c r="E11" s="35" t="s">
        <v>39</v>
      </c>
      <c r="F11" s="30"/>
      <c r="G11" s="36"/>
      <c r="H11" s="36"/>
      <c r="I11" s="30">
        <v>2600.0</v>
      </c>
      <c r="J11" s="30"/>
      <c r="K11" s="37"/>
      <c r="L11" s="36"/>
      <c r="M11" s="36"/>
      <c r="N11" s="36"/>
      <c r="O11" s="36"/>
      <c r="P11" s="38">
        <v>2600.0</v>
      </c>
      <c r="Q11" s="25">
        <f t="shared" si="1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45680.0</v>
      </c>
      <c r="C12" s="33" t="s">
        <v>946</v>
      </c>
      <c r="D12" s="34">
        <v>86037.0</v>
      </c>
      <c r="E12" s="35" t="s">
        <v>947</v>
      </c>
      <c r="F12" s="30"/>
      <c r="G12" s="36"/>
      <c r="H12" s="36"/>
      <c r="I12" s="30">
        <v>300.0</v>
      </c>
      <c r="J12" s="30"/>
      <c r="K12" s="37"/>
      <c r="L12" s="36"/>
      <c r="M12" s="36"/>
      <c r="N12" s="36"/>
      <c r="O12" s="36"/>
      <c r="P12" s="38">
        <v>300.0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45680.0</v>
      </c>
      <c r="C13" s="33" t="s">
        <v>948</v>
      </c>
      <c r="D13" s="34">
        <v>28414.0</v>
      </c>
      <c r="E13" s="35" t="s">
        <v>78</v>
      </c>
      <c r="F13" s="30"/>
      <c r="G13" s="36"/>
      <c r="H13" s="36"/>
      <c r="I13" s="30">
        <v>2600.0</v>
      </c>
      <c r="J13" s="30"/>
      <c r="K13" s="37"/>
      <c r="L13" s="36"/>
      <c r="M13" s="36"/>
      <c r="N13" s="36"/>
      <c r="O13" s="36"/>
      <c r="P13" s="38">
        <v>2600.0</v>
      </c>
      <c r="Q13" s="25">
        <f t="shared" si="1"/>
        <v>0</v>
      </c>
      <c r="R13" s="38" t="s">
        <v>46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45680.0</v>
      </c>
      <c r="C14" s="33" t="s">
        <v>949</v>
      </c>
      <c r="D14" s="34">
        <v>85368.0</v>
      </c>
      <c r="E14" s="35" t="s">
        <v>950</v>
      </c>
      <c r="F14" s="30"/>
      <c r="G14" s="36"/>
      <c r="H14" s="36"/>
      <c r="I14" s="30">
        <v>300.0</v>
      </c>
      <c r="J14" s="30"/>
      <c r="K14" s="37"/>
      <c r="L14" s="36"/>
      <c r="M14" s="36"/>
      <c r="N14" s="36"/>
      <c r="O14" s="36"/>
      <c r="P14" s="38">
        <v>300.0</v>
      </c>
      <c r="Q14" s="25">
        <f t="shared" si="1"/>
        <v>0</v>
      </c>
      <c r="R14" s="38" t="s">
        <v>46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45680.0</v>
      </c>
      <c r="C15" s="33" t="s">
        <v>951</v>
      </c>
      <c r="D15" s="34">
        <v>22332.0</v>
      </c>
      <c r="E15" s="35" t="s">
        <v>350</v>
      </c>
      <c r="F15" s="30"/>
      <c r="G15" s="36"/>
      <c r="H15" s="36"/>
      <c r="I15" s="30">
        <v>1550.0</v>
      </c>
      <c r="J15" s="30"/>
      <c r="K15" s="37"/>
      <c r="L15" s="36"/>
      <c r="M15" s="36"/>
      <c r="N15" s="36"/>
      <c r="O15" s="36"/>
      <c r="P15" s="38">
        <v>1550.0</v>
      </c>
      <c r="Q15" s="25">
        <f t="shared" si="1"/>
        <v>0</v>
      </c>
      <c r="R15" s="38" t="s">
        <v>46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45680.0</v>
      </c>
      <c r="C16" s="33" t="s">
        <v>952</v>
      </c>
      <c r="D16" s="34">
        <v>47787.0</v>
      </c>
      <c r="E16" s="35" t="s">
        <v>158</v>
      </c>
      <c r="F16" s="30"/>
      <c r="G16" s="36"/>
      <c r="H16" s="36"/>
      <c r="I16" s="30">
        <v>5000.0</v>
      </c>
      <c r="J16" s="30"/>
      <c r="K16" s="37"/>
      <c r="L16" s="36"/>
      <c r="M16" s="36"/>
      <c r="N16" s="36"/>
      <c r="O16" s="36"/>
      <c r="P16" s="38">
        <v>5000.0</v>
      </c>
      <c r="Q16" s="25">
        <f t="shared" si="1"/>
        <v>0</v>
      </c>
      <c r="R16" s="38" t="s">
        <v>31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45680.0</v>
      </c>
      <c r="C17" s="33" t="s">
        <v>953</v>
      </c>
      <c r="D17" s="34">
        <v>10006.0</v>
      </c>
      <c r="E17" s="35" t="s">
        <v>889</v>
      </c>
      <c r="F17" s="30"/>
      <c r="G17" s="36">
        <v>1450.0</v>
      </c>
      <c r="H17" s="36"/>
      <c r="I17" s="30"/>
      <c r="J17" s="30"/>
      <c r="K17" s="37"/>
      <c r="L17" s="36"/>
      <c r="M17" s="36"/>
      <c r="N17" s="36"/>
      <c r="O17" s="36"/>
      <c r="P17" s="38">
        <v>1450.0</v>
      </c>
      <c r="Q17" s="25">
        <f t="shared" si="1"/>
        <v>0</v>
      </c>
      <c r="R17" s="38" t="s">
        <v>46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45680.0</v>
      </c>
      <c r="C18" s="33" t="s">
        <v>954</v>
      </c>
      <c r="D18" s="34">
        <v>62815.0</v>
      </c>
      <c r="E18" s="35" t="s">
        <v>70</v>
      </c>
      <c r="F18" s="30"/>
      <c r="G18" s="36"/>
      <c r="H18" s="36"/>
      <c r="I18" s="30">
        <v>10000.0</v>
      </c>
      <c r="J18" s="30"/>
      <c r="K18" s="37"/>
      <c r="L18" s="36"/>
      <c r="M18" s="36"/>
      <c r="N18" s="36"/>
      <c r="O18" s="36"/>
      <c r="P18" s="38">
        <v>10000.0</v>
      </c>
      <c r="Q18" s="25">
        <f t="shared" si="1"/>
        <v>0</v>
      </c>
      <c r="R18" s="38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45680.0</v>
      </c>
      <c r="C19" s="33" t="s">
        <v>955</v>
      </c>
      <c r="D19" s="34">
        <v>35227.0</v>
      </c>
      <c r="E19" s="35" t="s">
        <v>219</v>
      </c>
      <c r="F19" s="30">
        <v>1000.0</v>
      </c>
      <c r="G19" s="36"/>
      <c r="H19" s="36"/>
      <c r="I19" s="30"/>
      <c r="J19" s="30"/>
      <c r="K19" s="37"/>
      <c r="L19" s="36"/>
      <c r="M19" s="36"/>
      <c r="N19" s="36"/>
      <c r="O19" s="36"/>
      <c r="P19" s="38">
        <v>1000.0</v>
      </c>
      <c r="Q19" s="25">
        <f t="shared" si="1"/>
        <v>0</v>
      </c>
      <c r="R19" s="38" t="s">
        <v>46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45680.0</v>
      </c>
      <c r="C20" s="33" t="s">
        <v>956</v>
      </c>
      <c r="D20" s="34">
        <v>10250.0</v>
      </c>
      <c r="E20" s="35" t="s">
        <v>148</v>
      </c>
      <c r="F20" s="30"/>
      <c r="G20" s="36"/>
      <c r="H20" s="36"/>
      <c r="I20" s="30">
        <v>19000.0</v>
      </c>
      <c r="J20" s="30"/>
      <c r="K20" s="37"/>
      <c r="L20" s="36"/>
      <c r="M20" s="36"/>
      <c r="N20" s="36"/>
      <c r="O20" s="36"/>
      <c r="P20" s="38">
        <v>19000.0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45680.0</v>
      </c>
      <c r="C21" s="33" t="s">
        <v>957</v>
      </c>
      <c r="D21" s="34">
        <v>86036.0</v>
      </c>
      <c r="E21" s="35" t="s">
        <v>941</v>
      </c>
      <c r="F21" s="30"/>
      <c r="G21" s="36"/>
      <c r="H21" s="36"/>
      <c r="I21" s="30">
        <v>1550.0</v>
      </c>
      <c r="J21" s="30"/>
      <c r="K21" s="37"/>
      <c r="L21" s="36"/>
      <c r="M21" s="36"/>
      <c r="N21" s="36"/>
      <c r="O21" s="36"/>
      <c r="P21" s="38">
        <v>1550.0</v>
      </c>
      <c r="Q21" s="25">
        <f t="shared" si="1"/>
        <v>0</v>
      </c>
      <c r="R21" s="38" t="s">
        <v>31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45680.0</v>
      </c>
      <c r="C22" s="33" t="s">
        <v>958</v>
      </c>
      <c r="D22" s="34">
        <v>65690.0</v>
      </c>
      <c r="E22" s="35" t="s">
        <v>959</v>
      </c>
      <c r="F22" s="30"/>
      <c r="G22" s="36"/>
      <c r="H22" s="36"/>
      <c r="I22" s="30"/>
      <c r="J22" s="30">
        <v>2600.0</v>
      </c>
      <c r="K22" s="37"/>
      <c r="L22" s="36"/>
      <c r="M22" s="36"/>
      <c r="N22" s="36"/>
      <c r="O22" s="36"/>
      <c r="P22" s="38">
        <v>2600.0</v>
      </c>
      <c r="Q22" s="25">
        <f t="shared" si="1"/>
        <v>0</v>
      </c>
      <c r="R22" s="38" t="s">
        <v>31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45680.0</v>
      </c>
      <c r="C23" s="33" t="s">
        <v>960</v>
      </c>
      <c r="D23" s="34">
        <v>75228.0</v>
      </c>
      <c r="E23" s="35" t="s">
        <v>706</v>
      </c>
      <c r="F23" s="30"/>
      <c r="G23" s="36"/>
      <c r="H23" s="36"/>
      <c r="I23" s="30"/>
      <c r="J23" s="30">
        <v>4600.0</v>
      </c>
      <c r="K23" s="37"/>
      <c r="L23" s="36"/>
      <c r="M23" s="36"/>
      <c r="N23" s="36"/>
      <c r="O23" s="36"/>
      <c r="P23" s="38">
        <v>4600.0</v>
      </c>
      <c r="Q23" s="25">
        <f t="shared" si="1"/>
        <v>0</v>
      </c>
      <c r="R23" s="38" t="s">
        <v>31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45680.0</v>
      </c>
      <c r="C24" s="33" t="s">
        <v>961</v>
      </c>
      <c r="D24" s="34">
        <v>52083.0</v>
      </c>
      <c r="E24" s="35" t="s">
        <v>423</v>
      </c>
      <c r="F24" s="30"/>
      <c r="G24" s="36"/>
      <c r="H24" s="36"/>
      <c r="I24" s="30">
        <v>7750.0</v>
      </c>
      <c r="J24" s="30"/>
      <c r="K24" s="37"/>
      <c r="L24" s="36"/>
      <c r="M24" s="36"/>
      <c r="N24" s="36"/>
      <c r="O24" s="36"/>
      <c r="P24" s="38">
        <v>7750.0</v>
      </c>
      <c r="Q24" s="25">
        <f t="shared" si="1"/>
        <v>0</v>
      </c>
      <c r="R24" s="38" t="s">
        <v>31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45680.0</v>
      </c>
      <c r="C25" s="33" t="s">
        <v>962</v>
      </c>
      <c r="D25" s="34">
        <v>69554.0</v>
      </c>
      <c r="E25" s="35" t="s">
        <v>963</v>
      </c>
      <c r="F25" s="30"/>
      <c r="G25" s="36"/>
      <c r="H25" s="36"/>
      <c r="I25" s="30">
        <v>450.0</v>
      </c>
      <c r="J25" s="30"/>
      <c r="K25" s="37"/>
      <c r="L25" s="36"/>
      <c r="M25" s="36"/>
      <c r="N25" s="36"/>
      <c r="O25" s="36"/>
      <c r="P25" s="38">
        <v>450.0</v>
      </c>
      <c r="Q25" s="25">
        <f t="shared" si="1"/>
        <v>0</v>
      </c>
      <c r="R25" s="38" t="s">
        <v>28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45679.0</v>
      </c>
      <c r="C26" s="33" t="s">
        <v>964</v>
      </c>
      <c r="D26" s="34">
        <v>51017.0</v>
      </c>
      <c r="E26" s="35" t="s">
        <v>167</v>
      </c>
      <c r="F26" s="30"/>
      <c r="G26" s="36"/>
      <c r="H26" s="36">
        <v>10000.0</v>
      </c>
      <c r="I26" s="30"/>
      <c r="J26" s="30"/>
      <c r="K26" s="37"/>
      <c r="L26" s="36"/>
      <c r="M26" s="36"/>
      <c r="N26" s="36"/>
      <c r="O26" s="36"/>
      <c r="P26" s="38">
        <v>10000.0</v>
      </c>
      <c r="Q26" s="25">
        <f t="shared" si="1"/>
        <v>0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45680.0</v>
      </c>
      <c r="C27" s="33" t="s">
        <v>965</v>
      </c>
      <c r="D27" s="34">
        <v>85277.0</v>
      </c>
      <c r="E27" s="35" t="s">
        <v>966</v>
      </c>
      <c r="F27" s="30"/>
      <c r="G27" s="36"/>
      <c r="H27" s="36">
        <v>6000.0</v>
      </c>
      <c r="I27" s="30"/>
      <c r="J27" s="30"/>
      <c r="K27" s="37"/>
      <c r="L27" s="36"/>
      <c r="M27" s="36"/>
      <c r="N27" s="36"/>
      <c r="O27" s="36"/>
      <c r="P27" s="38">
        <v>6000.0</v>
      </c>
      <c r="Q27" s="25">
        <f t="shared" si="1"/>
        <v>0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45680.0</v>
      </c>
      <c r="C28" s="33" t="s">
        <v>967</v>
      </c>
      <c r="D28" s="34">
        <v>85277.0</v>
      </c>
      <c r="E28" s="35" t="s">
        <v>966</v>
      </c>
      <c r="F28" s="30"/>
      <c r="G28" s="36"/>
      <c r="H28" s="36">
        <v>2000.0</v>
      </c>
      <c r="I28" s="30"/>
      <c r="J28" s="30"/>
      <c r="K28" s="37"/>
      <c r="L28" s="36"/>
      <c r="M28" s="36"/>
      <c r="N28" s="36"/>
      <c r="O28" s="36"/>
      <c r="P28" s="38">
        <v>2000.0</v>
      </c>
      <c r="Q28" s="25">
        <f t="shared" si="1"/>
        <v>0</v>
      </c>
      <c r="R28" s="38"/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/>
      <c r="B29" s="32"/>
      <c r="C29" s="33"/>
      <c r="D29" s="34"/>
      <c r="E29" s="35"/>
      <c r="F29" s="30"/>
      <c r="G29" s="36"/>
      <c r="H29" s="36"/>
      <c r="I29" s="30"/>
      <c r="J29" s="30"/>
      <c r="K29" s="37"/>
      <c r="L29" s="36"/>
      <c r="M29" s="36"/>
      <c r="N29" s="36"/>
      <c r="O29" s="36"/>
      <c r="P29" s="38"/>
      <c r="Q29" s="25">
        <f t="shared" si="1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27"/>
      <c r="B30" s="128"/>
      <c r="C30" s="129"/>
      <c r="D30" s="130"/>
      <c r="E30" s="131"/>
      <c r="F30" s="132">
        <f t="shared" ref="F30:P30" si="2">SUM(F6:F29)</f>
        <v>1000</v>
      </c>
      <c r="G30" s="132">
        <f t="shared" si="2"/>
        <v>1450</v>
      </c>
      <c r="H30" s="132">
        <f t="shared" si="2"/>
        <v>18000</v>
      </c>
      <c r="I30" s="132">
        <f t="shared" si="2"/>
        <v>151400</v>
      </c>
      <c r="J30" s="132">
        <f t="shared" si="2"/>
        <v>17200</v>
      </c>
      <c r="K30" s="132">
        <f t="shared" si="2"/>
        <v>0</v>
      </c>
      <c r="L30" s="132">
        <f t="shared" si="2"/>
        <v>0</v>
      </c>
      <c r="M30" s="132">
        <f t="shared" si="2"/>
        <v>5900</v>
      </c>
      <c r="N30" s="132">
        <f t="shared" si="2"/>
        <v>0</v>
      </c>
      <c r="O30" s="132">
        <f t="shared" si="2"/>
        <v>0</v>
      </c>
      <c r="P30" s="132">
        <f t="shared" si="2"/>
        <v>194950</v>
      </c>
      <c r="Q30" s="132">
        <f>SUM(Q6:Q15)</f>
        <v>0</v>
      </c>
      <c r="R30" s="134"/>
      <c r="S30" s="135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 ht="45.0" customHeight="1">
      <c r="A31" s="136"/>
      <c r="B31" s="137"/>
      <c r="C31" s="138"/>
      <c r="D31" s="137"/>
      <c r="E31" s="137"/>
      <c r="F31" s="139">
        <f>F30+G30+H30+I30+J30+K30+L30+M30+N30+O30</f>
        <v>194950</v>
      </c>
      <c r="G31" s="2"/>
      <c r="H31" s="2"/>
      <c r="I31" s="2"/>
      <c r="J31" s="2"/>
      <c r="K31" s="2"/>
      <c r="L31" s="2"/>
      <c r="M31" s="2"/>
      <c r="N31" s="2"/>
      <c r="O31" s="2"/>
      <c r="P31" s="140"/>
      <c r="Q31" s="140"/>
      <c r="R31" s="137"/>
      <c r="S31" s="141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ht="45.0" customHeight="1">
      <c r="A32" s="27"/>
      <c r="B32" s="27"/>
      <c r="C32" s="75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ht="63.0" customHeight="1">
      <c r="A33" s="165" t="s">
        <v>445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63.0" customHeight="1">
      <c r="A34" s="166" t="s">
        <v>1</v>
      </c>
      <c r="B34" s="167" t="s">
        <v>2</v>
      </c>
      <c r="C34" s="167" t="s">
        <v>3</v>
      </c>
      <c r="D34" s="167" t="s">
        <v>4</v>
      </c>
      <c r="E34" s="167" t="s">
        <v>5</v>
      </c>
      <c r="F34" s="168" t="s">
        <v>252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67" t="s">
        <v>7</v>
      </c>
      <c r="S34" s="167" t="s">
        <v>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63.0" customHeight="1">
      <c r="A35" s="10"/>
      <c r="B35" s="11"/>
      <c r="C35" s="11"/>
      <c r="D35" s="11"/>
      <c r="E35" s="11"/>
      <c r="F35" s="169" t="s">
        <v>9</v>
      </c>
      <c r="G35" s="170" t="s">
        <v>10</v>
      </c>
      <c r="H35" s="9"/>
      <c r="I35" s="170" t="s">
        <v>11</v>
      </c>
      <c r="J35" s="9"/>
      <c r="K35" s="167" t="s">
        <v>12</v>
      </c>
      <c r="L35" s="171"/>
      <c r="M35" s="171"/>
      <c r="N35" s="171"/>
      <c r="O35" s="172" t="s">
        <v>968</v>
      </c>
      <c r="P35" s="167" t="s">
        <v>14</v>
      </c>
      <c r="Q35" s="167" t="s">
        <v>15</v>
      </c>
      <c r="R35" s="11"/>
      <c r="S35" s="1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63.0" customHeight="1">
      <c r="A36" s="14"/>
      <c r="B36" s="9"/>
      <c r="C36" s="9"/>
      <c r="D36" s="9"/>
      <c r="E36" s="9"/>
      <c r="F36" s="9"/>
      <c r="G36" s="173" t="s">
        <v>16</v>
      </c>
      <c r="H36" s="173" t="s">
        <v>17</v>
      </c>
      <c r="I36" s="173" t="s">
        <v>18</v>
      </c>
      <c r="J36" s="173" t="s">
        <v>19</v>
      </c>
      <c r="K36" s="9"/>
      <c r="L36" s="173" t="s">
        <v>20</v>
      </c>
      <c r="M36" s="173" t="s">
        <v>21</v>
      </c>
      <c r="N36" s="173" t="s">
        <v>22</v>
      </c>
      <c r="O36" s="9"/>
      <c r="P36" s="9"/>
      <c r="Q36" s="9"/>
      <c r="R36" s="9"/>
      <c r="S36" s="9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63.0" customHeight="1">
      <c r="A37" s="16">
        <v>1.0</v>
      </c>
      <c r="B37" s="191">
        <v>45680.0</v>
      </c>
      <c r="C37" s="33" t="s">
        <v>969</v>
      </c>
      <c r="D37" s="34">
        <v>49655.0</v>
      </c>
      <c r="E37" s="35" t="s">
        <v>970</v>
      </c>
      <c r="F37" s="30"/>
      <c r="G37" s="36"/>
      <c r="H37" s="36"/>
      <c r="I37" s="30"/>
      <c r="J37" s="30">
        <v>2600.0</v>
      </c>
      <c r="K37" s="37"/>
      <c r="L37" s="36">
        <v>0.0</v>
      </c>
      <c r="M37" s="36"/>
      <c r="N37" s="36"/>
      <c r="O37" s="36"/>
      <c r="P37" s="38">
        <v>2600.0</v>
      </c>
      <c r="Q37" s="25">
        <f t="shared" ref="Q37:Q38" si="4">F37+G37+H37+I37+J37+K37+L37+M37+N37+O37-P37</f>
        <v>0</v>
      </c>
      <c r="R37" s="38" t="s">
        <v>46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63.0" customHeight="1">
      <c r="A38" s="174"/>
      <c r="B38" s="175"/>
      <c r="C38" s="176"/>
      <c r="D38" s="177" t="s">
        <v>115</v>
      </c>
      <c r="E38" s="178"/>
      <c r="F38" s="179">
        <f t="shared" ref="F38:P38" si="3">SUM(F37)</f>
        <v>0</v>
      </c>
      <c r="G38" s="179">
        <f t="shared" si="3"/>
        <v>0</v>
      </c>
      <c r="H38" s="179">
        <f t="shared" si="3"/>
        <v>0</v>
      </c>
      <c r="I38" s="179">
        <f t="shared" si="3"/>
        <v>0</v>
      </c>
      <c r="J38" s="179">
        <f t="shared" si="3"/>
        <v>2600</v>
      </c>
      <c r="K38" s="179">
        <f t="shared" si="3"/>
        <v>0</v>
      </c>
      <c r="L38" s="179">
        <f t="shared" si="3"/>
        <v>0</v>
      </c>
      <c r="M38" s="179">
        <f t="shared" si="3"/>
        <v>0</v>
      </c>
      <c r="N38" s="179">
        <f t="shared" si="3"/>
        <v>0</v>
      </c>
      <c r="O38" s="179">
        <f t="shared" si="3"/>
        <v>0</v>
      </c>
      <c r="P38" s="179">
        <f t="shared" si="3"/>
        <v>2600</v>
      </c>
      <c r="Q38" s="180">
        <f t="shared" si="4"/>
        <v>0</v>
      </c>
      <c r="R38" s="178"/>
      <c r="S38" s="18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63.0" customHeight="1">
      <c r="A39" s="182"/>
      <c r="B39" s="183"/>
      <c r="C39" s="184"/>
      <c r="D39" s="183"/>
      <c r="E39" s="183"/>
      <c r="F39" s="185">
        <f>F38+G38+H38+I38+J38+K38+L38+M38+N38+O38</f>
        <v>2600</v>
      </c>
      <c r="G39" s="2"/>
      <c r="H39" s="2"/>
      <c r="I39" s="2"/>
      <c r="J39" s="2"/>
      <c r="K39" s="2"/>
      <c r="L39" s="2"/>
      <c r="M39" s="2"/>
      <c r="N39" s="2"/>
      <c r="O39" s="2"/>
      <c r="P39" s="186"/>
      <c r="Q39" s="186"/>
      <c r="R39" s="183"/>
      <c r="S39" s="18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63.0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118</v>
      </c>
      <c r="F41" s="189" t="s">
        <v>170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120</v>
      </c>
      <c r="F42" s="189" t="s">
        <v>171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121</v>
      </c>
      <c r="F43" s="189" t="s">
        <v>119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122</v>
      </c>
      <c r="F44" s="189" t="s">
        <v>119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971</v>
      </c>
      <c r="F45" s="189" t="s">
        <v>119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124</v>
      </c>
      <c r="F46" s="189" t="s">
        <v>549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126</v>
      </c>
      <c r="F47" s="189" t="s">
        <v>117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</sheetData>
  <mergeCells count="32">
    <mergeCell ref="F4:F5"/>
    <mergeCell ref="G4:H4"/>
    <mergeCell ref="O4:O5"/>
    <mergeCell ref="P4:P5"/>
    <mergeCell ref="B3:B5"/>
    <mergeCell ref="C3:C5"/>
    <mergeCell ref="D3:D5"/>
    <mergeCell ref="E3:E5"/>
    <mergeCell ref="F3:Q3"/>
    <mergeCell ref="R3:R5"/>
    <mergeCell ref="S3:S5"/>
    <mergeCell ref="Q4:Q5"/>
    <mergeCell ref="D34:D36"/>
    <mergeCell ref="E34:E36"/>
    <mergeCell ref="I4:J4"/>
    <mergeCell ref="K4:K5"/>
    <mergeCell ref="F31:O31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39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972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197">
        <v>45680.0</v>
      </c>
      <c r="C6" s="198" t="s">
        <v>973</v>
      </c>
      <c r="D6" s="199">
        <v>53249.0</v>
      </c>
      <c r="E6" s="199" t="s">
        <v>269</v>
      </c>
      <c r="F6" s="21"/>
      <c r="G6" s="22"/>
      <c r="H6" s="22"/>
      <c r="I6" s="30">
        <v>16300.0</v>
      </c>
      <c r="J6" s="22"/>
      <c r="K6" s="31"/>
      <c r="L6" s="22"/>
      <c r="M6" s="22"/>
      <c r="N6" s="22"/>
      <c r="O6" s="22"/>
      <c r="P6" s="200">
        <v>16300.0</v>
      </c>
      <c r="Q6" s="201">
        <f t="shared" ref="Q6:Q32" si="1">F6+G6+H6+I6+J6+K6+L6+M6+N6+O6-P6</f>
        <v>0</v>
      </c>
      <c r="R6" s="202" t="s">
        <v>31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197">
        <v>45681.0</v>
      </c>
      <c r="C7" s="198" t="s">
        <v>974</v>
      </c>
      <c r="D7" s="199">
        <v>31927.0</v>
      </c>
      <c r="E7" s="199" t="s">
        <v>104</v>
      </c>
      <c r="F7" s="21"/>
      <c r="G7" s="22"/>
      <c r="H7" s="22"/>
      <c r="I7" s="21">
        <v>1400.0</v>
      </c>
      <c r="J7" s="22"/>
      <c r="K7" s="21"/>
      <c r="L7" s="22"/>
      <c r="M7" s="22"/>
      <c r="N7" s="22"/>
      <c r="O7" s="22"/>
      <c r="P7" s="200">
        <v>1400.0</v>
      </c>
      <c r="Q7" s="201">
        <f t="shared" si="1"/>
        <v>0</v>
      </c>
      <c r="R7" s="202" t="s">
        <v>512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197">
        <v>45681.0</v>
      </c>
      <c r="C8" s="198" t="s">
        <v>975</v>
      </c>
      <c r="D8" s="199">
        <v>44149.0</v>
      </c>
      <c r="E8" s="199" t="s">
        <v>976</v>
      </c>
      <c r="F8" s="30"/>
      <c r="G8" s="36"/>
      <c r="H8" s="36"/>
      <c r="I8" s="30">
        <v>5100.0</v>
      </c>
      <c r="J8" s="30"/>
      <c r="K8" s="37"/>
      <c r="L8" s="36"/>
      <c r="M8" s="36"/>
      <c r="N8" s="36"/>
      <c r="O8" s="36"/>
      <c r="P8" s="200">
        <v>5100.0</v>
      </c>
      <c r="Q8" s="201">
        <f t="shared" si="1"/>
        <v>0</v>
      </c>
      <c r="R8" s="202" t="s">
        <v>31</v>
      </c>
      <c r="S8" s="26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ht="45.0" customHeight="1">
      <c r="A9" s="16">
        <v>4.0</v>
      </c>
      <c r="B9" s="197">
        <v>45681.0</v>
      </c>
      <c r="C9" s="198" t="s">
        <v>977</v>
      </c>
      <c r="D9" s="199">
        <v>47787.0</v>
      </c>
      <c r="E9" s="199" t="s">
        <v>158</v>
      </c>
      <c r="F9" s="30"/>
      <c r="G9" s="36"/>
      <c r="H9" s="36"/>
      <c r="I9" s="30">
        <v>5200.0</v>
      </c>
      <c r="J9" s="30"/>
      <c r="K9" s="37"/>
      <c r="L9" s="36"/>
      <c r="M9" s="36"/>
      <c r="N9" s="36"/>
      <c r="O9" s="36"/>
      <c r="P9" s="200">
        <v>5200.0</v>
      </c>
      <c r="Q9" s="201">
        <f t="shared" si="1"/>
        <v>0</v>
      </c>
      <c r="R9" s="202" t="s">
        <v>512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197">
        <v>45681.0</v>
      </c>
      <c r="C10" s="198" t="s">
        <v>978</v>
      </c>
      <c r="D10" s="199">
        <v>44149.0</v>
      </c>
      <c r="E10" s="199" t="s">
        <v>976</v>
      </c>
      <c r="F10" s="30"/>
      <c r="G10" s="36"/>
      <c r="H10" s="36"/>
      <c r="I10" s="30">
        <v>9500.0</v>
      </c>
      <c r="J10" s="30"/>
      <c r="K10" s="37"/>
      <c r="L10" s="36"/>
      <c r="M10" s="36"/>
      <c r="N10" s="36"/>
      <c r="O10" s="36"/>
      <c r="P10" s="200">
        <v>9500.0</v>
      </c>
      <c r="Q10" s="201">
        <f t="shared" si="1"/>
        <v>0</v>
      </c>
      <c r="R10" s="202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197">
        <v>45681.0</v>
      </c>
      <c r="C11" s="198" t="s">
        <v>979</v>
      </c>
      <c r="D11" s="199">
        <v>21818.0</v>
      </c>
      <c r="E11" s="199" t="s">
        <v>980</v>
      </c>
      <c r="F11" s="30"/>
      <c r="G11" s="36"/>
      <c r="H11" s="36"/>
      <c r="I11" s="30"/>
      <c r="J11" s="30"/>
      <c r="K11" s="37">
        <v>32000.0</v>
      </c>
      <c r="L11" s="36"/>
      <c r="M11" s="36"/>
      <c r="N11" s="36"/>
      <c r="O11" s="36"/>
      <c r="P11" s="200">
        <v>32000.0</v>
      </c>
      <c r="Q11" s="201">
        <f t="shared" si="1"/>
        <v>0</v>
      </c>
      <c r="R11" s="202" t="s">
        <v>512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197">
        <v>45681.0</v>
      </c>
      <c r="C12" s="198" t="s">
        <v>981</v>
      </c>
      <c r="D12" s="199">
        <v>52373.0</v>
      </c>
      <c r="E12" s="199" t="s">
        <v>392</v>
      </c>
      <c r="F12" s="30"/>
      <c r="G12" s="36"/>
      <c r="H12" s="36"/>
      <c r="I12" s="30"/>
      <c r="J12" s="30">
        <v>32500.0</v>
      </c>
      <c r="K12" s="37"/>
      <c r="L12" s="36"/>
      <c r="M12" s="36"/>
      <c r="N12" s="36"/>
      <c r="O12" s="36"/>
      <c r="P12" s="200">
        <v>32500.0</v>
      </c>
      <c r="Q12" s="201">
        <f t="shared" si="1"/>
        <v>0</v>
      </c>
      <c r="R12" s="202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197">
        <v>45681.0</v>
      </c>
      <c r="C13" s="198" t="s">
        <v>982</v>
      </c>
      <c r="D13" s="199">
        <v>69437.0</v>
      </c>
      <c r="E13" s="199" t="s">
        <v>921</v>
      </c>
      <c r="F13" s="30"/>
      <c r="G13" s="36"/>
      <c r="H13" s="36"/>
      <c r="I13" s="30"/>
      <c r="J13" s="30">
        <v>12700.0</v>
      </c>
      <c r="K13" s="37"/>
      <c r="L13" s="36"/>
      <c r="M13" s="36"/>
      <c r="N13" s="36"/>
      <c r="O13" s="36"/>
      <c r="P13" s="200">
        <v>12700.0</v>
      </c>
      <c r="Q13" s="201">
        <f t="shared" si="1"/>
        <v>0</v>
      </c>
      <c r="R13" s="202" t="s">
        <v>512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197">
        <v>45681.0</v>
      </c>
      <c r="C14" s="198" t="s">
        <v>983</v>
      </c>
      <c r="D14" s="199">
        <v>50436.0</v>
      </c>
      <c r="E14" s="199" t="s">
        <v>154</v>
      </c>
      <c r="F14" s="30"/>
      <c r="G14" s="36"/>
      <c r="H14" s="36"/>
      <c r="I14" s="30">
        <v>22500.0</v>
      </c>
      <c r="J14" s="30"/>
      <c r="K14" s="37"/>
      <c r="L14" s="36"/>
      <c r="M14" s="36"/>
      <c r="N14" s="36"/>
      <c r="O14" s="36"/>
      <c r="P14" s="200">
        <v>22500.0</v>
      </c>
      <c r="Q14" s="201">
        <f t="shared" si="1"/>
        <v>0</v>
      </c>
      <c r="R14" s="202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197">
        <v>45681.0</v>
      </c>
      <c r="C15" s="198" t="s">
        <v>984</v>
      </c>
      <c r="D15" s="199">
        <v>26831.0</v>
      </c>
      <c r="E15" s="199" t="s">
        <v>150</v>
      </c>
      <c r="F15" s="30"/>
      <c r="G15" s="36"/>
      <c r="H15" s="36"/>
      <c r="I15" s="30"/>
      <c r="J15" s="30">
        <v>2600.0</v>
      </c>
      <c r="K15" s="37"/>
      <c r="L15" s="36"/>
      <c r="M15" s="36"/>
      <c r="N15" s="36"/>
      <c r="O15" s="36"/>
      <c r="P15" s="200">
        <v>2600.0</v>
      </c>
      <c r="Q15" s="201">
        <f t="shared" si="1"/>
        <v>0</v>
      </c>
      <c r="R15" s="202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197">
        <v>45681.0</v>
      </c>
      <c r="C16" s="198" t="s">
        <v>985</v>
      </c>
      <c r="D16" s="199">
        <v>61420.0</v>
      </c>
      <c r="E16" s="199" t="s">
        <v>986</v>
      </c>
      <c r="F16" s="30"/>
      <c r="G16" s="36"/>
      <c r="H16" s="36"/>
      <c r="I16" s="30">
        <v>5000.0</v>
      </c>
      <c r="J16" s="30"/>
      <c r="K16" s="37"/>
      <c r="L16" s="36"/>
      <c r="M16" s="36"/>
      <c r="N16" s="36"/>
      <c r="O16" s="36"/>
      <c r="P16" s="200">
        <v>5000.0</v>
      </c>
      <c r="Q16" s="201">
        <f t="shared" si="1"/>
        <v>0</v>
      </c>
      <c r="R16" s="202" t="s">
        <v>512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197">
        <v>45681.0</v>
      </c>
      <c r="C17" s="198" t="s">
        <v>987</v>
      </c>
      <c r="D17" s="199">
        <v>15694.0</v>
      </c>
      <c r="E17" s="199" t="s">
        <v>988</v>
      </c>
      <c r="F17" s="30"/>
      <c r="G17" s="36"/>
      <c r="H17" s="36"/>
      <c r="I17" s="30">
        <v>5450.0</v>
      </c>
      <c r="J17" s="30"/>
      <c r="K17" s="37"/>
      <c r="L17" s="36"/>
      <c r="M17" s="36"/>
      <c r="N17" s="36"/>
      <c r="O17" s="36"/>
      <c r="P17" s="200">
        <v>5450.0</v>
      </c>
      <c r="Q17" s="201">
        <f t="shared" si="1"/>
        <v>0</v>
      </c>
      <c r="R17" s="202" t="s">
        <v>31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197">
        <v>45681.0</v>
      </c>
      <c r="C18" s="198" t="s">
        <v>989</v>
      </c>
      <c r="D18" s="199">
        <v>35227.0</v>
      </c>
      <c r="E18" s="199" t="s">
        <v>219</v>
      </c>
      <c r="F18" s="30"/>
      <c r="G18" s="36"/>
      <c r="H18" s="36"/>
      <c r="I18" s="30">
        <v>4500.0</v>
      </c>
      <c r="J18" s="30"/>
      <c r="K18" s="37"/>
      <c r="L18" s="36"/>
      <c r="M18" s="36"/>
      <c r="N18" s="36"/>
      <c r="O18" s="36"/>
      <c r="P18" s="200">
        <v>4500.0</v>
      </c>
      <c r="Q18" s="201">
        <f t="shared" si="1"/>
        <v>0</v>
      </c>
      <c r="R18" s="202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197">
        <v>45681.0</v>
      </c>
      <c r="C19" s="198" t="s">
        <v>990</v>
      </c>
      <c r="D19" s="199">
        <v>26831.0</v>
      </c>
      <c r="E19" s="199" t="s">
        <v>150</v>
      </c>
      <c r="F19" s="30"/>
      <c r="G19" s="36"/>
      <c r="H19" s="36"/>
      <c r="I19" s="30"/>
      <c r="J19" s="30">
        <v>1450.0</v>
      </c>
      <c r="K19" s="37"/>
      <c r="L19" s="36"/>
      <c r="M19" s="36"/>
      <c r="N19" s="36"/>
      <c r="O19" s="36"/>
      <c r="P19" s="200">
        <v>1450.0</v>
      </c>
      <c r="Q19" s="201">
        <f t="shared" si="1"/>
        <v>0</v>
      </c>
      <c r="R19" s="202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197">
        <v>45681.0</v>
      </c>
      <c r="C20" s="198" t="s">
        <v>991</v>
      </c>
      <c r="D20" s="199">
        <v>59627.0</v>
      </c>
      <c r="E20" s="199" t="s">
        <v>992</v>
      </c>
      <c r="F20" s="30"/>
      <c r="G20" s="36"/>
      <c r="H20" s="36"/>
      <c r="I20" s="30">
        <v>4600.0</v>
      </c>
      <c r="J20" s="30"/>
      <c r="K20" s="37"/>
      <c r="L20" s="36"/>
      <c r="M20" s="36"/>
      <c r="N20" s="36"/>
      <c r="O20" s="36"/>
      <c r="P20" s="200">
        <v>4600.0</v>
      </c>
      <c r="Q20" s="201">
        <f t="shared" si="1"/>
        <v>0</v>
      </c>
      <c r="R20" s="202" t="s">
        <v>512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197">
        <v>45681.0</v>
      </c>
      <c r="C21" s="198" t="s">
        <v>993</v>
      </c>
      <c r="D21" s="199">
        <v>37642.0</v>
      </c>
      <c r="E21" s="199" t="s">
        <v>339</v>
      </c>
      <c r="F21" s="30"/>
      <c r="G21" s="36">
        <v>25000.0</v>
      </c>
      <c r="H21" s="36"/>
      <c r="I21" s="30"/>
      <c r="J21" s="30"/>
      <c r="K21" s="37"/>
      <c r="L21" s="36"/>
      <c r="M21" s="36"/>
      <c r="N21" s="36"/>
      <c r="O21" s="36"/>
      <c r="P21" s="200">
        <v>25000.0</v>
      </c>
      <c r="Q21" s="201">
        <f t="shared" si="1"/>
        <v>0</v>
      </c>
      <c r="R21" s="202" t="s">
        <v>512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197">
        <v>45681.0</v>
      </c>
      <c r="C22" s="198" t="s">
        <v>994</v>
      </c>
      <c r="D22" s="199">
        <v>22727.0</v>
      </c>
      <c r="E22" s="199" t="s">
        <v>211</v>
      </c>
      <c r="F22" s="30"/>
      <c r="G22" s="36"/>
      <c r="H22" s="36"/>
      <c r="I22" s="30"/>
      <c r="J22" s="30">
        <v>250.0</v>
      </c>
      <c r="K22" s="37"/>
      <c r="L22" s="36"/>
      <c r="M22" s="36"/>
      <c r="N22" s="36"/>
      <c r="O22" s="36"/>
      <c r="P22" s="200">
        <v>250.0</v>
      </c>
      <c r="Q22" s="201">
        <f t="shared" si="1"/>
        <v>0</v>
      </c>
      <c r="R22" s="202" t="s">
        <v>512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197">
        <v>45681.0</v>
      </c>
      <c r="C23" s="198" t="s">
        <v>995</v>
      </c>
      <c r="D23" s="199">
        <v>42046.0</v>
      </c>
      <c r="E23" s="199" t="s">
        <v>357</v>
      </c>
      <c r="F23" s="30"/>
      <c r="G23" s="36"/>
      <c r="H23" s="36"/>
      <c r="I23" s="30"/>
      <c r="J23" s="30"/>
      <c r="K23" s="37">
        <v>1300.0</v>
      </c>
      <c r="L23" s="36"/>
      <c r="M23" s="36"/>
      <c r="N23" s="36"/>
      <c r="O23" s="36"/>
      <c r="P23" s="200">
        <v>1300.0</v>
      </c>
      <c r="Q23" s="201">
        <f t="shared" si="1"/>
        <v>0</v>
      </c>
      <c r="R23" s="202" t="s">
        <v>512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197">
        <v>45681.0</v>
      </c>
      <c r="C24" s="198" t="s">
        <v>996</v>
      </c>
      <c r="D24" s="199">
        <v>42046.0</v>
      </c>
      <c r="E24" s="199" t="s">
        <v>357</v>
      </c>
      <c r="F24" s="30"/>
      <c r="G24" s="36"/>
      <c r="H24" s="36"/>
      <c r="I24" s="30"/>
      <c r="J24" s="30"/>
      <c r="K24" s="37">
        <v>1200.0</v>
      </c>
      <c r="L24" s="36"/>
      <c r="M24" s="36"/>
      <c r="N24" s="36"/>
      <c r="O24" s="36"/>
      <c r="P24" s="200">
        <v>1200.0</v>
      </c>
      <c r="Q24" s="201">
        <f t="shared" si="1"/>
        <v>0</v>
      </c>
      <c r="R24" s="202" t="s">
        <v>512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197">
        <v>45681.0</v>
      </c>
      <c r="C25" s="198" t="s">
        <v>997</v>
      </c>
      <c r="D25" s="199">
        <v>21818.0</v>
      </c>
      <c r="E25" s="199" t="s">
        <v>980</v>
      </c>
      <c r="F25" s="30"/>
      <c r="G25" s="36"/>
      <c r="H25" s="36"/>
      <c r="I25" s="30"/>
      <c r="J25" s="30"/>
      <c r="K25" s="37">
        <v>2500.0</v>
      </c>
      <c r="L25" s="36"/>
      <c r="M25" s="36"/>
      <c r="N25" s="36"/>
      <c r="O25" s="36"/>
      <c r="P25" s="200">
        <v>2500.0</v>
      </c>
      <c r="Q25" s="201">
        <f t="shared" si="1"/>
        <v>0</v>
      </c>
      <c r="R25" s="202" t="s">
        <v>31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197">
        <v>45681.0</v>
      </c>
      <c r="C26" s="198" t="s">
        <v>998</v>
      </c>
      <c r="D26" s="199">
        <v>38098.0</v>
      </c>
      <c r="E26" s="199" t="s">
        <v>999</v>
      </c>
      <c r="F26" s="30"/>
      <c r="G26" s="36"/>
      <c r="H26" s="36"/>
      <c r="I26" s="30"/>
      <c r="J26" s="30">
        <v>4600.0</v>
      </c>
      <c r="K26" s="37"/>
      <c r="L26" s="36"/>
      <c r="M26" s="36"/>
      <c r="N26" s="36"/>
      <c r="O26" s="36"/>
      <c r="P26" s="200">
        <v>4600.0</v>
      </c>
      <c r="Q26" s="201">
        <f t="shared" si="1"/>
        <v>0</v>
      </c>
      <c r="R26" s="202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197">
        <v>45681.0</v>
      </c>
      <c r="C27" s="198" t="s">
        <v>1000</v>
      </c>
      <c r="D27" s="199">
        <v>69659.0</v>
      </c>
      <c r="E27" s="199" t="s">
        <v>307</v>
      </c>
      <c r="F27" s="30"/>
      <c r="G27" s="36"/>
      <c r="H27" s="36"/>
      <c r="I27" s="30">
        <v>2400.0</v>
      </c>
      <c r="J27" s="30"/>
      <c r="K27" s="37"/>
      <c r="L27" s="36"/>
      <c r="M27" s="36"/>
      <c r="N27" s="36"/>
      <c r="O27" s="36"/>
      <c r="P27" s="200">
        <v>2400.0</v>
      </c>
      <c r="Q27" s="201">
        <f t="shared" si="1"/>
        <v>0</v>
      </c>
      <c r="R27" s="202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197">
        <v>45680.0</v>
      </c>
      <c r="C28" s="198" t="s">
        <v>1001</v>
      </c>
      <c r="D28" s="199">
        <v>72839.0</v>
      </c>
      <c r="E28" s="199" t="s">
        <v>364</v>
      </c>
      <c r="F28" s="30"/>
      <c r="G28" s="36"/>
      <c r="H28" s="36">
        <v>600.0</v>
      </c>
      <c r="I28" s="30"/>
      <c r="J28" s="30"/>
      <c r="K28" s="37"/>
      <c r="L28" s="36"/>
      <c r="M28" s="36"/>
      <c r="N28" s="36"/>
      <c r="O28" s="36"/>
      <c r="P28" s="200">
        <v>600.0</v>
      </c>
      <c r="Q28" s="201">
        <f t="shared" si="1"/>
        <v>0</v>
      </c>
      <c r="R28" s="203" t="s">
        <v>1002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197">
        <v>45680.0</v>
      </c>
      <c r="C29" s="198" t="s">
        <v>1003</v>
      </c>
      <c r="D29" s="199">
        <v>51017.0</v>
      </c>
      <c r="E29" s="199" t="s">
        <v>1004</v>
      </c>
      <c r="F29" s="30"/>
      <c r="G29" s="36"/>
      <c r="H29" s="36">
        <v>7500.0</v>
      </c>
      <c r="I29" s="30"/>
      <c r="J29" s="30"/>
      <c r="K29" s="37"/>
      <c r="L29" s="36"/>
      <c r="M29" s="36"/>
      <c r="N29" s="36"/>
      <c r="O29" s="36"/>
      <c r="P29" s="200">
        <v>7500.0</v>
      </c>
      <c r="Q29" s="201">
        <f t="shared" si="1"/>
        <v>0</v>
      </c>
      <c r="R29" s="203" t="s">
        <v>1005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197">
        <v>45681.0</v>
      </c>
      <c r="C30" s="198" t="s">
        <v>1006</v>
      </c>
      <c r="D30" s="199">
        <v>42046.0</v>
      </c>
      <c r="E30" s="199" t="s">
        <v>357</v>
      </c>
      <c r="F30" s="30"/>
      <c r="G30" s="36"/>
      <c r="H30" s="36">
        <v>25000.0</v>
      </c>
      <c r="I30" s="30"/>
      <c r="J30" s="30"/>
      <c r="K30" s="37"/>
      <c r="L30" s="36"/>
      <c r="M30" s="36"/>
      <c r="N30" s="36"/>
      <c r="O30" s="36"/>
      <c r="P30" s="200">
        <v>25000.0</v>
      </c>
      <c r="Q30" s="201">
        <f t="shared" si="1"/>
        <v>0</v>
      </c>
      <c r="R30" s="203" t="s">
        <v>1007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/>
      <c r="C31" s="33"/>
      <c r="D31" s="34"/>
      <c r="E31" s="35"/>
      <c r="F31" s="30"/>
      <c r="G31" s="36"/>
      <c r="H31" s="36"/>
      <c r="I31" s="30"/>
      <c r="J31" s="30"/>
      <c r="K31" s="37"/>
      <c r="L31" s="36"/>
      <c r="M31" s="36"/>
      <c r="N31" s="36"/>
      <c r="O31" s="36"/>
      <c r="P31" s="38"/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/>
      <c r="B32" s="32"/>
      <c r="C32" s="33"/>
      <c r="D32" s="34"/>
      <c r="E32" s="35"/>
      <c r="F32" s="30"/>
      <c r="G32" s="36"/>
      <c r="H32" s="36"/>
      <c r="I32" s="30"/>
      <c r="J32" s="30"/>
      <c r="K32" s="37"/>
      <c r="L32" s="36"/>
      <c r="M32" s="36"/>
      <c r="N32" s="36"/>
      <c r="O32" s="36"/>
      <c r="P32" s="38"/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27"/>
      <c r="B33" s="128"/>
      <c r="C33" s="129"/>
      <c r="D33" s="130"/>
      <c r="E33" s="131"/>
      <c r="F33" s="132">
        <f t="shared" ref="F33:P33" si="2">SUM(F6:F32)</f>
        <v>0</v>
      </c>
      <c r="G33" s="132">
        <f t="shared" si="2"/>
        <v>25000</v>
      </c>
      <c r="H33" s="132">
        <f t="shared" si="2"/>
        <v>33100</v>
      </c>
      <c r="I33" s="132">
        <f t="shared" si="2"/>
        <v>81950</v>
      </c>
      <c r="J33" s="132">
        <f t="shared" si="2"/>
        <v>54100</v>
      </c>
      <c r="K33" s="132">
        <f t="shared" si="2"/>
        <v>37000</v>
      </c>
      <c r="L33" s="132">
        <f t="shared" si="2"/>
        <v>0</v>
      </c>
      <c r="M33" s="132">
        <f t="shared" si="2"/>
        <v>0</v>
      </c>
      <c r="N33" s="132">
        <f t="shared" si="2"/>
        <v>0</v>
      </c>
      <c r="O33" s="132">
        <f t="shared" si="2"/>
        <v>0</v>
      </c>
      <c r="P33" s="132">
        <f t="shared" si="2"/>
        <v>231150</v>
      </c>
      <c r="Q33" s="133"/>
      <c r="R33" s="134"/>
      <c r="S33" s="135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 ht="45.0" customHeight="1">
      <c r="A34" s="136"/>
      <c r="B34" s="137"/>
      <c r="C34" s="138"/>
      <c r="D34" s="137"/>
      <c r="E34" s="137"/>
      <c r="F34" s="139">
        <f>F33+G33+H33+I33+J33+K33+L33+M33+N33+O33</f>
        <v>231150</v>
      </c>
      <c r="G34" s="2"/>
      <c r="H34" s="2"/>
      <c r="I34" s="2"/>
      <c r="J34" s="2"/>
      <c r="K34" s="2"/>
      <c r="L34" s="2"/>
      <c r="M34" s="2"/>
      <c r="N34" s="2"/>
      <c r="O34" s="2"/>
      <c r="P34" s="140"/>
      <c r="Q34" s="140"/>
      <c r="R34" s="137"/>
      <c r="S34" s="141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27"/>
      <c r="B35" s="27"/>
      <c r="C35" s="75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45.0" customHeight="1">
      <c r="A36" s="165" t="s">
        <v>445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45.0" customHeight="1">
      <c r="A37" s="166" t="s">
        <v>1</v>
      </c>
      <c r="B37" s="167" t="s">
        <v>2</v>
      </c>
      <c r="C37" s="167" t="s">
        <v>3</v>
      </c>
      <c r="D37" s="167" t="s">
        <v>4</v>
      </c>
      <c r="E37" s="167" t="s">
        <v>5</v>
      </c>
      <c r="F37" s="168" t="s">
        <v>252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167" t="s">
        <v>7</v>
      </c>
      <c r="S37" s="167" t="s">
        <v>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45.0" customHeight="1">
      <c r="A38" s="10"/>
      <c r="B38" s="11"/>
      <c r="C38" s="11"/>
      <c r="D38" s="11"/>
      <c r="E38" s="11"/>
      <c r="F38" s="169" t="s">
        <v>9</v>
      </c>
      <c r="G38" s="170" t="s">
        <v>10</v>
      </c>
      <c r="H38" s="9"/>
      <c r="I38" s="170" t="s">
        <v>11</v>
      </c>
      <c r="J38" s="9"/>
      <c r="K38" s="167" t="s">
        <v>12</v>
      </c>
      <c r="L38" s="171"/>
      <c r="M38" s="171"/>
      <c r="N38" s="171"/>
      <c r="O38" s="172" t="s">
        <v>1008</v>
      </c>
      <c r="P38" s="167" t="s">
        <v>14</v>
      </c>
      <c r="Q38" s="167" t="s">
        <v>15</v>
      </c>
      <c r="R38" s="11"/>
      <c r="S38" s="1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63.0" customHeight="1">
      <c r="A39" s="14"/>
      <c r="B39" s="9"/>
      <c r="C39" s="9"/>
      <c r="D39" s="9"/>
      <c r="E39" s="9"/>
      <c r="F39" s="9"/>
      <c r="G39" s="173" t="s">
        <v>16</v>
      </c>
      <c r="H39" s="173" t="s">
        <v>17</v>
      </c>
      <c r="I39" s="173" t="s">
        <v>18</v>
      </c>
      <c r="J39" s="173" t="s">
        <v>19</v>
      </c>
      <c r="K39" s="9"/>
      <c r="L39" s="173" t="s">
        <v>20</v>
      </c>
      <c r="M39" s="173" t="s">
        <v>21</v>
      </c>
      <c r="N39" s="173" t="s">
        <v>22</v>
      </c>
      <c r="O39" s="9"/>
      <c r="P39" s="9"/>
      <c r="Q39" s="9"/>
      <c r="R39" s="9"/>
      <c r="S39" s="9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48.0" customHeight="1">
      <c r="A40" s="204">
        <v>1.0</v>
      </c>
      <c r="B40" s="205">
        <v>45680.0</v>
      </c>
      <c r="C40" s="206" t="s">
        <v>1009</v>
      </c>
      <c r="D40" s="204">
        <v>53249.0</v>
      </c>
      <c r="E40" s="204" t="s">
        <v>269</v>
      </c>
      <c r="F40" s="30"/>
      <c r="G40" s="36"/>
      <c r="H40" s="36"/>
      <c r="I40" s="30"/>
      <c r="J40" s="30">
        <v>71.0</v>
      </c>
      <c r="K40" s="37"/>
      <c r="L40" s="36"/>
      <c r="M40" s="36"/>
      <c r="N40" s="36"/>
      <c r="O40" s="36"/>
      <c r="P40" s="207">
        <v>71.0</v>
      </c>
      <c r="Q40" s="25">
        <f t="shared" ref="Q40:Q42" si="3">F40+G40+H40+I40+J40+K40+L40+M40+N40+O40-P40</f>
        <v>0</v>
      </c>
      <c r="R40" s="38"/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48.0" customHeight="1">
      <c r="A41" s="204">
        <v>2.0</v>
      </c>
      <c r="B41" s="205">
        <v>45681.0</v>
      </c>
      <c r="C41" s="206" t="s">
        <v>1010</v>
      </c>
      <c r="D41" s="204">
        <v>42046.0</v>
      </c>
      <c r="E41" s="204" t="s">
        <v>357</v>
      </c>
      <c r="F41" s="30"/>
      <c r="G41" s="36"/>
      <c r="H41" s="36">
        <v>2500.0</v>
      </c>
      <c r="I41" s="30"/>
      <c r="J41" s="30"/>
      <c r="K41" s="37"/>
      <c r="L41" s="36"/>
      <c r="M41" s="36"/>
      <c r="N41" s="36"/>
      <c r="O41" s="36"/>
      <c r="P41" s="207">
        <v>2500.0</v>
      </c>
      <c r="Q41" s="25">
        <f t="shared" si="3"/>
        <v>0</v>
      </c>
      <c r="R41" s="38"/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48.0" customHeight="1">
      <c r="A42" s="204">
        <v>3.0</v>
      </c>
      <c r="B42" s="205">
        <v>45681.0</v>
      </c>
      <c r="C42" s="206" t="s">
        <v>1011</v>
      </c>
      <c r="D42" s="204">
        <v>35220.0</v>
      </c>
      <c r="E42" s="204" t="s">
        <v>716</v>
      </c>
      <c r="F42" s="30"/>
      <c r="G42" s="36"/>
      <c r="H42" s="36">
        <v>750.0</v>
      </c>
      <c r="I42" s="30"/>
      <c r="J42" s="30"/>
      <c r="K42" s="37"/>
      <c r="L42" s="36"/>
      <c r="M42" s="36"/>
      <c r="N42" s="36"/>
      <c r="O42" s="36"/>
      <c r="P42" s="207">
        <v>750.0</v>
      </c>
      <c r="Q42" s="25">
        <f t="shared" si="3"/>
        <v>0</v>
      </c>
      <c r="R42" s="38" t="s">
        <v>171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58.5" customHeight="1">
      <c r="A43" s="174"/>
      <c r="B43" s="175"/>
      <c r="C43" s="176"/>
      <c r="D43" s="177" t="s">
        <v>115</v>
      </c>
      <c r="E43" s="178"/>
      <c r="F43" s="179">
        <f t="shared" ref="F43:G43" si="4">SUM(F42)</f>
        <v>0</v>
      </c>
      <c r="G43" s="179">
        <f t="shared" si="4"/>
        <v>0</v>
      </c>
      <c r="H43" s="179">
        <f t="shared" ref="H43:Q43" si="5">SUM(H40:H42)</f>
        <v>3250</v>
      </c>
      <c r="I43" s="179">
        <f t="shared" si="5"/>
        <v>0</v>
      </c>
      <c r="J43" s="179">
        <f t="shared" si="5"/>
        <v>71</v>
      </c>
      <c r="K43" s="179">
        <f t="shared" si="5"/>
        <v>0</v>
      </c>
      <c r="L43" s="179">
        <f t="shared" si="5"/>
        <v>0</v>
      </c>
      <c r="M43" s="179">
        <f t="shared" si="5"/>
        <v>0</v>
      </c>
      <c r="N43" s="179">
        <f t="shared" si="5"/>
        <v>0</v>
      </c>
      <c r="O43" s="179">
        <f t="shared" si="5"/>
        <v>0</v>
      </c>
      <c r="P43" s="179">
        <f t="shared" si="5"/>
        <v>3321</v>
      </c>
      <c r="Q43" s="179">
        <f t="shared" si="5"/>
        <v>0</v>
      </c>
      <c r="R43" s="178"/>
      <c r="S43" s="18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58.5" customHeight="1">
      <c r="A44" s="182"/>
      <c r="B44" s="183"/>
      <c r="C44" s="184"/>
      <c r="D44" s="183"/>
      <c r="E44" s="183"/>
      <c r="F44" s="185">
        <f>F43+G43+H43+I43+J43+K43+L43+M43+N43+O43</f>
        <v>3321</v>
      </c>
      <c r="G44" s="2"/>
      <c r="H44" s="2"/>
      <c r="I44" s="2"/>
      <c r="J44" s="2"/>
      <c r="K44" s="2"/>
      <c r="L44" s="2"/>
      <c r="M44" s="2"/>
      <c r="N44" s="2"/>
      <c r="O44" s="2"/>
      <c r="P44" s="186"/>
      <c r="Q44" s="186"/>
      <c r="R44" s="183"/>
      <c r="S44" s="18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58.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63.0" customHeight="1">
      <c r="A46" s="4"/>
      <c r="B46" s="4"/>
      <c r="C46" s="51"/>
      <c r="D46" s="4"/>
      <c r="E46" s="188" t="s">
        <v>118</v>
      </c>
      <c r="F46" s="189" t="s">
        <v>170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63.0" customHeight="1">
      <c r="A47" s="4"/>
      <c r="B47" s="4"/>
      <c r="C47" s="51"/>
      <c r="D47" s="4"/>
      <c r="E47" s="188" t="s">
        <v>120</v>
      </c>
      <c r="F47" s="189" t="s">
        <v>1012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63.0" customHeight="1">
      <c r="A48" s="4"/>
      <c r="B48" s="4"/>
      <c r="C48" s="51"/>
      <c r="D48" s="4"/>
      <c r="E48" s="188" t="s">
        <v>121</v>
      </c>
      <c r="F48" s="189" t="s">
        <v>1013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188" t="s">
        <v>122</v>
      </c>
      <c r="F49" s="189" t="s">
        <v>1012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51"/>
      <c r="D50" s="4"/>
      <c r="E50" s="188" t="s">
        <v>1014</v>
      </c>
      <c r="F50" s="189" t="s">
        <v>1012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51"/>
      <c r="D51" s="4"/>
      <c r="E51" s="188" t="s">
        <v>124</v>
      </c>
      <c r="F51" s="18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51"/>
      <c r="D52" s="4"/>
      <c r="E52" s="188" t="s">
        <v>126</v>
      </c>
      <c r="F52" s="189" t="s">
        <v>1012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 t="s">
        <v>595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38"/>
    <col customWidth="1" min="19" max="19" width="24.5"/>
  </cols>
  <sheetData>
    <row r="1" ht="82.5" customHeight="1">
      <c r="A1" s="125" t="s">
        <v>1015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08">
        <v>45682.0</v>
      </c>
      <c r="C6" s="209" t="s">
        <v>1016</v>
      </c>
      <c r="D6" s="210">
        <v>10250.0</v>
      </c>
      <c r="E6" s="211" t="s">
        <v>148</v>
      </c>
      <c r="F6" s="212"/>
      <c r="G6" s="212"/>
      <c r="H6" s="212"/>
      <c r="I6" s="213">
        <v>1000.0</v>
      </c>
      <c r="J6" s="212"/>
      <c r="K6" s="212"/>
      <c r="L6" s="212"/>
      <c r="M6" s="212"/>
      <c r="N6" s="212"/>
      <c r="O6" s="212"/>
      <c r="P6" s="214">
        <v>1000.0</v>
      </c>
      <c r="Q6" s="201">
        <f t="shared" ref="Q6:Q32" si="1">F6+G6+H6+I6+J6+K6+L6+M6+N6+O6-P6</f>
        <v>0</v>
      </c>
      <c r="R6" s="215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08">
        <v>45682.0</v>
      </c>
      <c r="C7" s="209" t="s">
        <v>1017</v>
      </c>
      <c r="D7" s="210">
        <v>53054.0</v>
      </c>
      <c r="E7" s="211" t="s">
        <v>1018</v>
      </c>
      <c r="F7" s="212"/>
      <c r="G7" s="212"/>
      <c r="H7" s="212"/>
      <c r="I7" s="212">
        <v>7600.0</v>
      </c>
      <c r="J7" s="212"/>
      <c r="K7" s="212"/>
      <c r="L7" s="212"/>
      <c r="M7" s="212"/>
      <c r="N7" s="212"/>
      <c r="O7" s="212"/>
      <c r="P7" s="214">
        <v>7600.0</v>
      </c>
      <c r="Q7" s="201">
        <f t="shared" si="1"/>
        <v>0</v>
      </c>
      <c r="R7" s="215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08">
        <v>45682.0</v>
      </c>
      <c r="C8" s="209" t="s">
        <v>1019</v>
      </c>
      <c r="D8" s="210">
        <v>59103.0</v>
      </c>
      <c r="E8" s="211" t="s">
        <v>98</v>
      </c>
      <c r="F8" s="213"/>
      <c r="G8" s="213"/>
      <c r="H8" s="213"/>
      <c r="I8" s="213"/>
      <c r="J8" s="213"/>
      <c r="K8" s="213">
        <v>5000.0</v>
      </c>
      <c r="L8" s="213"/>
      <c r="M8" s="213"/>
      <c r="N8" s="213"/>
      <c r="O8" s="213"/>
      <c r="P8" s="214">
        <v>5000.0</v>
      </c>
      <c r="Q8" s="201">
        <f t="shared" si="1"/>
        <v>0</v>
      </c>
      <c r="R8" s="215" t="s">
        <v>28</v>
      </c>
      <c r="S8" s="26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ht="45.0" customHeight="1">
      <c r="A9" s="16">
        <v>4.0</v>
      </c>
      <c r="B9" s="208">
        <v>45682.0</v>
      </c>
      <c r="C9" s="209" t="s">
        <v>1020</v>
      </c>
      <c r="D9" s="210">
        <v>10249.0</v>
      </c>
      <c r="E9" s="211" t="s">
        <v>394</v>
      </c>
      <c r="F9" s="213"/>
      <c r="G9" s="213"/>
      <c r="H9" s="213">
        <v>300.0</v>
      </c>
      <c r="I9" s="213"/>
      <c r="J9" s="213"/>
      <c r="K9" s="213"/>
      <c r="L9" s="213"/>
      <c r="M9" s="213"/>
      <c r="N9" s="213"/>
      <c r="O9" s="213"/>
      <c r="P9" s="214">
        <v>300.0</v>
      </c>
      <c r="Q9" s="201">
        <f t="shared" si="1"/>
        <v>0</v>
      </c>
      <c r="R9" s="215" t="s">
        <v>28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208">
        <v>45682.0</v>
      </c>
      <c r="C10" s="209" t="s">
        <v>1021</v>
      </c>
      <c r="D10" s="210">
        <v>21818.0</v>
      </c>
      <c r="E10" s="211" t="s">
        <v>65</v>
      </c>
      <c r="F10" s="213"/>
      <c r="G10" s="213"/>
      <c r="H10" s="213"/>
      <c r="I10" s="213"/>
      <c r="J10" s="213"/>
      <c r="K10" s="213">
        <v>300.0</v>
      </c>
      <c r="L10" s="213"/>
      <c r="M10" s="213"/>
      <c r="N10" s="213"/>
      <c r="O10" s="213"/>
      <c r="P10" s="214">
        <v>300.0</v>
      </c>
      <c r="Q10" s="201">
        <f t="shared" si="1"/>
        <v>0</v>
      </c>
      <c r="R10" s="215" t="s">
        <v>46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208">
        <v>45682.0</v>
      </c>
      <c r="C11" s="209" t="s">
        <v>1022</v>
      </c>
      <c r="D11" s="210">
        <v>45227.0</v>
      </c>
      <c r="E11" s="211" t="s">
        <v>585</v>
      </c>
      <c r="F11" s="213"/>
      <c r="G11" s="213"/>
      <c r="H11" s="213"/>
      <c r="I11" s="213">
        <v>4200.0</v>
      </c>
      <c r="J11" s="213"/>
      <c r="K11" s="213"/>
      <c r="L11" s="213"/>
      <c r="M11" s="213"/>
      <c r="N11" s="213"/>
      <c r="O11" s="213"/>
      <c r="P11" s="214">
        <v>4200.0</v>
      </c>
      <c r="Q11" s="201">
        <f t="shared" si="1"/>
        <v>0</v>
      </c>
      <c r="R11" s="215" t="s">
        <v>28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208">
        <v>45682.0</v>
      </c>
      <c r="C12" s="209" t="s">
        <v>1023</v>
      </c>
      <c r="D12" s="210">
        <v>78454.0</v>
      </c>
      <c r="E12" s="211" t="s">
        <v>691</v>
      </c>
      <c r="F12" s="213"/>
      <c r="G12" s="213"/>
      <c r="H12" s="213"/>
      <c r="I12" s="213">
        <v>3500.0</v>
      </c>
      <c r="J12" s="213"/>
      <c r="K12" s="213"/>
      <c r="L12" s="213"/>
      <c r="M12" s="213"/>
      <c r="N12" s="213"/>
      <c r="O12" s="213"/>
      <c r="P12" s="214">
        <v>3500.0</v>
      </c>
      <c r="Q12" s="201">
        <f t="shared" si="1"/>
        <v>0</v>
      </c>
      <c r="R12" s="215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208">
        <v>45682.0</v>
      </c>
      <c r="C13" s="209" t="s">
        <v>1024</v>
      </c>
      <c r="D13" s="210">
        <v>53249.0</v>
      </c>
      <c r="E13" s="211" t="s">
        <v>269</v>
      </c>
      <c r="F13" s="213"/>
      <c r="G13" s="213"/>
      <c r="H13" s="213"/>
      <c r="I13" s="213">
        <v>15000.0</v>
      </c>
      <c r="J13" s="213"/>
      <c r="K13" s="213"/>
      <c r="L13" s="213"/>
      <c r="M13" s="213"/>
      <c r="N13" s="213"/>
      <c r="O13" s="213"/>
      <c r="P13" s="214">
        <v>15000.0</v>
      </c>
      <c r="Q13" s="201">
        <f t="shared" si="1"/>
        <v>0</v>
      </c>
      <c r="R13" s="215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208">
        <v>45682.0</v>
      </c>
      <c r="C14" s="209" t="s">
        <v>1025</v>
      </c>
      <c r="D14" s="210">
        <v>67909.0</v>
      </c>
      <c r="E14" s="211" t="s">
        <v>1026</v>
      </c>
      <c r="F14" s="213"/>
      <c r="G14" s="213"/>
      <c r="H14" s="213"/>
      <c r="I14" s="213">
        <v>19500.0</v>
      </c>
      <c r="J14" s="213"/>
      <c r="K14" s="213"/>
      <c r="L14" s="213"/>
      <c r="M14" s="213"/>
      <c r="N14" s="213"/>
      <c r="O14" s="213"/>
      <c r="P14" s="214">
        <v>19500.0</v>
      </c>
      <c r="Q14" s="201">
        <f t="shared" si="1"/>
        <v>0</v>
      </c>
      <c r="R14" s="215" t="s">
        <v>28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208">
        <v>45682.0</v>
      </c>
      <c r="C15" s="209" t="s">
        <v>1027</v>
      </c>
      <c r="D15" s="210">
        <v>24368.0</v>
      </c>
      <c r="E15" s="211" t="s">
        <v>160</v>
      </c>
      <c r="F15" s="213"/>
      <c r="G15" s="213"/>
      <c r="H15" s="213"/>
      <c r="I15" s="213">
        <v>701.0</v>
      </c>
      <c r="J15" s="213"/>
      <c r="K15" s="213">
        <v>849.0</v>
      </c>
      <c r="L15" s="213"/>
      <c r="M15" s="213"/>
      <c r="N15" s="213"/>
      <c r="O15" s="213"/>
      <c r="P15" s="214">
        <v>1550.0</v>
      </c>
      <c r="Q15" s="201">
        <f t="shared" si="1"/>
        <v>0</v>
      </c>
      <c r="R15" s="215" t="s">
        <v>28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208">
        <v>45682.0</v>
      </c>
      <c r="C16" s="209" t="s">
        <v>1028</v>
      </c>
      <c r="D16" s="210">
        <v>86062.0</v>
      </c>
      <c r="E16" s="211" t="s">
        <v>1029</v>
      </c>
      <c r="F16" s="213"/>
      <c r="G16" s="213"/>
      <c r="H16" s="213"/>
      <c r="I16" s="213"/>
      <c r="J16" s="213"/>
      <c r="K16" s="213"/>
      <c r="L16" s="213"/>
      <c r="M16" s="213">
        <v>750.0</v>
      </c>
      <c r="N16" s="213"/>
      <c r="O16" s="213"/>
      <c r="P16" s="214">
        <v>750.0</v>
      </c>
      <c r="Q16" s="201">
        <f t="shared" si="1"/>
        <v>0</v>
      </c>
      <c r="R16" s="215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208">
        <v>45682.0</v>
      </c>
      <c r="C17" s="209" t="s">
        <v>1030</v>
      </c>
      <c r="D17" s="210">
        <v>86063.0</v>
      </c>
      <c r="E17" s="211" t="s">
        <v>1031</v>
      </c>
      <c r="F17" s="213"/>
      <c r="G17" s="213"/>
      <c r="H17" s="213"/>
      <c r="I17" s="213">
        <v>300.0</v>
      </c>
      <c r="J17" s="213"/>
      <c r="K17" s="213"/>
      <c r="L17" s="213"/>
      <c r="M17" s="213"/>
      <c r="N17" s="213"/>
      <c r="O17" s="213"/>
      <c r="P17" s="214">
        <v>300.0</v>
      </c>
      <c r="Q17" s="201">
        <f t="shared" si="1"/>
        <v>0</v>
      </c>
      <c r="R17" s="215" t="s">
        <v>28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208">
        <v>45682.0</v>
      </c>
      <c r="C18" s="209" t="s">
        <v>1032</v>
      </c>
      <c r="D18" s="210">
        <v>22332.0</v>
      </c>
      <c r="E18" s="211" t="s">
        <v>350</v>
      </c>
      <c r="F18" s="213"/>
      <c r="G18" s="213"/>
      <c r="H18" s="213"/>
      <c r="I18" s="213">
        <v>2600.0</v>
      </c>
      <c r="J18" s="213"/>
      <c r="K18" s="213"/>
      <c r="L18" s="213"/>
      <c r="M18" s="213"/>
      <c r="N18" s="213"/>
      <c r="O18" s="213"/>
      <c r="P18" s="214">
        <v>2600.0</v>
      </c>
      <c r="Q18" s="201">
        <f t="shared" si="1"/>
        <v>0</v>
      </c>
      <c r="R18" s="215" t="s">
        <v>46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208">
        <v>45682.0</v>
      </c>
      <c r="C19" s="209" t="s">
        <v>1033</v>
      </c>
      <c r="D19" s="210">
        <v>52083.0</v>
      </c>
      <c r="E19" s="211" t="s">
        <v>423</v>
      </c>
      <c r="F19" s="213"/>
      <c r="G19" s="213"/>
      <c r="H19" s="213"/>
      <c r="I19" s="213">
        <v>1100.0</v>
      </c>
      <c r="J19" s="213"/>
      <c r="K19" s="213"/>
      <c r="L19" s="213"/>
      <c r="M19" s="213"/>
      <c r="N19" s="213"/>
      <c r="O19" s="213"/>
      <c r="P19" s="214">
        <v>1100.0</v>
      </c>
      <c r="Q19" s="201">
        <f t="shared" si="1"/>
        <v>0</v>
      </c>
      <c r="R19" s="215" t="s">
        <v>46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208">
        <v>45682.0</v>
      </c>
      <c r="C20" s="209" t="s">
        <v>1034</v>
      </c>
      <c r="D20" s="210">
        <v>67621.0</v>
      </c>
      <c r="E20" s="211" t="s">
        <v>56</v>
      </c>
      <c r="F20" s="213"/>
      <c r="G20" s="213"/>
      <c r="H20" s="213"/>
      <c r="I20" s="213">
        <v>1400.0</v>
      </c>
      <c r="J20" s="213"/>
      <c r="K20" s="213"/>
      <c r="L20" s="213"/>
      <c r="M20" s="213"/>
      <c r="N20" s="213"/>
      <c r="O20" s="213"/>
      <c r="P20" s="214">
        <v>1400.0</v>
      </c>
      <c r="Q20" s="201">
        <f t="shared" si="1"/>
        <v>0</v>
      </c>
      <c r="R20" s="215" t="s">
        <v>28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208">
        <v>45682.0</v>
      </c>
      <c r="C21" s="209" t="s">
        <v>1035</v>
      </c>
      <c r="D21" s="210">
        <v>54211.0</v>
      </c>
      <c r="E21" s="211" t="s">
        <v>1036</v>
      </c>
      <c r="F21" s="213"/>
      <c r="G21" s="213"/>
      <c r="H21" s="213"/>
      <c r="I21" s="213">
        <v>5000.0</v>
      </c>
      <c r="J21" s="213"/>
      <c r="K21" s="213"/>
      <c r="L21" s="213"/>
      <c r="M21" s="213"/>
      <c r="N21" s="213"/>
      <c r="O21" s="213"/>
      <c r="P21" s="214">
        <v>5000.0</v>
      </c>
      <c r="Q21" s="201">
        <f t="shared" si="1"/>
        <v>0</v>
      </c>
      <c r="R21" s="215" t="s">
        <v>46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208">
        <v>45682.0</v>
      </c>
      <c r="C22" s="209" t="s">
        <v>1037</v>
      </c>
      <c r="D22" s="210">
        <v>54695.0</v>
      </c>
      <c r="E22" s="211" t="s">
        <v>1038</v>
      </c>
      <c r="F22" s="213"/>
      <c r="G22" s="213"/>
      <c r="H22" s="213"/>
      <c r="I22" s="213">
        <v>5000.0</v>
      </c>
      <c r="J22" s="213"/>
      <c r="K22" s="213"/>
      <c r="L22" s="213"/>
      <c r="M22" s="213"/>
      <c r="N22" s="213"/>
      <c r="O22" s="213"/>
      <c r="P22" s="214">
        <v>5000.0</v>
      </c>
      <c r="Q22" s="201">
        <f t="shared" si="1"/>
        <v>0</v>
      </c>
      <c r="R22" s="215" t="s">
        <v>46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208">
        <v>45682.0</v>
      </c>
      <c r="C23" s="209" t="s">
        <v>1039</v>
      </c>
      <c r="D23" s="210">
        <v>58468.0</v>
      </c>
      <c r="E23" s="211" t="s">
        <v>1040</v>
      </c>
      <c r="F23" s="213"/>
      <c r="G23" s="213"/>
      <c r="H23" s="213"/>
      <c r="I23" s="213">
        <v>4500.0</v>
      </c>
      <c r="J23" s="213"/>
      <c r="K23" s="213"/>
      <c r="L23" s="213"/>
      <c r="M23" s="213"/>
      <c r="N23" s="213"/>
      <c r="O23" s="213"/>
      <c r="P23" s="214">
        <v>4500.0</v>
      </c>
      <c r="Q23" s="201">
        <f t="shared" si="1"/>
        <v>0</v>
      </c>
      <c r="R23" s="215" t="s">
        <v>46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208">
        <v>45682.0</v>
      </c>
      <c r="C24" s="209" t="s">
        <v>1041</v>
      </c>
      <c r="D24" s="210">
        <v>44007.0</v>
      </c>
      <c r="E24" s="211" t="s">
        <v>1042</v>
      </c>
      <c r="F24" s="213"/>
      <c r="G24" s="213"/>
      <c r="H24" s="213"/>
      <c r="I24" s="213"/>
      <c r="J24" s="213">
        <v>4600.0</v>
      </c>
      <c r="K24" s="213"/>
      <c r="L24" s="213"/>
      <c r="M24" s="213"/>
      <c r="N24" s="213"/>
      <c r="O24" s="213"/>
      <c r="P24" s="214">
        <v>4600.0</v>
      </c>
      <c r="Q24" s="201">
        <f t="shared" si="1"/>
        <v>0</v>
      </c>
      <c r="R24" s="215" t="s">
        <v>28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208">
        <v>45682.0</v>
      </c>
      <c r="C25" s="209" t="s">
        <v>1043</v>
      </c>
      <c r="D25" s="210">
        <v>54581.0</v>
      </c>
      <c r="E25" s="211" t="s">
        <v>1044</v>
      </c>
      <c r="F25" s="213"/>
      <c r="G25" s="213"/>
      <c r="H25" s="213"/>
      <c r="I25" s="213">
        <v>4500.0</v>
      </c>
      <c r="J25" s="213"/>
      <c r="K25" s="213"/>
      <c r="L25" s="213"/>
      <c r="M25" s="213"/>
      <c r="N25" s="213"/>
      <c r="O25" s="213"/>
      <c r="P25" s="214">
        <v>4500.0</v>
      </c>
      <c r="Q25" s="201">
        <f t="shared" si="1"/>
        <v>0</v>
      </c>
      <c r="R25" s="215" t="s">
        <v>46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208">
        <v>45682.0</v>
      </c>
      <c r="C26" s="209" t="s">
        <v>1045</v>
      </c>
      <c r="D26" s="210">
        <v>21818.0</v>
      </c>
      <c r="E26" s="211" t="s">
        <v>65</v>
      </c>
      <c r="F26" s="213"/>
      <c r="G26" s="213"/>
      <c r="H26" s="213"/>
      <c r="I26" s="213"/>
      <c r="J26" s="213"/>
      <c r="K26" s="213">
        <v>0.0</v>
      </c>
      <c r="L26" s="213"/>
      <c r="M26" s="213"/>
      <c r="N26" s="213"/>
      <c r="O26" s="213"/>
      <c r="P26" s="214">
        <v>32000.0</v>
      </c>
      <c r="Q26" s="201">
        <f t="shared" si="1"/>
        <v>-32000</v>
      </c>
      <c r="R26" s="215" t="s">
        <v>28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208">
        <v>45682.0</v>
      </c>
      <c r="C27" s="209" t="s">
        <v>1046</v>
      </c>
      <c r="D27" s="210">
        <v>53249.0</v>
      </c>
      <c r="E27" s="211" t="s">
        <v>269</v>
      </c>
      <c r="F27" s="213"/>
      <c r="G27" s="213"/>
      <c r="H27" s="213"/>
      <c r="I27" s="213"/>
      <c r="J27" s="213">
        <v>300.0</v>
      </c>
      <c r="K27" s="213"/>
      <c r="L27" s="213"/>
      <c r="M27" s="213"/>
      <c r="N27" s="213"/>
      <c r="O27" s="213"/>
      <c r="P27" s="214">
        <v>300.0</v>
      </c>
      <c r="Q27" s="201">
        <f t="shared" si="1"/>
        <v>0</v>
      </c>
      <c r="R27" s="215" t="s">
        <v>28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208">
        <v>45682.0</v>
      </c>
      <c r="C28" s="209" t="s">
        <v>1047</v>
      </c>
      <c r="D28" s="210">
        <v>56221.0</v>
      </c>
      <c r="E28" s="211" t="s">
        <v>1048</v>
      </c>
      <c r="F28" s="213"/>
      <c r="G28" s="213"/>
      <c r="H28" s="213"/>
      <c r="I28" s="213">
        <v>2600.0</v>
      </c>
      <c r="J28" s="213"/>
      <c r="K28" s="213"/>
      <c r="L28" s="213"/>
      <c r="M28" s="213"/>
      <c r="N28" s="213"/>
      <c r="O28" s="213"/>
      <c r="P28" s="214">
        <v>2600.0</v>
      </c>
      <c r="Q28" s="201">
        <f t="shared" si="1"/>
        <v>0</v>
      </c>
      <c r="R28" s="216" t="s">
        <v>46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208">
        <v>45682.0</v>
      </c>
      <c r="C29" s="209" t="s">
        <v>1049</v>
      </c>
      <c r="D29" s="210">
        <v>48052.0</v>
      </c>
      <c r="E29" s="211" t="s">
        <v>1050</v>
      </c>
      <c r="F29" s="213"/>
      <c r="G29" s="213"/>
      <c r="H29" s="213"/>
      <c r="I29" s="213">
        <v>9100.0</v>
      </c>
      <c r="J29" s="213"/>
      <c r="K29" s="213"/>
      <c r="L29" s="213"/>
      <c r="M29" s="213"/>
      <c r="N29" s="213"/>
      <c r="O29" s="213"/>
      <c r="P29" s="214">
        <v>9100.0</v>
      </c>
      <c r="Q29" s="201">
        <f t="shared" si="1"/>
        <v>0</v>
      </c>
      <c r="R29" s="216" t="s">
        <v>46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208">
        <v>45681.0</v>
      </c>
      <c r="C30" s="209" t="s">
        <v>1051</v>
      </c>
      <c r="D30" s="210">
        <v>86057.0</v>
      </c>
      <c r="E30" s="211" t="s">
        <v>1052</v>
      </c>
      <c r="F30" s="213"/>
      <c r="G30" s="213"/>
      <c r="H30" s="213">
        <v>300.0</v>
      </c>
      <c r="I30" s="213"/>
      <c r="J30" s="213"/>
      <c r="K30" s="213"/>
      <c r="L30" s="213"/>
      <c r="M30" s="213"/>
      <c r="N30" s="213"/>
      <c r="O30" s="213"/>
      <c r="P30" s="214">
        <v>300.0</v>
      </c>
      <c r="Q30" s="201">
        <f t="shared" si="1"/>
        <v>0</v>
      </c>
      <c r="R30" s="217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218">
        <v>45682.0</v>
      </c>
      <c r="C31" s="219" t="s">
        <v>1053</v>
      </c>
      <c r="D31" s="220">
        <v>50595.0</v>
      </c>
      <c r="E31" s="221" t="s">
        <v>759</v>
      </c>
      <c r="F31" s="213"/>
      <c r="G31" s="213"/>
      <c r="H31" s="213">
        <v>10000.0</v>
      </c>
      <c r="I31" s="213"/>
      <c r="J31" s="213"/>
      <c r="K31" s="213"/>
      <c r="L31" s="213"/>
      <c r="M31" s="213"/>
      <c r="N31" s="213"/>
      <c r="O31" s="213"/>
      <c r="P31" s="213">
        <v>10000.0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/>
      <c r="B32" s="32"/>
      <c r="C32" s="33"/>
      <c r="D32" s="34"/>
      <c r="E32" s="35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27"/>
      <c r="B33" s="128"/>
      <c r="C33" s="129"/>
      <c r="D33" s="130"/>
      <c r="E33" s="131"/>
      <c r="F33" s="132">
        <f t="shared" ref="F33:Q33" si="2">SUM(F6:F32)</f>
        <v>0</v>
      </c>
      <c r="G33" s="132">
        <f t="shared" si="2"/>
        <v>0</v>
      </c>
      <c r="H33" s="132">
        <f t="shared" si="2"/>
        <v>10600</v>
      </c>
      <c r="I33" s="132">
        <f t="shared" si="2"/>
        <v>87601</v>
      </c>
      <c r="J33" s="132">
        <f t="shared" si="2"/>
        <v>4900</v>
      </c>
      <c r="K33" s="132">
        <f t="shared" si="2"/>
        <v>6149</v>
      </c>
      <c r="L33" s="132">
        <f t="shared" si="2"/>
        <v>0</v>
      </c>
      <c r="M33" s="132">
        <f t="shared" si="2"/>
        <v>750</v>
      </c>
      <c r="N33" s="132">
        <f t="shared" si="2"/>
        <v>0</v>
      </c>
      <c r="O33" s="132">
        <f t="shared" si="2"/>
        <v>0</v>
      </c>
      <c r="P33" s="132">
        <f t="shared" si="2"/>
        <v>142000</v>
      </c>
      <c r="Q33" s="132">
        <f t="shared" si="2"/>
        <v>-32000</v>
      </c>
      <c r="R33" s="134"/>
      <c r="S33" s="135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 ht="45.0" customHeight="1">
      <c r="A34" s="136"/>
      <c r="B34" s="137"/>
      <c r="C34" s="138"/>
      <c r="D34" s="137"/>
      <c r="E34" s="137"/>
      <c r="F34" s="139">
        <f>F33+G33+H33+I33+J33+K33+L33+M33+N33+O33</f>
        <v>110000</v>
      </c>
      <c r="G34" s="2"/>
      <c r="H34" s="2"/>
      <c r="I34" s="2"/>
      <c r="J34" s="2"/>
      <c r="K34" s="2"/>
      <c r="L34" s="2"/>
      <c r="M34" s="2"/>
      <c r="N34" s="2"/>
      <c r="O34" s="2"/>
      <c r="P34" s="140"/>
      <c r="Q34" s="140"/>
      <c r="R34" s="137"/>
      <c r="S34" s="141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27"/>
      <c r="B35" s="27"/>
      <c r="C35" s="75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45.0" customHeight="1">
      <c r="A36" s="165" t="s">
        <v>445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45.0" customHeight="1">
      <c r="A37" s="166" t="s">
        <v>1</v>
      </c>
      <c r="B37" s="167" t="s">
        <v>2</v>
      </c>
      <c r="C37" s="167" t="s">
        <v>3</v>
      </c>
      <c r="D37" s="167" t="s">
        <v>4</v>
      </c>
      <c r="E37" s="167" t="s">
        <v>5</v>
      </c>
      <c r="F37" s="168" t="s">
        <v>252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167" t="s">
        <v>7</v>
      </c>
      <c r="S37" s="167" t="s">
        <v>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45.0" customHeight="1">
      <c r="A38" s="10"/>
      <c r="B38" s="11"/>
      <c r="C38" s="11"/>
      <c r="D38" s="11"/>
      <c r="E38" s="11"/>
      <c r="F38" s="169" t="s">
        <v>9</v>
      </c>
      <c r="G38" s="170" t="s">
        <v>10</v>
      </c>
      <c r="H38" s="9"/>
      <c r="I38" s="170" t="s">
        <v>11</v>
      </c>
      <c r="J38" s="9"/>
      <c r="K38" s="167" t="s">
        <v>12</v>
      </c>
      <c r="L38" s="171"/>
      <c r="M38" s="171"/>
      <c r="N38" s="171"/>
      <c r="O38" s="172" t="s">
        <v>1054</v>
      </c>
      <c r="P38" s="167" t="s">
        <v>14</v>
      </c>
      <c r="Q38" s="167" t="s">
        <v>15</v>
      </c>
      <c r="R38" s="11"/>
      <c r="S38" s="1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63.0" customHeight="1">
      <c r="A39" s="14"/>
      <c r="B39" s="9"/>
      <c r="C39" s="9"/>
      <c r="D39" s="9"/>
      <c r="E39" s="9"/>
      <c r="F39" s="9"/>
      <c r="G39" s="173" t="s">
        <v>16</v>
      </c>
      <c r="H39" s="173" t="s">
        <v>17</v>
      </c>
      <c r="I39" s="173" t="s">
        <v>18</v>
      </c>
      <c r="J39" s="173" t="s">
        <v>19</v>
      </c>
      <c r="K39" s="9"/>
      <c r="L39" s="173" t="s">
        <v>20</v>
      </c>
      <c r="M39" s="173" t="s">
        <v>21</v>
      </c>
      <c r="N39" s="173" t="s">
        <v>22</v>
      </c>
      <c r="O39" s="9"/>
      <c r="P39" s="9"/>
      <c r="Q39" s="9"/>
      <c r="R39" s="9"/>
      <c r="S39" s="9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48.0" customHeight="1">
      <c r="A40" s="218">
        <v>45682.0</v>
      </c>
      <c r="B40" s="222">
        <v>45682.0</v>
      </c>
      <c r="C40" s="209" t="s">
        <v>1055</v>
      </c>
      <c r="D40" s="210">
        <v>10255.0</v>
      </c>
      <c r="E40" s="211" t="s">
        <v>630</v>
      </c>
      <c r="F40" s="38"/>
      <c r="G40" s="38"/>
      <c r="H40" s="38"/>
      <c r="I40" s="38"/>
      <c r="J40" s="38">
        <v>2500.0</v>
      </c>
      <c r="K40" s="38"/>
      <c r="L40" s="38"/>
      <c r="M40" s="38"/>
      <c r="N40" s="38"/>
      <c r="O40" s="38"/>
      <c r="P40" s="223">
        <v>2500.0</v>
      </c>
      <c r="Q40" s="25">
        <f>F40+G40+H40+I40+J40+K40+L40+M40+N40+O40-P40</f>
        <v>0</v>
      </c>
      <c r="R40" s="38" t="s">
        <v>622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58.5" customHeight="1">
      <c r="A41" s="174"/>
      <c r="B41" s="175"/>
      <c r="C41" s="176"/>
      <c r="D41" s="177" t="s">
        <v>115</v>
      </c>
      <c r="E41" s="178"/>
      <c r="F41" s="179">
        <v>0.0</v>
      </c>
      <c r="G41" s="179">
        <v>0.0</v>
      </c>
      <c r="H41" s="179">
        <f t="shared" ref="H41:Q41" si="3">SUM(H40)</f>
        <v>0</v>
      </c>
      <c r="I41" s="179">
        <f t="shared" si="3"/>
        <v>0</v>
      </c>
      <c r="J41" s="179">
        <f t="shared" si="3"/>
        <v>2500</v>
      </c>
      <c r="K41" s="179">
        <f t="shared" si="3"/>
        <v>0</v>
      </c>
      <c r="L41" s="179">
        <f t="shared" si="3"/>
        <v>0</v>
      </c>
      <c r="M41" s="179">
        <f t="shared" si="3"/>
        <v>0</v>
      </c>
      <c r="N41" s="179">
        <f t="shared" si="3"/>
        <v>0</v>
      </c>
      <c r="O41" s="179">
        <f t="shared" si="3"/>
        <v>0</v>
      </c>
      <c r="P41" s="179">
        <f t="shared" si="3"/>
        <v>2500</v>
      </c>
      <c r="Q41" s="179">
        <f t="shared" si="3"/>
        <v>0</v>
      </c>
      <c r="R41" s="178"/>
      <c r="S41" s="18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58.5" customHeight="1">
      <c r="A42" s="182"/>
      <c r="B42" s="183"/>
      <c r="C42" s="184"/>
      <c r="D42" s="183"/>
      <c r="E42" s="183"/>
      <c r="F42" s="185">
        <f>F41+G41+H41+I41+J41+K41+L41+M41+N41+O41</f>
        <v>2500</v>
      </c>
      <c r="G42" s="2"/>
      <c r="H42" s="2"/>
      <c r="I42" s="2"/>
      <c r="J42" s="2"/>
      <c r="K42" s="2"/>
      <c r="L42" s="2"/>
      <c r="M42" s="2"/>
      <c r="N42" s="2"/>
      <c r="O42" s="2"/>
      <c r="P42" s="186"/>
      <c r="Q42" s="186"/>
      <c r="R42" s="183"/>
      <c r="S42" s="18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58.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118</v>
      </c>
      <c r="F44" s="189" t="s">
        <v>119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120</v>
      </c>
      <c r="F45" s="189" t="s">
        <v>119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121</v>
      </c>
      <c r="F46" s="189" t="s">
        <v>119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122</v>
      </c>
      <c r="F47" s="189" t="s">
        <v>119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51"/>
      <c r="D48" s="4"/>
      <c r="E48" s="188" t="s">
        <v>1056</v>
      </c>
      <c r="F48" s="189" t="s">
        <v>119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188" t="s">
        <v>124</v>
      </c>
      <c r="F49" s="189" t="s">
        <v>171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51"/>
      <c r="D50" s="4"/>
      <c r="E50" s="188" t="s">
        <v>126</v>
      </c>
      <c r="F50" s="189" t="s">
        <v>119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 t="s">
        <v>595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2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38"/>
    <col customWidth="1" min="19" max="19" width="24.5"/>
  </cols>
  <sheetData>
    <row r="1" ht="82.5" customHeight="1">
      <c r="A1" s="125" t="s">
        <v>1057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58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08">
        <v>45682.0</v>
      </c>
      <c r="C6" s="209" t="s">
        <v>1058</v>
      </c>
      <c r="D6" s="210">
        <v>44268.0</v>
      </c>
      <c r="E6" s="211" t="s">
        <v>1059</v>
      </c>
      <c r="F6" s="212"/>
      <c r="G6" s="212"/>
      <c r="H6" s="212"/>
      <c r="I6" s="213">
        <v>4600.0</v>
      </c>
      <c r="J6" s="212"/>
      <c r="K6" s="212"/>
      <c r="L6" s="212"/>
      <c r="M6" s="212"/>
      <c r="N6" s="212"/>
      <c r="O6" s="212"/>
      <c r="P6" s="214">
        <v>4600.0</v>
      </c>
      <c r="Q6" s="201">
        <f t="shared" ref="Q6:Q27" si="1">F6+G6+H6+I6+J6+K6+L6+M6+N6+O6-P6</f>
        <v>0</v>
      </c>
      <c r="R6" s="215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08">
        <v>45683.0</v>
      </c>
      <c r="C7" s="209" t="s">
        <v>1060</v>
      </c>
      <c r="D7" s="210">
        <v>86081.0</v>
      </c>
      <c r="E7" s="211" t="s">
        <v>1061</v>
      </c>
      <c r="F7" s="212"/>
      <c r="G7" s="212"/>
      <c r="H7" s="212"/>
      <c r="I7" s="212">
        <v>300.0</v>
      </c>
      <c r="J7" s="212"/>
      <c r="K7" s="212"/>
      <c r="L7" s="212"/>
      <c r="M7" s="212"/>
      <c r="N7" s="212"/>
      <c r="O7" s="212"/>
      <c r="P7" s="214">
        <v>300.0</v>
      </c>
      <c r="Q7" s="201">
        <f t="shared" si="1"/>
        <v>0</v>
      </c>
      <c r="R7" s="215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08">
        <v>45683.0</v>
      </c>
      <c r="C8" s="209" t="s">
        <v>1062</v>
      </c>
      <c r="D8" s="210">
        <v>74342.0</v>
      </c>
      <c r="E8" s="211" t="s">
        <v>1063</v>
      </c>
      <c r="F8" s="213"/>
      <c r="G8" s="213"/>
      <c r="H8" s="213"/>
      <c r="I8" s="213"/>
      <c r="J8" s="213">
        <v>2600.0</v>
      </c>
      <c r="K8" s="213"/>
      <c r="L8" s="213"/>
      <c r="M8" s="213"/>
      <c r="N8" s="213"/>
      <c r="O8" s="213"/>
      <c r="P8" s="214">
        <v>2600.0</v>
      </c>
      <c r="Q8" s="201">
        <f t="shared" si="1"/>
        <v>0</v>
      </c>
      <c r="R8" s="215" t="s">
        <v>46</v>
      </c>
      <c r="S8" s="26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ht="45.0" customHeight="1">
      <c r="A9" s="16">
        <v>4.0</v>
      </c>
      <c r="B9" s="208">
        <v>45683.0</v>
      </c>
      <c r="C9" s="209" t="s">
        <v>1064</v>
      </c>
      <c r="D9" s="210">
        <v>26831.0</v>
      </c>
      <c r="E9" s="211" t="s">
        <v>150</v>
      </c>
      <c r="F9" s="213"/>
      <c r="G9" s="213"/>
      <c r="H9" s="213"/>
      <c r="I9" s="213"/>
      <c r="J9" s="213">
        <v>15000.0</v>
      </c>
      <c r="K9" s="213"/>
      <c r="L9" s="213"/>
      <c r="M9" s="213"/>
      <c r="N9" s="213"/>
      <c r="O9" s="213"/>
      <c r="P9" s="214">
        <v>15000.0</v>
      </c>
      <c r="Q9" s="201">
        <f t="shared" si="1"/>
        <v>0</v>
      </c>
      <c r="R9" s="215" t="s">
        <v>512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208">
        <v>45683.0</v>
      </c>
      <c r="C10" s="209" t="s">
        <v>1065</v>
      </c>
      <c r="D10" s="210">
        <v>21818.0</v>
      </c>
      <c r="E10" s="211" t="s">
        <v>65</v>
      </c>
      <c r="F10" s="213"/>
      <c r="G10" s="213"/>
      <c r="H10" s="213"/>
      <c r="I10" s="213"/>
      <c r="J10" s="213"/>
      <c r="K10" s="213">
        <v>2000.0</v>
      </c>
      <c r="L10" s="213"/>
      <c r="M10" s="213"/>
      <c r="N10" s="213"/>
      <c r="O10" s="213"/>
      <c r="P10" s="214">
        <v>2000.0</v>
      </c>
      <c r="Q10" s="201">
        <f t="shared" si="1"/>
        <v>0</v>
      </c>
      <c r="R10" s="215" t="s">
        <v>46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208">
        <v>45683.0</v>
      </c>
      <c r="C11" s="209" t="s">
        <v>1066</v>
      </c>
      <c r="D11" s="210">
        <v>35227.0</v>
      </c>
      <c r="E11" s="211" t="s">
        <v>219</v>
      </c>
      <c r="F11" s="213"/>
      <c r="G11" s="213"/>
      <c r="H11" s="213"/>
      <c r="I11" s="213">
        <v>300.0</v>
      </c>
      <c r="J11" s="213"/>
      <c r="K11" s="213"/>
      <c r="L11" s="213"/>
      <c r="M11" s="213"/>
      <c r="N11" s="213"/>
      <c r="O11" s="213"/>
      <c r="P11" s="214">
        <v>300.0</v>
      </c>
      <c r="Q11" s="201">
        <f t="shared" si="1"/>
        <v>0</v>
      </c>
      <c r="R11" s="215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208">
        <v>45683.0</v>
      </c>
      <c r="C12" s="209" t="s">
        <v>1067</v>
      </c>
      <c r="D12" s="210">
        <v>22341.0</v>
      </c>
      <c r="E12" s="211" t="s">
        <v>302</v>
      </c>
      <c r="F12" s="213"/>
      <c r="G12" s="213"/>
      <c r="H12" s="213"/>
      <c r="I12" s="213">
        <v>1550.0</v>
      </c>
      <c r="J12" s="213"/>
      <c r="K12" s="213"/>
      <c r="L12" s="213"/>
      <c r="M12" s="213"/>
      <c r="N12" s="213"/>
      <c r="O12" s="213"/>
      <c r="P12" s="214">
        <v>1550.0</v>
      </c>
      <c r="Q12" s="201">
        <f t="shared" si="1"/>
        <v>0</v>
      </c>
      <c r="R12" s="215" t="s">
        <v>46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208">
        <v>45683.0</v>
      </c>
      <c r="C13" s="209" t="s">
        <v>1068</v>
      </c>
      <c r="D13" s="210">
        <v>36080.0</v>
      </c>
      <c r="E13" s="211" t="s">
        <v>1069</v>
      </c>
      <c r="F13" s="213"/>
      <c r="G13" s="213"/>
      <c r="H13" s="213"/>
      <c r="I13" s="213">
        <v>9500.0</v>
      </c>
      <c r="J13" s="213"/>
      <c r="K13" s="213"/>
      <c r="L13" s="213"/>
      <c r="M13" s="213"/>
      <c r="N13" s="213"/>
      <c r="O13" s="213"/>
      <c r="P13" s="214">
        <v>9500.0</v>
      </c>
      <c r="Q13" s="201">
        <f t="shared" si="1"/>
        <v>0</v>
      </c>
      <c r="R13" s="215" t="s">
        <v>46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208">
        <v>45683.0</v>
      </c>
      <c r="C14" s="209" t="s">
        <v>1070</v>
      </c>
      <c r="D14" s="210">
        <v>22332.0</v>
      </c>
      <c r="E14" s="211" t="s">
        <v>350</v>
      </c>
      <c r="F14" s="213"/>
      <c r="G14" s="213"/>
      <c r="H14" s="213"/>
      <c r="I14" s="213">
        <v>54500.0</v>
      </c>
      <c r="J14" s="213"/>
      <c r="K14" s="213"/>
      <c r="L14" s="213"/>
      <c r="M14" s="213"/>
      <c r="N14" s="213"/>
      <c r="O14" s="213"/>
      <c r="P14" s="214">
        <v>54500.0</v>
      </c>
      <c r="Q14" s="201">
        <f t="shared" si="1"/>
        <v>0</v>
      </c>
      <c r="R14" s="215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208">
        <v>45683.0</v>
      </c>
      <c r="C15" s="209" t="s">
        <v>1071</v>
      </c>
      <c r="D15" s="210">
        <v>66932.0</v>
      </c>
      <c r="E15" s="211" t="s">
        <v>1072</v>
      </c>
      <c r="F15" s="213"/>
      <c r="G15" s="213"/>
      <c r="H15" s="213"/>
      <c r="I15" s="213">
        <v>7100.0</v>
      </c>
      <c r="J15" s="213"/>
      <c r="K15" s="213"/>
      <c r="L15" s="213"/>
      <c r="M15" s="213"/>
      <c r="N15" s="213"/>
      <c r="O15" s="213"/>
      <c r="P15" s="214">
        <v>7100.0</v>
      </c>
      <c r="Q15" s="201">
        <f t="shared" si="1"/>
        <v>0</v>
      </c>
      <c r="R15" s="215" t="s">
        <v>512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208">
        <v>45683.0</v>
      </c>
      <c r="C16" s="209" t="s">
        <v>1073</v>
      </c>
      <c r="D16" s="210">
        <v>26005.0</v>
      </c>
      <c r="E16" s="211" t="s">
        <v>1074</v>
      </c>
      <c r="F16" s="213"/>
      <c r="G16" s="213"/>
      <c r="H16" s="213"/>
      <c r="I16" s="213">
        <v>4500.0</v>
      </c>
      <c r="J16" s="213"/>
      <c r="K16" s="213"/>
      <c r="L16" s="213"/>
      <c r="M16" s="213"/>
      <c r="N16" s="213"/>
      <c r="O16" s="213"/>
      <c r="P16" s="214">
        <v>4500.0</v>
      </c>
      <c r="Q16" s="201">
        <f t="shared" si="1"/>
        <v>0</v>
      </c>
      <c r="R16" s="215" t="s">
        <v>512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208">
        <v>45683.0</v>
      </c>
      <c r="C17" s="209" t="s">
        <v>1075</v>
      </c>
      <c r="D17" s="210">
        <v>21818.0</v>
      </c>
      <c r="E17" s="211" t="s">
        <v>65</v>
      </c>
      <c r="F17" s="213"/>
      <c r="G17" s="213"/>
      <c r="H17" s="213"/>
      <c r="I17" s="213"/>
      <c r="J17" s="213"/>
      <c r="K17" s="213">
        <v>300.0</v>
      </c>
      <c r="L17" s="213"/>
      <c r="M17" s="213"/>
      <c r="N17" s="213"/>
      <c r="O17" s="213"/>
      <c r="P17" s="214">
        <v>300.0</v>
      </c>
      <c r="Q17" s="201">
        <f t="shared" si="1"/>
        <v>0</v>
      </c>
      <c r="R17" s="215" t="s">
        <v>46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208">
        <v>45683.0</v>
      </c>
      <c r="C18" s="209" t="s">
        <v>1076</v>
      </c>
      <c r="D18" s="210">
        <v>62146.0</v>
      </c>
      <c r="E18" s="211" t="s">
        <v>389</v>
      </c>
      <c r="F18" s="213"/>
      <c r="G18" s="213"/>
      <c r="H18" s="213"/>
      <c r="I18" s="213">
        <v>700.0</v>
      </c>
      <c r="J18" s="213"/>
      <c r="K18" s="213"/>
      <c r="L18" s="213"/>
      <c r="M18" s="213"/>
      <c r="N18" s="213"/>
      <c r="O18" s="213"/>
      <c r="P18" s="214">
        <v>700.0</v>
      </c>
      <c r="Q18" s="201">
        <f t="shared" si="1"/>
        <v>0</v>
      </c>
      <c r="R18" s="215" t="s">
        <v>512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208">
        <v>45683.0</v>
      </c>
      <c r="C19" s="209" t="s">
        <v>1077</v>
      </c>
      <c r="D19" s="210">
        <v>21818.0</v>
      </c>
      <c r="E19" s="211" t="s">
        <v>65</v>
      </c>
      <c r="F19" s="213"/>
      <c r="G19" s="213"/>
      <c r="H19" s="213"/>
      <c r="I19" s="213"/>
      <c r="J19" s="213"/>
      <c r="K19" s="213">
        <v>600.0</v>
      </c>
      <c r="L19" s="213"/>
      <c r="M19" s="213"/>
      <c r="N19" s="213"/>
      <c r="O19" s="213"/>
      <c r="P19" s="214">
        <v>600.0</v>
      </c>
      <c r="Q19" s="201">
        <f t="shared" si="1"/>
        <v>0</v>
      </c>
      <c r="R19" s="215" t="s">
        <v>46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208">
        <v>45683.0</v>
      </c>
      <c r="C20" s="209" t="s">
        <v>1078</v>
      </c>
      <c r="D20" s="210">
        <v>57499.0</v>
      </c>
      <c r="E20" s="211" t="s">
        <v>50</v>
      </c>
      <c r="F20" s="213"/>
      <c r="G20" s="213"/>
      <c r="H20" s="213"/>
      <c r="I20" s="213"/>
      <c r="J20" s="213">
        <v>2075.0</v>
      </c>
      <c r="K20" s="213"/>
      <c r="L20" s="213"/>
      <c r="M20" s="213">
        <v>450.0</v>
      </c>
      <c r="N20" s="213"/>
      <c r="O20" s="213"/>
      <c r="P20" s="214">
        <v>2525.0</v>
      </c>
      <c r="Q20" s="201">
        <f t="shared" si="1"/>
        <v>0</v>
      </c>
      <c r="R20" s="215" t="s">
        <v>512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208">
        <v>45683.0</v>
      </c>
      <c r="C21" s="209" t="s">
        <v>1079</v>
      </c>
      <c r="D21" s="210">
        <v>80335.0</v>
      </c>
      <c r="E21" s="211" t="s">
        <v>1080</v>
      </c>
      <c r="F21" s="213">
        <v>250.0</v>
      </c>
      <c r="G21" s="213"/>
      <c r="H21" s="213"/>
      <c r="I21" s="213"/>
      <c r="J21" s="213"/>
      <c r="K21" s="213"/>
      <c r="L21" s="213"/>
      <c r="M21" s="213">
        <v>250.0</v>
      </c>
      <c r="N21" s="213"/>
      <c r="O21" s="213"/>
      <c r="P21" s="214">
        <v>500.0</v>
      </c>
      <c r="Q21" s="201">
        <f t="shared" si="1"/>
        <v>0</v>
      </c>
      <c r="R21" s="215" t="s">
        <v>512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208">
        <v>45682.0</v>
      </c>
      <c r="C22" s="209" t="s">
        <v>1081</v>
      </c>
      <c r="D22" s="210">
        <v>51017.0</v>
      </c>
      <c r="E22" s="211" t="s">
        <v>167</v>
      </c>
      <c r="F22" s="213"/>
      <c r="G22" s="213"/>
      <c r="H22" s="213">
        <v>17000.0</v>
      </c>
      <c r="I22" s="213"/>
      <c r="J22" s="213"/>
      <c r="K22" s="213"/>
      <c r="L22" s="213"/>
      <c r="M22" s="213"/>
      <c r="N22" s="213"/>
      <c r="O22" s="213"/>
      <c r="P22" s="214">
        <v>17000.0</v>
      </c>
      <c r="Q22" s="201">
        <f t="shared" si="1"/>
        <v>0</v>
      </c>
      <c r="R22" s="215"/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208">
        <v>45683.0</v>
      </c>
      <c r="C23" s="209" t="s">
        <v>1082</v>
      </c>
      <c r="D23" s="210">
        <v>81494.0</v>
      </c>
      <c r="E23" s="211" t="s">
        <v>1083</v>
      </c>
      <c r="F23" s="213"/>
      <c r="G23" s="213"/>
      <c r="H23" s="213"/>
      <c r="I23" s="213"/>
      <c r="J23" s="213"/>
      <c r="K23" s="213"/>
      <c r="L23" s="213"/>
      <c r="M23" s="213">
        <v>1000.0</v>
      </c>
      <c r="N23" s="213"/>
      <c r="O23" s="213"/>
      <c r="P23" s="214">
        <v>1000.0</v>
      </c>
      <c r="Q23" s="201">
        <f t="shared" si="1"/>
        <v>0</v>
      </c>
      <c r="R23" s="215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208">
        <v>45683.0</v>
      </c>
      <c r="C24" s="209" t="s">
        <v>1084</v>
      </c>
      <c r="D24" s="210">
        <v>85268.0</v>
      </c>
      <c r="E24" s="211" t="s">
        <v>1085</v>
      </c>
      <c r="F24" s="213"/>
      <c r="G24" s="213"/>
      <c r="H24" s="213"/>
      <c r="I24" s="213"/>
      <c r="J24" s="213"/>
      <c r="K24" s="213"/>
      <c r="L24" s="213"/>
      <c r="M24" s="213">
        <v>4850.0</v>
      </c>
      <c r="N24" s="213"/>
      <c r="O24" s="213"/>
      <c r="P24" s="214">
        <v>4850.0</v>
      </c>
      <c r="Q24" s="201">
        <f t="shared" si="1"/>
        <v>0</v>
      </c>
      <c r="R24" s="215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/>
      <c r="B25" s="208"/>
      <c r="C25" s="209"/>
      <c r="D25" s="210"/>
      <c r="E25" s="211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4"/>
      <c r="Q25" s="201">
        <f t="shared" si="1"/>
        <v>0</v>
      </c>
      <c r="R25" s="215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/>
      <c r="B26" s="208"/>
      <c r="C26" s="209"/>
      <c r="D26" s="210"/>
      <c r="E26" s="211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  <c r="Q26" s="201">
        <f t="shared" si="1"/>
        <v>0</v>
      </c>
      <c r="R26" s="215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/>
      <c r="B27" s="32"/>
      <c r="C27" s="33"/>
      <c r="D27" s="34"/>
      <c r="E27" s="35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5">
        <f t="shared" si="1"/>
        <v>0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27"/>
      <c r="B28" s="128"/>
      <c r="C28" s="129"/>
      <c r="D28" s="130"/>
      <c r="E28" s="131"/>
      <c r="F28" s="132">
        <f t="shared" ref="F28:Q28" si="2">SUM(F6:F27)</f>
        <v>250</v>
      </c>
      <c r="G28" s="132">
        <f t="shared" si="2"/>
        <v>0</v>
      </c>
      <c r="H28" s="132">
        <f t="shared" si="2"/>
        <v>17000</v>
      </c>
      <c r="I28" s="132">
        <f t="shared" si="2"/>
        <v>83050</v>
      </c>
      <c r="J28" s="132">
        <f t="shared" si="2"/>
        <v>19675</v>
      </c>
      <c r="K28" s="132">
        <f t="shared" si="2"/>
        <v>2900</v>
      </c>
      <c r="L28" s="132">
        <f t="shared" si="2"/>
        <v>0</v>
      </c>
      <c r="M28" s="132">
        <f t="shared" si="2"/>
        <v>6550</v>
      </c>
      <c r="N28" s="132">
        <f t="shared" si="2"/>
        <v>0</v>
      </c>
      <c r="O28" s="132">
        <f t="shared" si="2"/>
        <v>0</v>
      </c>
      <c r="P28" s="132">
        <f t="shared" si="2"/>
        <v>129425</v>
      </c>
      <c r="Q28" s="132">
        <f t="shared" si="2"/>
        <v>0</v>
      </c>
      <c r="R28" s="134"/>
      <c r="S28" s="135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</row>
    <row r="29" ht="45.0" customHeight="1">
      <c r="A29" s="136"/>
      <c r="B29" s="137"/>
      <c r="C29" s="138"/>
      <c r="D29" s="137"/>
      <c r="E29" s="137"/>
      <c r="F29" s="139">
        <f>F28+G28+H28+I28+J28+K28+L28+M28+N28+O28</f>
        <v>129425</v>
      </c>
      <c r="G29" s="2"/>
      <c r="H29" s="2"/>
      <c r="I29" s="2"/>
      <c r="J29" s="2"/>
      <c r="K29" s="2"/>
      <c r="L29" s="2"/>
      <c r="M29" s="2"/>
      <c r="N29" s="2"/>
      <c r="O29" s="2"/>
      <c r="P29" s="140"/>
      <c r="Q29" s="140"/>
      <c r="R29" s="137"/>
      <c r="S29" s="141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45.0" customHeight="1">
      <c r="A30" s="27"/>
      <c r="B30" s="27"/>
      <c r="C30" s="75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45.0" customHeight="1">
      <c r="A31" s="165" t="s">
        <v>445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45.0" customHeight="1">
      <c r="A32" s="166" t="s">
        <v>1</v>
      </c>
      <c r="B32" s="167" t="s">
        <v>2</v>
      </c>
      <c r="C32" s="167" t="s">
        <v>3</v>
      </c>
      <c r="D32" s="167" t="s">
        <v>4</v>
      </c>
      <c r="E32" s="167" t="s">
        <v>5</v>
      </c>
      <c r="F32" s="168" t="s">
        <v>252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67" t="s">
        <v>7</v>
      </c>
      <c r="S32" s="167" t="s">
        <v>8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45.0" customHeight="1">
      <c r="A33" s="10"/>
      <c r="B33" s="11"/>
      <c r="C33" s="11"/>
      <c r="D33" s="11"/>
      <c r="E33" s="11"/>
      <c r="F33" s="169" t="s">
        <v>9</v>
      </c>
      <c r="G33" s="170" t="s">
        <v>10</v>
      </c>
      <c r="H33" s="9"/>
      <c r="I33" s="170" t="s">
        <v>11</v>
      </c>
      <c r="J33" s="9"/>
      <c r="K33" s="167" t="s">
        <v>12</v>
      </c>
      <c r="L33" s="171"/>
      <c r="M33" s="171"/>
      <c r="N33" s="171"/>
      <c r="O33" s="172" t="s">
        <v>1086</v>
      </c>
      <c r="P33" s="167" t="s">
        <v>14</v>
      </c>
      <c r="Q33" s="167" t="s">
        <v>15</v>
      </c>
      <c r="R33" s="11"/>
      <c r="S33" s="1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63.0" customHeight="1">
      <c r="A34" s="14"/>
      <c r="B34" s="9"/>
      <c r="C34" s="9"/>
      <c r="D34" s="9"/>
      <c r="E34" s="9"/>
      <c r="F34" s="9"/>
      <c r="G34" s="173" t="s">
        <v>16</v>
      </c>
      <c r="H34" s="173" t="s">
        <v>17</v>
      </c>
      <c r="I34" s="173" t="s">
        <v>18</v>
      </c>
      <c r="J34" s="173" t="s">
        <v>19</v>
      </c>
      <c r="K34" s="9"/>
      <c r="L34" s="173" t="s">
        <v>20</v>
      </c>
      <c r="M34" s="173" t="s">
        <v>21</v>
      </c>
      <c r="N34" s="173" t="s">
        <v>22</v>
      </c>
      <c r="O34" s="9"/>
      <c r="P34" s="9"/>
      <c r="Q34" s="9"/>
      <c r="R34" s="9"/>
      <c r="S34" s="9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48.0" customHeight="1">
      <c r="A35" s="218"/>
      <c r="B35" s="222"/>
      <c r="C35" s="209"/>
      <c r="D35" s="210"/>
      <c r="E35" s="211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223"/>
      <c r="Q35" s="25">
        <f>F35+G35+H35+I35+J35+K35+L35+M35+N35+O35-P35</f>
        <v>0</v>
      </c>
      <c r="R35" s="38"/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58.5" customHeight="1">
      <c r="A36" s="174"/>
      <c r="B36" s="175"/>
      <c r="C36" s="176"/>
      <c r="D36" s="177" t="s">
        <v>115</v>
      </c>
      <c r="E36" s="178"/>
      <c r="F36" s="179">
        <v>0.0</v>
      </c>
      <c r="G36" s="179">
        <v>0.0</v>
      </c>
      <c r="H36" s="179">
        <f t="shared" ref="H36:Q36" si="3">SUM(H35)</f>
        <v>0</v>
      </c>
      <c r="I36" s="179">
        <f t="shared" si="3"/>
        <v>0</v>
      </c>
      <c r="J36" s="179">
        <f t="shared" si="3"/>
        <v>0</v>
      </c>
      <c r="K36" s="179">
        <f t="shared" si="3"/>
        <v>0</v>
      </c>
      <c r="L36" s="179">
        <f t="shared" si="3"/>
        <v>0</v>
      </c>
      <c r="M36" s="179">
        <f t="shared" si="3"/>
        <v>0</v>
      </c>
      <c r="N36" s="179">
        <f t="shared" si="3"/>
        <v>0</v>
      </c>
      <c r="O36" s="179">
        <f t="shared" si="3"/>
        <v>0</v>
      </c>
      <c r="P36" s="179">
        <f t="shared" si="3"/>
        <v>0</v>
      </c>
      <c r="Q36" s="179">
        <f t="shared" si="3"/>
        <v>0</v>
      </c>
      <c r="R36" s="178"/>
      <c r="S36" s="18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58.5" customHeight="1">
      <c r="A37" s="182"/>
      <c r="B37" s="183"/>
      <c r="C37" s="184"/>
      <c r="D37" s="183"/>
      <c r="E37" s="183"/>
      <c r="F37" s="185">
        <f>F36+G36+H36+I36+J36+K36+L36+M36+N36+O36</f>
        <v>0</v>
      </c>
      <c r="G37" s="2"/>
      <c r="H37" s="2"/>
      <c r="I37" s="2"/>
      <c r="J37" s="2"/>
      <c r="K37" s="2"/>
      <c r="L37" s="2"/>
      <c r="M37" s="2"/>
      <c r="N37" s="2"/>
      <c r="O37" s="2"/>
      <c r="P37" s="186"/>
      <c r="Q37" s="186"/>
      <c r="R37" s="183"/>
      <c r="S37" s="18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58.5" customHeight="1">
      <c r="A38" s="4"/>
      <c r="B38" s="4"/>
      <c r="C38" s="5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118</v>
      </c>
      <c r="F39" s="189" t="s">
        <v>171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120</v>
      </c>
      <c r="F40" s="189" t="s">
        <v>171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121</v>
      </c>
      <c r="F41" s="189" t="s">
        <v>171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122</v>
      </c>
      <c r="F42" s="189" t="s">
        <v>1012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1087</v>
      </c>
      <c r="F43" s="189" t="s">
        <v>171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124</v>
      </c>
      <c r="F44" s="189" t="s">
        <v>171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126</v>
      </c>
      <c r="F45" s="189" t="s">
        <v>255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 t="s">
        <v>595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9.13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1088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9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 t="s">
        <v>1089</v>
      </c>
      <c r="B6" s="28">
        <v>45683.0</v>
      </c>
      <c r="C6" s="18" t="s">
        <v>1090</v>
      </c>
      <c r="D6" s="19">
        <v>29621.0</v>
      </c>
      <c r="E6" s="20" t="s">
        <v>818</v>
      </c>
      <c r="F6" s="22"/>
      <c r="G6" s="22">
        <v>2500.0</v>
      </c>
      <c r="H6" s="22"/>
      <c r="I6" s="21"/>
      <c r="J6" s="21"/>
      <c r="K6" s="22"/>
      <c r="L6" s="22"/>
      <c r="M6" s="21"/>
      <c r="N6" s="22"/>
      <c r="O6" s="22"/>
      <c r="P6" s="24">
        <v>2500.0</v>
      </c>
      <c r="Q6" s="25">
        <f>F6+G6+H6+I6+J6+K6+L6+M6+N6+O6-P6</f>
        <v>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45683.0</v>
      </c>
      <c r="C7" s="18" t="s">
        <v>1091</v>
      </c>
      <c r="D7" s="19">
        <v>80636.0</v>
      </c>
      <c r="E7" s="20" t="s">
        <v>202</v>
      </c>
      <c r="F7" s="21"/>
      <c r="G7" s="22" t="s">
        <v>1092</v>
      </c>
      <c r="H7" s="22"/>
      <c r="I7" s="30"/>
      <c r="J7" s="22"/>
      <c r="K7" s="31"/>
      <c r="L7" s="22"/>
      <c r="M7" s="22">
        <v>300.0</v>
      </c>
      <c r="N7" s="22"/>
      <c r="O7" s="22"/>
      <c r="P7" s="24">
        <v>300.0</v>
      </c>
      <c r="Q7" s="25">
        <v>0.0</v>
      </c>
      <c r="R7" s="24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45683.0</v>
      </c>
      <c r="C8" s="18" t="s">
        <v>1093</v>
      </c>
      <c r="D8" s="19">
        <v>51301.0</v>
      </c>
      <c r="E8" s="20" t="s">
        <v>254</v>
      </c>
      <c r="F8" s="21"/>
      <c r="G8" s="22"/>
      <c r="H8" s="22"/>
      <c r="I8" s="21"/>
      <c r="J8" s="22"/>
      <c r="K8" s="21"/>
      <c r="L8" s="22"/>
      <c r="M8" s="22">
        <v>1090.0</v>
      </c>
      <c r="N8" s="22"/>
      <c r="O8" s="22"/>
      <c r="P8" s="24">
        <v>1090.0</v>
      </c>
      <c r="Q8" s="25">
        <f t="shared" ref="Q8:Q33" si="1">F8+G8+H8+I8+J8+K8+L8+M8+N8+O8-P8</f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45684.0</v>
      </c>
      <c r="C9" s="33" t="s">
        <v>1094</v>
      </c>
      <c r="D9" s="34">
        <v>48854.0</v>
      </c>
      <c r="E9" s="35" t="s">
        <v>1095</v>
      </c>
      <c r="F9" s="30"/>
      <c r="G9" s="36"/>
      <c r="H9" s="36"/>
      <c r="I9" s="30"/>
      <c r="J9" s="30">
        <v>2500.0</v>
      </c>
      <c r="K9" s="37">
        <v>100.0</v>
      </c>
      <c r="L9" s="36"/>
      <c r="M9" s="36"/>
      <c r="N9" s="36"/>
      <c r="O9" s="36"/>
      <c r="P9" s="38">
        <v>2600.0</v>
      </c>
      <c r="Q9" s="25">
        <f t="shared" si="1"/>
        <v>0</v>
      </c>
      <c r="R9" s="38" t="s">
        <v>46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45684.0</v>
      </c>
      <c r="C10" s="33" t="s">
        <v>1096</v>
      </c>
      <c r="D10" s="34">
        <v>52396.0</v>
      </c>
      <c r="E10" s="35" t="s">
        <v>795</v>
      </c>
      <c r="F10" s="30"/>
      <c r="G10" s="36"/>
      <c r="H10" s="36"/>
      <c r="I10" s="30"/>
      <c r="J10" s="30">
        <v>5000.0</v>
      </c>
      <c r="K10" s="37"/>
      <c r="L10" s="36"/>
      <c r="M10" s="36"/>
      <c r="N10" s="36"/>
      <c r="O10" s="36"/>
      <c r="P10" s="38">
        <v>5000.0</v>
      </c>
      <c r="Q10" s="25">
        <f t="shared" si="1"/>
        <v>0</v>
      </c>
      <c r="R10" s="38" t="s">
        <v>46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45684.0</v>
      </c>
      <c r="C11" s="33" t="s">
        <v>1097</v>
      </c>
      <c r="D11" s="34">
        <v>54242.0</v>
      </c>
      <c r="E11" s="35" t="s">
        <v>797</v>
      </c>
      <c r="F11" s="30"/>
      <c r="G11" s="36"/>
      <c r="H11" s="36"/>
      <c r="I11" s="30"/>
      <c r="J11" s="30">
        <v>5000.0</v>
      </c>
      <c r="K11" s="37"/>
      <c r="L11" s="36"/>
      <c r="M11" s="36"/>
      <c r="N11" s="36"/>
      <c r="O11" s="36"/>
      <c r="P11" s="38">
        <v>5000.0</v>
      </c>
      <c r="Q11" s="25">
        <f t="shared" si="1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45684.0</v>
      </c>
      <c r="C12" s="33" t="s">
        <v>1098</v>
      </c>
      <c r="D12" s="34">
        <v>52808.0</v>
      </c>
      <c r="E12" s="35" t="s">
        <v>799</v>
      </c>
      <c r="F12" s="30"/>
      <c r="G12" s="36"/>
      <c r="H12" s="36"/>
      <c r="I12" s="30"/>
      <c r="J12" s="30">
        <v>5000.0</v>
      </c>
      <c r="K12" s="37"/>
      <c r="L12" s="36"/>
      <c r="M12" s="36"/>
      <c r="N12" s="36"/>
      <c r="O12" s="36"/>
      <c r="P12" s="38">
        <v>5000.0</v>
      </c>
      <c r="Q12" s="25">
        <f t="shared" si="1"/>
        <v>0</v>
      </c>
      <c r="R12" s="38" t="s">
        <v>46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45684.0</v>
      </c>
      <c r="C13" s="33" t="s">
        <v>1099</v>
      </c>
      <c r="D13" s="34">
        <v>86082.0</v>
      </c>
      <c r="E13" s="35" t="s">
        <v>1100</v>
      </c>
      <c r="F13" s="30">
        <v>300.0</v>
      </c>
      <c r="G13" s="36"/>
      <c r="H13" s="36"/>
      <c r="I13" s="30"/>
      <c r="J13" s="30"/>
      <c r="K13" s="37"/>
      <c r="L13" s="36"/>
      <c r="M13" s="36"/>
      <c r="N13" s="36"/>
      <c r="O13" s="36"/>
      <c r="P13" s="38">
        <v>300.0</v>
      </c>
      <c r="Q13" s="25">
        <f t="shared" si="1"/>
        <v>0</v>
      </c>
      <c r="R13" s="38" t="s">
        <v>512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45684.0</v>
      </c>
      <c r="C14" s="33" t="s">
        <v>1101</v>
      </c>
      <c r="D14" s="34">
        <v>84036.0</v>
      </c>
      <c r="E14" s="35" t="s">
        <v>43</v>
      </c>
      <c r="F14" s="30"/>
      <c r="G14" s="36"/>
      <c r="H14" s="36"/>
      <c r="I14" s="30">
        <v>2600.0</v>
      </c>
      <c r="J14" s="30"/>
      <c r="K14" s="37"/>
      <c r="L14" s="36"/>
      <c r="M14" s="36"/>
      <c r="N14" s="36"/>
      <c r="O14" s="36"/>
      <c r="P14" s="38">
        <v>2600.0</v>
      </c>
      <c r="Q14" s="25">
        <f t="shared" si="1"/>
        <v>0</v>
      </c>
      <c r="R14" s="38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45684.0</v>
      </c>
      <c r="C15" s="33" t="s">
        <v>1102</v>
      </c>
      <c r="D15" s="34">
        <v>45227.0</v>
      </c>
      <c r="E15" s="35" t="s">
        <v>585</v>
      </c>
      <c r="F15" s="30"/>
      <c r="G15" s="36"/>
      <c r="H15" s="36"/>
      <c r="I15" s="30">
        <v>4300.0</v>
      </c>
      <c r="J15" s="30"/>
      <c r="K15" s="37"/>
      <c r="L15" s="36"/>
      <c r="M15" s="36"/>
      <c r="N15" s="36"/>
      <c r="O15" s="36"/>
      <c r="P15" s="38">
        <v>4300.0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45684.0</v>
      </c>
      <c r="C16" s="33" t="s">
        <v>1103</v>
      </c>
      <c r="D16" s="34">
        <v>72839.0</v>
      </c>
      <c r="E16" s="35" t="s">
        <v>364</v>
      </c>
      <c r="F16" s="30"/>
      <c r="G16" s="36"/>
      <c r="H16" s="36"/>
      <c r="I16" s="30">
        <v>11250.0</v>
      </c>
      <c r="J16" s="30"/>
      <c r="K16" s="37"/>
      <c r="L16" s="36"/>
      <c r="M16" s="36"/>
      <c r="N16" s="36"/>
      <c r="O16" s="36"/>
      <c r="P16" s="38">
        <v>11250.0</v>
      </c>
      <c r="Q16" s="25">
        <f t="shared" si="1"/>
        <v>0</v>
      </c>
      <c r="R16" s="38" t="s">
        <v>46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45684.0</v>
      </c>
      <c r="C17" s="33" t="s">
        <v>1104</v>
      </c>
      <c r="D17" s="34">
        <v>56713.0</v>
      </c>
      <c r="E17" s="35" t="s">
        <v>1105</v>
      </c>
      <c r="F17" s="30"/>
      <c r="G17" s="36"/>
      <c r="H17" s="36"/>
      <c r="I17" s="30"/>
      <c r="J17" s="30">
        <v>5100.0</v>
      </c>
      <c r="K17" s="37"/>
      <c r="L17" s="36"/>
      <c r="M17" s="36"/>
      <c r="N17" s="36"/>
      <c r="O17" s="36"/>
      <c r="P17" s="38">
        <v>5100.0</v>
      </c>
      <c r="Q17" s="25">
        <f t="shared" si="1"/>
        <v>0</v>
      </c>
      <c r="R17" s="38" t="s">
        <v>28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45684.0</v>
      </c>
      <c r="C18" s="33" t="s">
        <v>1106</v>
      </c>
      <c r="D18" s="34">
        <v>74643.0</v>
      </c>
      <c r="E18" s="35" t="s">
        <v>1107</v>
      </c>
      <c r="F18" s="30"/>
      <c r="G18" s="36"/>
      <c r="H18" s="36"/>
      <c r="I18" s="30"/>
      <c r="J18" s="30"/>
      <c r="K18" s="37"/>
      <c r="L18" s="36"/>
      <c r="M18" s="36">
        <v>1000.0</v>
      </c>
      <c r="N18" s="36"/>
      <c r="O18" s="36"/>
      <c r="P18" s="38">
        <v>1000.0</v>
      </c>
      <c r="Q18" s="25">
        <f t="shared" si="1"/>
        <v>0</v>
      </c>
      <c r="R18" s="38" t="s">
        <v>46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45684.0</v>
      </c>
      <c r="C19" s="33" t="s">
        <v>1108</v>
      </c>
      <c r="D19" s="34">
        <v>81108.0</v>
      </c>
      <c r="E19" s="35" t="s">
        <v>328</v>
      </c>
      <c r="F19" s="30"/>
      <c r="G19" s="36"/>
      <c r="H19" s="36"/>
      <c r="I19" s="30">
        <v>16800.0</v>
      </c>
      <c r="J19" s="30"/>
      <c r="K19" s="37"/>
      <c r="L19" s="36"/>
      <c r="M19" s="36"/>
      <c r="N19" s="36"/>
      <c r="O19" s="36"/>
      <c r="P19" s="38">
        <v>16800.0</v>
      </c>
      <c r="Q19" s="25">
        <f t="shared" si="1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45684.0</v>
      </c>
      <c r="C20" s="33" t="s">
        <v>1109</v>
      </c>
      <c r="D20" s="34">
        <v>24609.0</v>
      </c>
      <c r="E20" s="35" t="s">
        <v>1110</v>
      </c>
      <c r="F20" s="30"/>
      <c r="G20" s="36"/>
      <c r="H20" s="36"/>
      <c r="I20" s="30">
        <v>3150.0</v>
      </c>
      <c r="J20" s="30"/>
      <c r="K20" s="37"/>
      <c r="L20" s="36"/>
      <c r="M20" s="36"/>
      <c r="N20" s="36"/>
      <c r="O20" s="36"/>
      <c r="P20" s="38">
        <v>3150.0</v>
      </c>
      <c r="Q20" s="25">
        <f t="shared" si="1"/>
        <v>0</v>
      </c>
      <c r="R20" s="38" t="s">
        <v>512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45684.0</v>
      </c>
      <c r="C21" s="33" t="s">
        <v>1111</v>
      </c>
      <c r="D21" s="34">
        <v>55592.0</v>
      </c>
      <c r="E21" s="35" t="s">
        <v>1112</v>
      </c>
      <c r="F21" s="30"/>
      <c r="G21" s="36"/>
      <c r="H21" s="36"/>
      <c r="I21" s="30">
        <v>10000.0</v>
      </c>
      <c r="J21" s="30"/>
      <c r="K21" s="37"/>
      <c r="L21" s="36"/>
      <c r="M21" s="36"/>
      <c r="N21" s="36"/>
      <c r="O21" s="36"/>
      <c r="P21" s="38">
        <v>10000.0</v>
      </c>
      <c r="Q21" s="25">
        <f t="shared" si="1"/>
        <v>0</v>
      </c>
      <c r="R21" s="38" t="s">
        <v>28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45684.0</v>
      </c>
      <c r="C22" s="33" t="s">
        <v>1113</v>
      </c>
      <c r="D22" s="34">
        <v>22727.0</v>
      </c>
      <c r="E22" s="35" t="s">
        <v>211</v>
      </c>
      <c r="F22" s="30"/>
      <c r="G22" s="36"/>
      <c r="H22" s="36"/>
      <c r="I22" s="30"/>
      <c r="J22" s="30">
        <v>7500.0</v>
      </c>
      <c r="K22" s="37"/>
      <c r="L22" s="36"/>
      <c r="M22" s="36"/>
      <c r="N22" s="36"/>
      <c r="O22" s="36"/>
      <c r="P22" s="38">
        <v>7500.0</v>
      </c>
      <c r="Q22" s="25">
        <f t="shared" si="1"/>
        <v>0</v>
      </c>
      <c r="R22" s="38" t="s">
        <v>512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45684.0</v>
      </c>
      <c r="C23" s="33" t="s">
        <v>1114</v>
      </c>
      <c r="D23" s="34">
        <v>50173.0</v>
      </c>
      <c r="E23" s="35" t="s">
        <v>419</v>
      </c>
      <c r="F23" s="30"/>
      <c r="G23" s="36"/>
      <c r="H23" s="36"/>
      <c r="I23" s="30">
        <v>1250.0</v>
      </c>
      <c r="J23" s="30"/>
      <c r="K23" s="37">
        <v>50.0</v>
      </c>
      <c r="L23" s="36"/>
      <c r="M23" s="36"/>
      <c r="N23" s="36"/>
      <c r="O23" s="36"/>
      <c r="P23" s="38">
        <v>1300.0</v>
      </c>
      <c r="Q23" s="25">
        <f t="shared" si="1"/>
        <v>0</v>
      </c>
      <c r="R23" s="38" t="s">
        <v>512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45684.0</v>
      </c>
      <c r="C24" s="33" t="s">
        <v>1115</v>
      </c>
      <c r="D24" s="34">
        <v>84683.0</v>
      </c>
      <c r="E24" s="35" t="s">
        <v>1116</v>
      </c>
      <c r="F24" s="30"/>
      <c r="G24" s="36"/>
      <c r="H24" s="36"/>
      <c r="I24" s="30"/>
      <c r="J24" s="30"/>
      <c r="K24" s="37"/>
      <c r="L24" s="36"/>
      <c r="M24" s="36">
        <v>1200.0</v>
      </c>
      <c r="N24" s="36"/>
      <c r="O24" s="36"/>
      <c r="P24" s="38">
        <v>1200.0</v>
      </c>
      <c r="Q24" s="25">
        <f t="shared" si="1"/>
        <v>0</v>
      </c>
      <c r="R24" s="38" t="s">
        <v>512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45684.0</v>
      </c>
      <c r="C25" s="33" t="s">
        <v>1117</v>
      </c>
      <c r="D25" s="34">
        <v>73829.0</v>
      </c>
      <c r="E25" s="35" t="s">
        <v>1118</v>
      </c>
      <c r="F25" s="30"/>
      <c r="G25" s="36"/>
      <c r="H25" s="36"/>
      <c r="I25" s="30">
        <v>1550.0</v>
      </c>
      <c r="J25" s="30"/>
      <c r="K25" s="37"/>
      <c r="L25" s="36"/>
      <c r="M25" s="36"/>
      <c r="N25" s="36"/>
      <c r="O25" s="36"/>
      <c r="P25" s="38">
        <v>1550.0</v>
      </c>
      <c r="Q25" s="25">
        <f t="shared" si="1"/>
        <v>0</v>
      </c>
      <c r="R25" s="38" t="s">
        <v>46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45684.0</v>
      </c>
      <c r="C26" s="33" t="s">
        <v>1119</v>
      </c>
      <c r="D26" s="34">
        <v>52374.0</v>
      </c>
      <c r="E26" s="35" t="s">
        <v>1120</v>
      </c>
      <c r="F26" s="30"/>
      <c r="G26" s="36"/>
      <c r="H26" s="36"/>
      <c r="I26" s="30">
        <v>2600.0</v>
      </c>
      <c r="J26" s="30"/>
      <c r="K26" s="37"/>
      <c r="L26" s="36"/>
      <c r="M26" s="36"/>
      <c r="N26" s="36"/>
      <c r="O26" s="36"/>
      <c r="P26" s="38">
        <v>2600.0</v>
      </c>
      <c r="Q26" s="25">
        <f t="shared" si="1"/>
        <v>0</v>
      </c>
      <c r="R26" s="38" t="s">
        <v>46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45684.0</v>
      </c>
      <c r="C27" s="33" t="s">
        <v>1121</v>
      </c>
      <c r="D27" s="34">
        <v>84683.0</v>
      </c>
      <c r="E27" s="35" t="s">
        <v>1116</v>
      </c>
      <c r="F27" s="30">
        <v>50.0</v>
      </c>
      <c r="G27" s="36"/>
      <c r="H27" s="36"/>
      <c r="I27" s="30"/>
      <c r="J27" s="30"/>
      <c r="K27" s="37"/>
      <c r="L27" s="36"/>
      <c r="M27" s="36"/>
      <c r="N27" s="36"/>
      <c r="O27" s="36"/>
      <c r="P27" s="38">
        <v>50.0</v>
      </c>
      <c r="Q27" s="25">
        <f t="shared" si="1"/>
        <v>0</v>
      </c>
      <c r="R27" s="38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45684.0</v>
      </c>
      <c r="C28" s="33" t="s">
        <v>1122</v>
      </c>
      <c r="D28" s="34">
        <v>16390.0</v>
      </c>
      <c r="E28" s="35" t="s">
        <v>1123</v>
      </c>
      <c r="F28" s="30"/>
      <c r="G28" s="36"/>
      <c r="H28" s="36"/>
      <c r="I28" s="30">
        <v>5000.0</v>
      </c>
      <c r="J28" s="30"/>
      <c r="K28" s="37"/>
      <c r="L28" s="36"/>
      <c r="M28" s="36"/>
      <c r="N28" s="36"/>
      <c r="O28" s="36"/>
      <c r="P28" s="38">
        <v>5000.0</v>
      </c>
      <c r="Q28" s="25">
        <f t="shared" si="1"/>
        <v>0</v>
      </c>
      <c r="R28" s="38" t="s">
        <v>46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45684.0</v>
      </c>
      <c r="C29" s="33" t="s">
        <v>1124</v>
      </c>
      <c r="D29" s="34">
        <v>16390.0</v>
      </c>
      <c r="E29" s="35" t="s">
        <v>1123</v>
      </c>
      <c r="F29" s="30"/>
      <c r="G29" s="36"/>
      <c r="H29" s="36"/>
      <c r="I29" s="30">
        <v>5000.0</v>
      </c>
      <c r="J29" s="30"/>
      <c r="K29" s="37"/>
      <c r="L29" s="36"/>
      <c r="M29" s="36"/>
      <c r="N29" s="36"/>
      <c r="O29" s="36"/>
      <c r="P29" s="38">
        <v>5000.0</v>
      </c>
      <c r="Q29" s="25">
        <f t="shared" si="1"/>
        <v>0</v>
      </c>
      <c r="R29" s="38" t="s">
        <v>46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45684.0</v>
      </c>
      <c r="C30" s="33" t="s">
        <v>1125</v>
      </c>
      <c r="D30" s="34">
        <v>45227.0</v>
      </c>
      <c r="E30" s="35" t="s">
        <v>585</v>
      </c>
      <c r="F30" s="30"/>
      <c r="G30" s="36"/>
      <c r="H30" s="36"/>
      <c r="I30" s="30">
        <v>2500.0</v>
      </c>
      <c r="J30" s="30"/>
      <c r="K30" s="37"/>
      <c r="L30" s="36"/>
      <c r="M30" s="36"/>
      <c r="N30" s="36"/>
      <c r="O30" s="36"/>
      <c r="P30" s="38">
        <v>2500.0</v>
      </c>
      <c r="Q30" s="25">
        <f t="shared" si="1"/>
        <v>0</v>
      </c>
      <c r="R30" s="38" t="s">
        <v>31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45684.0</v>
      </c>
      <c r="C31" s="33" t="s">
        <v>1126</v>
      </c>
      <c r="D31" s="34">
        <v>10249.0</v>
      </c>
      <c r="E31" s="35" t="s">
        <v>394</v>
      </c>
      <c r="F31" s="30"/>
      <c r="G31" s="36"/>
      <c r="H31" s="36"/>
      <c r="I31" s="30"/>
      <c r="J31" s="30">
        <v>300.0</v>
      </c>
      <c r="K31" s="37"/>
      <c r="L31" s="36"/>
      <c r="M31" s="36"/>
      <c r="N31" s="36"/>
      <c r="O31" s="36"/>
      <c r="P31" s="38">
        <v>300.0</v>
      </c>
      <c r="Q31" s="25">
        <f t="shared" si="1"/>
        <v>0</v>
      </c>
      <c r="R31" s="38" t="s">
        <v>46</v>
      </c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45684.0</v>
      </c>
      <c r="C32" s="33" t="s">
        <v>1127</v>
      </c>
      <c r="D32" s="34">
        <v>86090.0</v>
      </c>
      <c r="E32" s="35" t="s">
        <v>1128</v>
      </c>
      <c r="F32" s="30"/>
      <c r="G32" s="36"/>
      <c r="H32" s="36"/>
      <c r="I32" s="30">
        <v>300.0</v>
      </c>
      <c r="J32" s="30"/>
      <c r="K32" s="37"/>
      <c r="L32" s="36"/>
      <c r="M32" s="36"/>
      <c r="N32" s="36"/>
      <c r="O32" s="36"/>
      <c r="P32" s="38">
        <v>300.0</v>
      </c>
      <c r="Q32" s="25">
        <f t="shared" si="1"/>
        <v>0</v>
      </c>
      <c r="R32" s="38" t="s">
        <v>28</v>
      </c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6">
        <v>28.0</v>
      </c>
      <c r="B33" s="32">
        <v>45684.0</v>
      </c>
      <c r="C33" s="33" t="s">
        <v>1129</v>
      </c>
      <c r="D33" s="34">
        <v>58050.0</v>
      </c>
      <c r="E33" s="35" t="s">
        <v>1130</v>
      </c>
      <c r="F33" s="30"/>
      <c r="G33" s="36"/>
      <c r="H33" s="36">
        <v>6450.0</v>
      </c>
      <c r="I33" s="30"/>
      <c r="J33" s="30"/>
      <c r="K33" s="37"/>
      <c r="L33" s="36"/>
      <c r="M33" s="36"/>
      <c r="N33" s="36"/>
      <c r="O33" s="36"/>
      <c r="P33" s="38">
        <v>6450.0</v>
      </c>
      <c r="Q33" s="25">
        <f t="shared" si="1"/>
        <v>0</v>
      </c>
      <c r="R33" s="38"/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5.0" customHeight="1">
      <c r="A34" s="127"/>
      <c r="B34" s="128"/>
      <c r="C34" s="129"/>
      <c r="D34" s="130"/>
      <c r="E34" s="131"/>
      <c r="F34" s="132">
        <f t="shared" ref="F34:Q34" si="2">SUM(F6:F33)</f>
        <v>350</v>
      </c>
      <c r="G34" s="132">
        <f t="shared" si="2"/>
        <v>2500</v>
      </c>
      <c r="H34" s="132">
        <f t="shared" si="2"/>
        <v>6450</v>
      </c>
      <c r="I34" s="132">
        <f t="shared" si="2"/>
        <v>66300</v>
      </c>
      <c r="J34" s="132">
        <f t="shared" si="2"/>
        <v>30400</v>
      </c>
      <c r="K34" s="132">
        <f t="shared" si="2"/>
        <v>150</v>
      </c>
      <c r="L34" s="132">
        <f t="shared" si="2"/>
        <v>0</v>
      </c>
      <c r="M34" s="132">
        <f t="shared" si="2"/>
        <v>3590</v>
      </c>
      <c r="N34" s="132">
        <f t="shared" si="2"/>
        <v>0</v>
      </c>
      <c r="O34" s="132">
        <f t="shared" si="2"/>
        <v>0</v>
      </c>
      <c r="P34" s="132">
        <f t="shared" si="2"/>
        <v>109740</v>
      </c>
      <c r="Q34" s="132">
        <f t="shared" si="2"/>
        <v>0</v>
      </c>
      <c r="R34" s="134"/>
      <c r="S34" s="135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</row>
    <row r="35" ht="45.0" customHeight="1">
      <c r="A35" s="136"/>
      <c r="B35" s="137"/>
      <c r="C35" s="138"/>
      <c r="D35" s="137"/>
      <c r="E35" s="137"/>
      <c r="F35" s="139">
        <f>F34+G34+H34+I34+J34+K34+L34+M34+N34+O34</f>
        <v>109740</v>
      </c>
      <c r="G35" s="2"/>
      <c r="H35" s="2"/>
      <c r="I35" s="2"/>
      <c r="J35" s="2"/>
      <c r="K35" s="2"/>
      <c r="L35" s="2"/>
      <c r="M35" s="2"/>
      <c r="N35" s="2"/>
      <c r="O35" s="2"/>
      <c r="P35" s="140"/>
      <c r="Q35" s="140"/>
      <c r="R35" s="137"/>
      <c r="S35" s="141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45.0" customHeight="1">
      <c r="A36" s="27"/>
      <c r="B36" s="27"/>
      <c r="C36" s="75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ht="63.0" customHeight="1">
      <c r="A37" s="4"/>
      <c r="B37" s="4"/>
      <c r="C37" s="5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51"/>
      <c r="D38" s="4"/>
      <c r="E38" s="188" t="s">
        <v>118</v>
      </c>
      <c r="F38" s="189" t="s">
        <v>170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120</v>
      </c>
      <c r="F39" s="189" t="s">
        <v>119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121</v>
      </c>
      <c r="F40" s="189" t="s">
        <v>119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122</v>
      </c>
      <c r="F41" s="189" t="s">
        <v>119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1131</v>
      </c>
      <c r="F42" s="189" t="s">
        <v>119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124</v>
      </c>
      <c r="F43" s="189" t="s">
        <v>549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126</v>
      </c>
      <c r="F44" s="189" t="s">
        <v>117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5:O35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9.13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1132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9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45685.0</v>
      </c>
      <c r="C6" s="18" t="s">
        <v>1133</v>
      </c>
      <c r="D6" s="19">
        <v>59103.0</v>
      </c>
      <c r="E6" s="20" t="s">
        <v>98</v>
      </c>
      <c r="F6" s="22"/>
      <c r="G6" s="22"/>
      <c r="H6" s="22"/>
      <c r="I6" s="21"/>
      <c r="J6" s="21"/>
      <c r="K6" s="22">
        <v>4500.0</v>
      </c>
      <c r="L6" s="22"/>
      <c r="M6" s="21"/>
      <c r="N6" s="22"/>
      <c r="O6" s="22"/>
      <c r="P6" s="24">
        <v>4500.0</v>
      </c>
      <c r="Q6" s="25">
        <f t="shared" ref="Q6:Q29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45685.0</v>
      </c>
      <c r="C7" s="18" t="s">
        <v>1134</v>
      </c>
      <c r="D7" s="19">
        <v>67621.0</v>
      </c>
      <c r="E7" s="20" t="s">
        <v>56</v>
      </c>
      <c r="F7" s="21"/>
      <c r="G7" s="22"/>
      <c r="H7" s="22"/>
      <c r="I7" s="30">
        <v>7300.0</v>
      </c>
      <c r="J7" s="22"/>
      <c r="K7" s="31"/>
      <c r="L7" s="22"/>
      <c r="M7" s="22"/>
      <c r="N7" s="22"/>
      <c r="O7" s="22"/>
      <c r="P7" s="24">
        <v>7300.0</v>
      </c>
      <c r="Q7" s="25">
        <f t="shared" si="1"/>
        <v>0</v>
      </c>
      <c r="R7" s="24" t="s">
        <v>46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45685.0</v>
      </c>
      <c r="C8" s="18" t="s">
        <v>1135</v>
      </c>
      <c r="D8" s="19">
        <v>69346.0</v>
      </c>
      <c r="E8" s="20" t="s">
        <v>1136</v>
      </c>
      <c r="F8" s="21"/>
      <c r="G8" s="22"/>
      <c r="H8" s="22"/>
      <c r="I8" s="21">
        <v>32500.0</v>
      </c>
      <c r="J8" s="22"/>
      <c r="K8" s="21"/>
      <c r="L8" s="22"/>
      <c r="M8" s="22"/>
      <c r="N8" s="22"/>
      <c r="O8" s="22"/>
      <c r="P8" s="24">
        <v>32500.0</v>
      </c>
      <c r="Q8" s="25">
        <f t="shared" si="1"/>
        <v>0</v>
      </c>
      <c r="R8" s="24" t="s">
        <v>28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45685.0</v>
      </c>
      <c r="C9" s="33" t="s">
        <v>1137</v>
      </c>
      <c r="D9" s="34">
        <v>63830.0</v>
      </c>
      <c r="E9" s="35" t="s">
        <v>574</v>
      </c>
      <c r="F9" s="30"/>
      <c r="G9" s="36"/>
      <c r="H9" s="36"/>
      <c r="I9" s="30"/>
      <c r="J9" s="30">
        <v>2600.0</v>
      </c>
      <c r="K9" s="37"/>
      <c r="L9" s="36"/>
      <c r="M9" s="36"/>
      <c r="N9" s="36"/>
      <c r="O9" s="36"/>
      <c r="P9" s="38">
        <v>2600.0</v>
      </c>
      <c r="Q9" s="25">
        <f t="shared" si="1"/>
        <v>0</v>
      </c>
      <c r="R9" s="38" t="s">
        <v>28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45685.0</v>
      </c>
      <c r="C10" s="33" t="s">
        <v>1138</v>
      </c>
      <c r="D10" s="34">
        <v>80339.0</v>
      </c>
      <c r="E10" s="35" t="s">
        <v>1139</v>
      </c>
      <c r="F10" s="30"/>
      <c r="G10" s="36"/>
      <c r="H10" s="36"/>
      <c r="I10" s="30">
        <v>550.0</v>
      </c>
      <c r="J10" s="30"/>
      <c r="K10" s="37"/>
      <c r="L10" s="36"/>
      <c r="M10" s="36"/>
      <c r="N10" s="36"/>
      <c r="O10" s="36"/>
      <c r="P10" s="38">
        <v>550.0</v>
      </c>
      <c r="Q10" s="25">
        <f t="shared" si="1"/>
        <v>0</v>
      </c>
      <c r="R10" s="38" t="s">
        <v>28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45685.0</v>
      </c>
      <c r="C11" s="33" t="s">
        <v>1140</v>
      </c>
      <c r="D11" s="34">
        <v>54515.0</v>
      </c>
      <c r="E11" s="35" t="s">
        <v>1141</v>
      </c>
      <c r="F11" s="30"/>
      <c r="G11" s="36"/>
      <c r="H11" s="36"/>
      <c r="I11" s="30">
        <v>2600.0</v>
      </c>
      <c r="J11" s="30"/>
      <c r="K11" s="37"/>
      <c r="L11" s="36"/>
      <c r="M11" s="36"/>
      <c r="N11" s="36"/>
      <c r="O11" s="36"/>
      <c r="P11" s="38">
        <v>2600.0</v>
      </c>
      <c r="Q11" s="25">
        <f t="shared" si="1"/>
        <v>0</v>
      </c>
      <c r="R11" s="38" t="s">
        <v>46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45685.0</v>
      </c>
      <c r="C12" s="33" t="s">
        <v>1142</v>
      </c>
      <c r="D12" s="34">
        <v>26040.0</v>
      </c>
      <c r="E12" s="35" t="s">
        <v>720</v>
      </c>
      <c r="F12" s="30"/>
      <c r="G12" s="36"/>
      <c r="H12" s="36"/>
      <c r="I12" s="30"/>
      <c r="J12" s="30">
        <v>4600.0</v>
      </c>
      <c r="K12" s="37"/>
      <c r="L12" s="36"/>
      <c r="M12" s="36"/>
      <c r="N12" s="36"/>
      <c r="O12" s="36"/>
      <c r="P12" s="38">
        <v>4600.0</v>
      </c>
      <c r="Q12" s="25">
        <f t="shared" si="1"/>
        <v>0</v>
      </c>
      <c r="R12" s="38" t="s">
        <v>31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45685.0</v>
      </c>
      <c r="C13" s="33" t="s">
        <v>1143</v>
      </c>
      <c r="D13" s="34">
        <v>59244.0</v>
      </c>
      <c r="E13" s="35" t="s">
        <v>130</v>
      </c>
      <c r="F13" s="30"/>
      <c r="G13" s="36"/>
      <c r="H13" s="36"/>
      <c r="I13" s="30">
        <v>250.0</v>
      </c>
      <c r="J13" s="30"/>
      <c r="K13" s="37"/>
      <c r="L13" s="36"/>
      <c r="M13" s="36"/>
      <c r="N13" s="36"/>
      <c r="O13" s="36"/>
      <c r="P13" s="38">
        <v>250.0</v>
      </c>
      <c r="Q13" s="25">
        <f t="shared" si="1"/>
        <v>0</v>
      </c>
      <c r="R13" s="38" t="s">
        <v>28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45685.0</v>
      </c>
      <c r="C14" s="33" t="s">
        <v>1144</v>
      </c>
      <c r="D14" s="34">
        <v>70684.0</v>
      </c>
      <c r="E14" s="35" t="s">
        <v>1145</v>
      </c>
      <c r="F14" s="30"/>
      <c r="G14" s="36"/>
      <c r="H14" s="36"/>
      <c r="I14" s="30"/>
      <c r="J14" s="30">
        <v>9500.0</v>
      </c>
      <c r="K14" s="37"/>
      <c r="L14" s="36"/>
      <c r="M14" s="36"/>
      <c r="N14" s="36"/>
      <c r="O14" s="36"/>
      <c r="P14" s="38">
        <v>9500.0</v>
      </c>
      <c r="Q14" s="25">
        <f t="shared" si="1"/>
        <v>0</v>
      </c>
      <c r="R14" s="38" t="s">
        <v>31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45685.0</v>
      </c>
      <c r="C15" s="33" t="s">
        <v>1146</v>
      </c>
      <c r="D15" s="34">
        <v>46778.0</v>
      </c>
      <c r="E15" s="35" t="s">
        <v>405</v>
      </c>
      <c r="F15" s="30"/>
      <c r="G15" s="36"/>
      <c r="H15" s="36"/>
      <c r="I15" s="30"/>
      <c r="J15" s="30">
        <v>4500.0</v>
      </c>
      <c r="K15" s="37"/>
      <c r="L15" s="36"/>
      <c r="M15" s="36"/>
      <c r="N15" s="36"/>
      <c r="O15" s="36"/>
      <c r="P15" s="38">
        <v>4500.0</v>
      </c>
      <c r="Q15" s="25">
        <f t="shared" si="1"/>
        <v>0</v>
      </c>
      <c r="R15" s="38" t="s">
        <v>28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45685.0</v>
      </c>
      <c r="C16" s="33" t="s">
        <v>1147</v>
      </c>
      <c r="D16" s="34">
        <v>46778.0</v>
      </c>
      <c r="E16" s="35" t="s">
        <v>405</v>
      </c>
      <c r="F16" s="30"/>
      <c r="G16" s="36"/>
      <c r="H16" s="36"/>
      <c r="I16" s="30"/>
      <c r="J16" s="30">
        <v>3800.0</v>
      </c>
      <c r="K16" s="37"/>
      <c r="L16" s="36"/>
      <c r="M16" s="36"/>
      <c r="N16" s="36"/>
      <c r="O16" s="36"/>
      <c r="P16" s="38">
        <v>3800.0</v>
      </c>
      <c r="Q16" s="25">
        <f t="shared" si="1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45685.0</v>
      </c>
      <c r="C17" s="33" t="s">
        <v>1148</v>
      </c>
      <c r="D17" s="34">
        <v>14343.0</v>
      </c>
      <c r="E17" s="35" t="s">
        <v>1149</v>
      </c>
      <c r="F17" s="30"/>
      <c r="G17" s="36"/>
      <c r="H17" s="36"/>
      <c r="I17" s="30">
        <v>9500.0</v>
      </c>
      <c r="J17" s="30"/>
      <c r="K17" s="37"/>
      <c r="L17" s="36"/>
      <c r="M17" s="36"/>
      <c r="N17" s="36"/>
      <c r="O17" s="36"/>
      <c r="P17" s="38">
        <v>9500.0</v>
      </c>
      <c r="Q17" s="25">
        <f t="shared" si="1"/>
        <v>0</v>
      </c>
      <c r="R17" s="38" t="s">
        <v>28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45685.0</v>
      </c>
      <c r="C18" s="33" t="s">
        <v>1150</v>
      </c>
      <c r="D18" s="34">
        <v>46927.0</v>
      </c>
      <c r="E18" s="35" t="s">
        <v>651</v>
      </c>
      <c r="F18" s="30"/>
      <c r="G18" s="36"/>
      <c r="H18" s="36"/>
      <c r="I18" s="30">
        <v>1500.0</v>
      </c>
      <c r="J18" s="30"/>
      <c r="K18" s="37"/>
      <c r="L18" s="36"/>
      <c r="M18" s="36"/>
      <c r="N18" s="36"/>
      <c r="O18" s="36"/>
      <c r="P18" s="38">
        <v>1500.0</v>
      </c>
      <c r="Q18" s="25">
        <f t="shared" si="1"/>
        <v>0</v>
      </c>
      <c r="R18" s="38" t="s">
        <v>31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45685.0</v>
      </c>
      <c r="C19" s="33" t="s">
        <v>1151</v>
      </c>
      <c r="D19" s="34">
        <v>22332.0</v>
      </c>
      <c r="E19" s="35" t="s">
        <v>350</v>
      </c>
      <c r="F19" s="30"/>
      <c r="G19" s="36"/>
      <c r="H19" s="36"/>
      <c r="I19" s="30">
        <v>2600.0</v>
      </c>
      <c r="J19" s="30"/>
      <c r="K19" s="37"/>
      <c r="L19" s="36"/>
      <c r="M19" s="36"/>
      <c r="N19" s="36"/>
      <c r="O19" s="36"/>
      <c r="P19" s="38">
        <v>2600.0</v>
      </c>
      <c r="Q19" s="25">
        <f t="shared" si="1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45685.0</v>
      </c>
      <c r="C20" s="33" t="s">
        <v>1152</v>
      </c>
      <c r="D20" s="34">
        <v>59244.0</v>
      </c>
      <c r="E20" s="35" t="s">
        <v>130</v>
      </c>
      <c r="F20" s="30"/>
      <c r="G20" s="36"/>
      <c r="H20" s="36"/>
      <c r="I20" s="30"/>
      <c r="J20" s="30">
        <v>11500.0</v>
      </c>
      <c r="K20" s="37"/>
      <c r="L20" s="36"/>
      <c r="M20" s="36"/>
      <c r="N20" s="36"/>
      <c r="O20" s="36"/>
      <c r="P20" s="38">
        <v>11500.0</v>
      </c>
      <c r="Q20" s="25">
        <f t="shared" si="1"/>
        <v>0</v>
      </c>
      <c r="R20" s="38" t="s">
        <v>31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45685.0</v>
      </c>
      <c r="C21" s="33" t="s">
        <v>1153</v>
      </c>
      <c r="D21" s="34">
        <v>74408.0</v>
      </c>
      <c r="E21" s="35" t="s">
        <v>1154</v>
      </c>
      <c r="F21" s="30"/>
      <c r="G21" s="36"/>
      <c r="H21" s="36"/>
      <c r="I21" s="30">
        <v>2600.0</v>
      </c>
      <c r="J21" s="30"/>
      <c r="K21" s="37"/>
      <c r="L21" s="36"/>
      <c r="M21" s="36"/>
      <c r="N21" s="36"/>
      <c r="O21" s="36"/>
      <c r="P21" s="38">
        <v>2600.0</v>
      </c>
      <c r="Q21" s="25">
        <f t="shared" si="1"/>
        <v>0</v>
      </c>
      <c r="R21" s="38" t="s">
        <v>46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45685.0</v>
      </c>
      <c r="C22" s="33" t="s">
        <v>1155</v>
      </c>
      <c r="D22" s="34">
        <v>59244.0</v>
      </c>
      <c r="E22" s="35" t="s">
        <v>130</v>
      </c>
      <c r="F22" s="30"/>
      <c r="G22" s="36"/>
      <c r="H22" s="36"/>
      <c r="I22" s="30"/>
      <c r="J22" s="30">
        <v>3950.0</v>
      </c>
      <c r="K22" s="37"/>
      <c r="L22" s="36"/>
      <c r="M22" s="36"/>
      <c r="N22" s="36"/>
      <c r="O22" s="36"/>
      <c r="P22" s="38">
        <v>3950.0</v>
      </c>
      <c r="Q22" s="25">
        <f t="shared" si="1"/>
        <v>0</v>
      </c>
      <c r="R22" s="38" t="s">
        <v>46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45685.0</v>
      </c>
      <c r="C23" s="33" t="s">
        <v>1156</v>
      </c>
      <c r="D23" s="34">
        <v>51939.0</v>
      </c>
      <c r="E23" s="35" t="s">
        <v>537</v>
      </c>
      <c r="F23" s="30"/>
      <c r="G23" s="36"/>
      <c r="H23" s="36"/>
      <c r="I23" s="30">
        <v>6800.0</v>
      </c>
      <c r="J23" s="30"/>
      <c r="K23" s="37"/>
      <c r="L23" s="36"/>
      <c r="M23" s="36"/>
      <c r="N23" s="36"/>
      <c r="O23" s="36"/>
      <c r="P23" s="38">
        <v>6800.0</v>
      </c>
      <c r="Q23" s="25">
        <f t="shared" si="1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45685.0</v>
      </c>
      <c r="C24" s="33" t="s">
        <v>1157</v>
      </c>
      <c r="D24" s="34">
        <v>48192.0</v>
      </c>
      <c r="E24" s="35" t="s">
        <v>1158</v>
      </c>
      <c r="F24" s="30"/>
      <c r="G24" s="36"/>
      <c r="H24" s="36"/>
      <c r="I24" s="30">
        <v>5170.0</v>
      </c>
      <c r="J24" s="30"/>
      <c r="K24" s="37"/>
      <c r="L24" s="36"/>
      <c r="M24" s="36"/>
      <c r="N24" s="36"/>
      <c r="O24" s="36"/>
      <c r="P24" s="38">
        <v>5170.0</v>
      </c>
      <c r="Q24" s="25">
        <f t="shared" si="1"/>
        <v>0</v>
      </c>
      <c r="R24" s="38" t="s">
        <v>46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45685.0</v>
      </c>
      <c r="C25" s="33" t="s">
        <v>1159</v>
      </c>
      <c r="D25" s="34">
        <v>86109.0</v>
      </c>
      <c r="E25" s="35" t="s">
        <v>1160</v>
      </c>
      <c r="F25" s="30"/>
      <c r="G25" s="36"/>
      <c r="H25" s="36"/>
      <c r="I25" s="30">
        <v>300.0</v>
      </c>
      <c r="J25" s="30"/>
      <c r="K25" s="37"/>
      <c r="L25" s="36"/>
      <c r="M25" s="36"/>
      <c r="N25" s="36"/>
      <c r="O25" s="36"/>
      <c r="P25" s="38">
        <v>300.0</v>
      </c>
      <c r="Q25" s="25">
        <f t="shared" si="1"/>
        <v>0</v>
      </c>
      <c r="R25" s="38" t="s">
        <v>31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45685.0</v>
      </c>
      <c r="C26" s="33" t="s">
        <v>1161</v>
      </c>
      <c r="D26" s="34">
        <v>52083.0</v>
      </c>
      <c r="E26" s="35" t="s">
        <v>423</v>
      </c>
      <c r="F26" s="30"/>
      <c r="G26" s="36"/>
      <c r="H26" s="36"/>
      <c r="I26" s="30">
        <v>3600.0</v>
      </c>
      <c r="J26" s="30"/>
      <c r="K26" s="37"/>
      <c r="L26" s="36"/>
      <c r="M26" s="36"/>
      <c r="N26" s="36"/>
      <c r="O26" s="36"/>
      <c r="P26" s="38">
        <v>3600.0</v>
      </c>
      <c r="Q26" s="25">
        <f t="shared" si="1"/>
        <v>0</v>
      </c>
      <c r="R26" s="38" t="s">
        <v>28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45685.0</v>
      </c>
      <c r="C27" s="33" t="s">
        <v>1162</v>
      </c>
      <c r="D27" s="34">
        <v>50402.0</v>
      </c>
      <c r="E27" s="35" t="s">
        <v>1163</v>
      </c>
      <c r="F27" s="30"/>
      <c r="G27" s="36"/>
      <c r="H27" s="36"/>
      <c r="I27" s="30">
        <v>5350.0</v>
      </c>
      <c r="J27" s="30"/>
      <c r="K27" s="37"/>
      <c r="L27" s="36"/>
      <c r="M27" s="36"/>
      <c r="N27" s="36"/>
      <c r="O27" s="36"/>
      <c r="P27" s="38">
        <v>5350.0</v>
      </c>
      <c r="Q27" s="25">
        <f t="shared" si="1"/>
        <v>0</v>
      </c>
      <c r="R27" s="38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45685.0</v>
      </c>
      <c r="C28" s="33" t="s">
        <v>1164</v>
      </c>
      <c r="D28" s="34">
        <v>55446.0</v>
      </c>
      <c r="E28" s="35" t="s">
        <v>241</v>
      </c>
      <c r="F28" s="30"/>
      <c r="G28" s="36"/>
      <c r="H28" s="36">
        <v>1250.0</v>
      </c>
      <c r="I28" s="30"/>
      <c r="J28" s="30"/>
      <c r="K28" s="37"/>
      <c r="L28" s="36"/>
      <c r="M28" s="36"/>
      <c r="N28" s="36"/>
      <c r="O28" s="36"/>
      <c r="P28" s="38">
        <v>1250.0</v>
      </c>
      <c r="Q28" s="25">
        <f t="shared" si="1"/>
        <v>0</v>
      </c>
      <c r="R28" s="38"/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/>
      <c r="B29" s="32"/>
      <c r="C29" s="33"/>
      <c r="D29" s="34"/>
      <c r="E29" s="35"/>
      <c r="F29" s="30"/>
      <c r="G29" s="36"/>
      <c r="H29" s="36"/>
      <c r="I29" s="30"/>
      <c r="J29" s="30"/>
      <c r="K29" s="37"/>
      <c r="L29" s="36"/>
      <c r="M29" s="36"/>
      <c r="N29" s="36"/>
      <c r="O29" s="36"/>
      <c r="P29" s="38"/>
      <c r="Q29" s="25">
        <f t="shared" si="1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27"/>
      <c r="B30" s="128"/>
      <c r="C30" s="129"/>
      <c r="D30" s="130"/>
      <c r="E30" s="131"/>
      <c r="F30" s="132">
        <f t="shared" ref="F30:P30" si="2">SUM(F6:F28)</f>
        <v>0</v>
      </c>
      <c r="G30" s="132">
        <f t="shared" si="2"/>
        <v>0</v>
      </c>
      <c r="H30" s="132">
        <f t="shared" si="2"/>
        <v>1250</v>
      </c>
      <c r="I30" s="132">
        <f t="shared" si="2"/>
        <v>80620</v>
      </c>
      <c r="J30" s="132">
        <f t="shared" si="2"/>
        <v>40450</v>
      </c>
      <c r="K30" s="132">
        <f t="shared" si="2"/>
        <v>4500</v>
      </c>
      <c r="L30" s="132">
        <f t="shared" si="2"/>
        <v>0</v>
      </c>
      <c r="M30" s="132">
        <f t="shared" si="2"/>
        <v>0</v>
      </c>
      <c r="N30" s="132">
        <f t="shared" si="2"/>
        <v>0</v>
      </c>
      <c r="O30" s="132">
        <f t="shared" si="2"/>
        <v>0</v>
      </c>
      <c r="P30" s="132">
        <f t="shared" si="2"/>
        <v>126820</v>
      </c>
      <c r="Q30" s="132"/>
      <c r="R30" s="134"/>
      <c r="S30" s="135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 ht="45.0" customHeight="1">
      <c r="A31" s="136"/>
      <c r="B31" s="137"/>
      <c r="C31" s="138"/>
      <c r="D31" s="137"/>
      <c r="E31" s="137"/>
      <c r="F31" s="139">
        <f>F30+G30+H30+I30+J30+K30+L30+M30+N30+O30</f>
        <v>126820</v>
      </c>
      <c r="G31" s="2"/>
      <c r="H31" s="2"/>
      <c r="I31" s="2"/>
      <c r="J31" s="2"/>
      <c r="K31" s="2"/>
      <c r="L31" s="2"/>
      <c r="M31" s="2"/>
      <c r="N31" s="2"/>
      <c r="O31" s="2"/>
      <c r="P31" s="140"/>
      <c r="Q31" s="140"/>
      <c r="R31" s="137"/>
      <c r="S31" s="141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ht="45.0" customHeight="1">
      <c r="A32" s="27"/>
      <c r="B32" s="27"/>
      <c r="C32" s="75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ht="63.0" customHeight="1">
      <c r="A33" s="4"/>
      <c r="B33" s="4"/>
      <c r="C33" s="5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"/>
      <c r="B34" s="4"/>
      <c r="C34" s="51"/>
      <c r="D34" s="4"/>
      <c r="E34" s="188" t="s">
        <v>118</v>
      </c>
      <c r="F34" s="189" t="s">
        <v>119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4"/>
      <c r="B35" s="4"/>
      <c r="C35" s="51"/>
      <c r="D35" s="4"/>
      <c r="E35" s="188" t="s">
        <v>120</v>
      </c>
      <c r="F35" s="189" t="s">
        <v>119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"/>
      <c r="B36" s="4"/>
      <c r="C36" s="51"/>
      <c r="D36" s="4"/>
      <c r="E36" s="188" t="s">
        <v>121</v>
      </c>
      <c r="F36" s="189" t="s">
        <v>119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4"/>
      <c r="C37" s="51"/>
      <c r="D37" s="4"/>
      <c r="E37" s="188" t="s">
        <v>122</v>
      </c>
      <c r="F37" s="189" t="s">
        <v>119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51"/>
      <c r="D38" s="4"/>
      <c r="E38" s="188" t="s">
        <v>1165</v>
      </c>
      <c r="F38" s="189" t="s">
        <v>119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51"/>
      <c r="D39" s="4"/>
      <c r="E39" s="188" t="s">
        <v>124</v>
      </c>
      <c r="F39" s="189" t="s">
        <v>549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51"/>
      <c r="D40" s="4"/>
      <c r="E40" s="188" t="s">
        <v>126</v>
      </c>
      <c r="F40" s="189" t="s">
        <v>117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1:O31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9.13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1166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9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45685.0</v>
      </c>
      <c r="C6" s="18" t="s">
        <v>1167</v>
      </c>
      <c r="D6" s="19">
        <v>20541.0</v>
      </c>
      <c r="E6" s="20" t="s">
        <v>672</v>
      </c>
      <c r="F6" s="22"/>
      <c r="G6" s="22"/>
      <c r="H6" s="22"/>
      <c r="I6" s="21">
        <v>4600.0</v>
      </c>
      <c r="J6" s="21"/>
      <c r="K6" s="22"/>
      <c r="L6" s="22"/>
      <c r="M6" s="21"/>
      <c r="N6" s="22"/>
      <c r="O6" s="22"/>
      <c r="P6" s="24">
        <v>4600.0</v>
      </c>
      <c r="Q6" s="25">
        <f t="shared" ref="Q6:Q32" si="1">F6+G6+H6+I6+J6+K6+L6+M6+N6+O6-P6</f>
        <v>0</v>
      </c>
      <c r="R6" s="24" t="s">
        <v>46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45685.0</v>
      </c>
      <c r="C7" s="18" t="s">
        <v>1168</v>
      </c>
      <c r="D7" s="19">
        <v>11136.0</v>
      </c>
      <c r="E7" s="20" t="s">
        <v>1169</v>
      </c>
      <c r="F7" s="21"/>
      <c r="G7" s="22"/>
      <c r="H7" s="22"/>
      <c r="I7" s="30"/>
      <c r="J7" s="22">
        <v>1550.0</v>
      </c>
      <c r="K7" s="31"/>
      <c r="L7" s="22"/>
      <c r="M7" s="22"/>
      <c r="N7" s="22"/>
      <c r="O7" s="22"/>
      <c r="P7" s="24">
        <v>1550.0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45686.0</v>
      </c>
      <c r="C8" s="18" t="s">
        <v>1170</v>
      </c>
      <c r="D8" s="19">
        <v>36928.0</v>
      </c>
      <c r="E8" s="20" t="s">
        <v>867</v>
      </c>
      <c r="F8" s="21"/>
      <c r="G8" s="22"/>
      <c r="H8" s="22"/>
      <c r="I8" s="21">
        <v>400.0</v>
      </c>
      <c r="J8" s="22"/>
      <c r="K8" s="21"/>
      <c r="L8" s="22"/>
      <c r="M8" s="22"/>
      <c r="N8" s="22"/>
      <c r="O8" s="22"/>
      <c r="P8" s="24">
        <v>400.0</v>
      </c>
      <c r="Q8" s="25">
        <f t="shared" si="1"/>
        <v>0</v>
      </c>
      <c r="R8" s="24" t="s">
        <v>31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45686.0</v>
      </c>
      <c r="C9" s="33" t="s">
        <v>1171</v>
      </c>
      <c r="D9" s="34">
        <v>72208.0</v>
      </c>
      <c r="E9" s="35" t="s">
        <v>1172</v>
      </c>
      <c r="F9" s="30"/>
      <c r="G9" s="36"/>
      <c r="H9" s="36"/>
      <c r="I9" s="30"/>
      <c r="J9" s="30">
        <v>2600.0</v>
      </c>
      <c r="K9" s="37"/>
      <c r="L9" s="36"/>
      <c r="M9" s="36"/>
      <c r="N9" s="36"/>
      <c r="O9" s="36"/>
      <c r="P9" s="38">
        <v>2600.0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45686.0</v>
      </c>
      <c r="C10" s="33" t="s">
        <v>1173</v>
      </c>
      <c r="D10" s="34">
        <v>72839.0</v>
      </c>
      <c r="E10" s="35" t="s">
        <v>364</v>
      </c>
      <c r="F10" s="30"/>
      <c r="G10" s="36"/>
      <c r="H10" s="36"/>
      <c r="I10" s="30">
        <v>4500.0</v>
      </c>
      <c r="J10" s="30"/>
      <c r="K10" s="37"/>
      <c r="L10" s="36"/>
      <c r="M10" s="36"/>
      <c r="N10" s="36"/>
      <c r="O10" s="36"/>
      <c r="P10" s="38">
        <v>4500.0</v>
      </c>
      <c r="Q10" s="25">
        <f t="shared" si="1"/>
        <v>0</v>
      </c>
      <c r="R10" s="38" t="s">
        <v>31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45686.0</v>
      </c>
      <c r="C11" s="33" t="s">
        <v>1174</v>
      </c>
      <c r="D11" s="34">
        <v>78726.0</v>
      </c>
      <c r="E11" s="35" t="s">
        <v>1175</v>
      </c>
      <c r="F11" s="30"/>
      <c r="G11" s="36"/>
      <c r="H11" s="36"/>
      <c r="I11" s="30">
        <v>5000.0</v>
      </c>
      <c r="J11" s="30"/>
      <c r="K11" s="37"/>
      <c r="L11" s="36"/>
      <c r="M11" s="36"/>
      <c r="N11" s="36"/>
      <c r="O11" s="36"/>
      <c r="P11" s="38">
        <v>5000.0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45686.0</v>
      </c>
      <c r="C12" s="33" t="s">
        <v>1176</v>
      </c>
      <c r="D12" s="34">
        <v>80924.0</v>
      </c>
      <c r="E12" s="35" t="s">
        <v>1177</v>
      </c>
      <c r="F12" s="30"/>
      <c r="G12" s="36"/>
      <c r="H12" s="36"/>
      <c r="I12" s="30"/>
      <c r="J12" s="30">
        <v>300.0</v>
      </c>
      <c r="K12" s="37"/>
      <c r="L12" s="36"/>
      <c r="M12" s="36"/>
      <c r="N12" s="36"/>
      <c r="O12" s="36"/>
      <c r="P12" s="38">
        <v>300.0</v>
      </c>
      <c r="Q12" s="25">
        <f t="shared" si="1"/>
        <v>0</v>
      </c>
      <c r="R12" s="38" t="s">
        <v>512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45686.0</v>
      </c>
      <c r="C13" s="33" t="s">
        <v>1178</v>
      </c>
      <c r="D13" s="34">
        <v>51512.0</v>
      </c>
      <c r="E13" s="35" t="s">
        <v>465</v>
      </c>
      <c r="F13" s="30"/>
      <c r="G13" s="36"/>
      <c r="H13" s="36"/>
      <c r="I13" s="30"/>
      <c r="J13" s="30">
        <v>4600.0</v>
      </c>
      <c r="K13" s="37"/>
      <c r="L13" s="36"/>
      <c r="M13" s="36"/>
      <c r="N13" s="36"/>
      <c r="O13" s="36"/>
      <c r="P13" s="38">
        <v>4600.0</v>
      </c>
      <c r="Q13" s="25">
        <f t="shared" si="1"/>
        <v>0</v>
      </c>
      <c r="R13" s="38" t="s">
        <v>512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45686.0</v>
      </c>
      <c r="C14" s="33" t="s">
        <v>1179</v>
      </c>
      <c r="D14" s="34">
        <v>59244.0</v>
      </c>
      <c r="E14" s="35" t="s">
        <v>130</v>
      </c>
      <c r="F14" s="30"/>
      <c r="G14" s="36"/>
      <c r="H14" s="36"/>
      <c r="I14" s="30"/>
      <c r="J14" s="30">
        <v>8200.0</v>
      </c>
      <c r="K14" s="37"/>
      <c r="L14" s="36"/>
      <c r="M14" s="36"/>
      <c r="N14" s="36"/>
      <c r="O14" s="36"/>
      <c r="P14" s="38">
        <v>8200.0</v>
      </c>
      <c r="Q14" s="25">
        <f t="shared" si="1"/>
        <v>0</v>
      </c>
      <c r="R14" s="38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45686.0</v>
      </c>
      <c r="C15" s="33" t="s">
        <v>1180</v>
      </c>
      <c r="D15" s="34">
        <v>84114.0</v>
      </c>
      <c r="E15" s="35" t="s">
        <v>1181</v>
      </c>
      <c r="F15" s="30"/>
      <c r="G15" s="36"/>
      <c r="H15" s="36"/>
      <c r="I15" s="30">
        <v>5150.0</v>
      </c>
      <c r="J15" s="30"/>
      <c r="K15" s="37"/>
      <c r="L15" s="36"/>
      <c r="M15" s="36"/>
      <c r="N15" s="36"/>
      <c r="O15" s="36"/>
      <c r="P15" s="38">
        <v>5150.0</v>
      </c>
      <c r="Q15" s="25">
        <f t="shared" si="1"/>
        <v>0</v>
      </c>
      <c r="R15" s="38" t="s">
        <v>31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45686.0</v>
      </c>
      <c r="C16" s="33" t="s">
        <v>1182</v>
      </c>
      <c r="D16" s="34">
        <v>10744.0</v>
      </c>
      <c r="E16" s="35" t="s">
        <v>271</v>
      </c>
      <c r="F16" s="30"/>
      <c r="G16" s="36"/>
      <c r="H16" s="36"/>
      <c r="I16" s="30">
        <v>10000.0</v>
      </c>
      <c r="J16" s="30"/>
      <c r="K16" s="37"/>
      <c r="L16" s="36"/>
      <c r="M16" s="36"/>
      <c r="N16" s="36"/>
      <c r="O16" s="36"/>
      <c r="P16" s="38">
        <v>10000.0</v>
      </c>
      <c r="Q16" s="25">
        <f t="shared" si="1"/>
        <v>0</v>
      </c>
      <c r="R16" s="38" t="s">
        <v>28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45686.0</v>
      </c>
      <c r="C17" s="33" t="s">
        <v>1183</v>
      </c>
      <c r="D17" s="34">
        <v>86123.0</v>
      </c>
      <c r="E17" s="35" t="s">
        <v>1184</v>
      </c>
      <c r="F17" s="30"/>
      <c r="G17" s="36"/>
      <c r="H17" s="36"/>
      <c r="I17" s="30"/>
      <c r="J17" s="30">
        <v>2600.0</v>
      </c>
      <c r="K17" s="37"/>
      <c r="L17" s="36"/>
      <c r="M17" s="36"/>
      <c r="N17" s="36"/>
      <c r="O17" s="36"/>
      <c r="P17" s="38">
        <v>2600.0</v>
      </c>
      <c r="Q17" s="25">
        <f t="shared" si="1"/>
        <v>0</v>
      </c>
      <c r="R17" s="38" t="s">
        <v>28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45686.0</v>
      </c>
      <c r="C18" s="33" t="s">
        <v>1185</v>
      </c>
      <c r="D18" s="34">
        <v>10249.0</v>
      </c>
      <c r="E18" s="35" t="s">
        <v>394</v>
      </c>
      <c r="F18" s="30"/>
      <c r="G18" s="36"/>
      <c r="H18" s="36"/>
      <c r="I18" s="30"/>
      <c r="J18" s="30">
        <v>8750.0</v>
      </c>
      <c r="K18" s="37"/>
      <c r="L18" s="36"/>
      <c r="M18" s="36"/>
      <c r="N18" s="36"/>
      <c r="O18" s="36"/>
      <c r="P18" s="38">
        <v>8750.0</v>
      </c>
      <c r="Q18" s="25">
        <f t="shared" si="1"/>
        <v>0</v>
      </c>
      <c r="R18" s="38" t="s">
        <v>28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45686.0</v>
      </c>
      <c r="C19" s="33" t="s">
        <v>1186</v>
      </c>
      <c r="D19" s="34">
        <v>36555.0</v>
      </c>
      <c r="E19" s="35" t="s">
        <v>429</v>
      </c>
      <c r="F19" s="30"/>
      <c r="G19" s="36"/>
      <c r="H19" s="36"/>
      <c r="I19" s="30">
        <v>25000.0</v>
      </c>
      <c r="J19" s="30"/>
      <c r="K19" s="37"/>
      <c r="L19" s="36"/>
      <c r="M19" s="36"/>
      <c r="N19" s="36"/>
      <c r="O19" s="36"/>
      <c r="P19" s="38">
        <v>25000.0</v>
      </c>
      <c r="Q19" s="25">
        <f t="shared" si="1"/>
        <v>0</v>
      </c>
      <c r="R19" s="38" t="s">
        <v>28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45686.0</v>
      </c>
      <c r="C20" s="33" t="s">
        <v>1187</v>
      </c>
      <c r="D20" s="34">
        <v>84490.0</v>
      </c>
      <c r="E20" s="35" t="s">
        <v>1188</v>
      </c>
      <c r="F20" s="30"/>
      <c r="G20" s="36"/>
      <c r="H20" s="36"/>
      <c r="I20" s="30">
        <v>50.0</v>
      </c>
      <c r="J20" s="30"/>
      <c r="K20" s="37"/>
      <c r="L20" s="36"/>
      <c r="M20" s="36"/>
      <c r="N20" s="36"/>
      <c r="O20" s="36"/>
      <c r="P20" s="38">
        <v>50.0</v>
      </c>
      <c r="Q20" s="25">
        <f t="shared" si="1"/>
        <v>0</v>
      </c>
      <c r="R20" s="38" t="s">
        <v>46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45686.0</v>
      </c>
      <c r="C21" s="33" t="s">
        <v>1189</v>
      </c>
      <c r="D21" s="34">
        <v>33995.0</v>
      </c>
      <c r="E21" s="35" t="s">
        <v>1190</v>
      </c>
      <c r="F21" s="30"/>
      <c r="G21" s="36"/>
      <c r="H21" s="36"/>
      <c r="I21" s="30"/>
      <c r="J21" s="30">
        <v>5000.0</v>
      </c>
      <c r="K21" s="37"/>
      <c r="L21" s="36"/>
      <c r="M21" s="36"/>
      <c r="N21" s="36"/>
      <c r="O21" s="36"/>
      <c r="P21" s="38">
        <v>5000.0</v>
      </c>
      <c r="Q21" s="25">
        <f t="shared" si="1"/>
        <v>0</v>
      </c>
      <c r="R21" s="38" t="s">
        <v>31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45686.0</v>
      </c>
      <c r="C22" s="33" t="s">
        <v>1191</v>
      </c>
      <c r="D22" s="34">
        <v>21818.0</v>
      </c>
      <c r="E22" s="35" t="s">
        <v>65</v>
      </c>
      <c r="F22" s="30"/>
      <c r="G22" s="36"/>
      <c r="H22" s="36"/>
      <c r="I22" s="30"/>
      <c r="J22" s="30"/>
      <c r="K22" s="37">
        <v>1400.0</v>
      </c>
      <c r="L22" s="36"/>
      <c r="M22" s="36"/>
      <c r="N22" s="36"/>
      <c r="O22" s="36"/>
      <c r="P22" s="38">
        <v>1400.0</v>
      </c>
      <c r="Q22" s="25">
        <f t="shared" si="1"/>
        <v>0</v>
      </c>
      <c r="R22" s="38" t="s">
        <v>31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45686.0</v>
      </c>
      <c r="C23" s="33" t="s">
        <v>1192</v>
      </c>
      <c r="D23" s="34">
        <v>33616.0</v>
      </c>
      <c r="E23" s="35" t="s">
        <v>1193</v>
      </c>
      <c r="F23" s="30"/>
      <c r="G23" s="36"/>
      <c r="H23" s="36"/>
      <c r="I23" s="30"/>
      <c r="J23" s="30">
        <v>1550.0</v>
      </c>
      <c r="K23" s="37"/>
      <c r="L23" s="36"/>
      <c r="M23" s="36"/>
      <c r="N23" s="36"/>
      <c r="O23" s="36"/>
      <c r="P23" s="38">
        <v>1550.0</v>
      </c>
      <c r="Q23" s="25">
        <f t="shared" si="1"/>
        <v>0</v>
      </c>
      <c r="R23" s="38" t="s">
        <v>28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45686.0</v>
      </c>
      <c r="C24" s="33" t="s">
        <v>1194</v>
      </c>
      <c r="D24" s="34">
        <v>38697.0</v>
      </c>
      <c r="E24" s="35" t="s">
        <v>1195</v>
      </c>
      <c r="F24" s="30"/>
      <c r="G24" s="36"/>
      <c r="H24" s="36"/>
      <c r="I24" s="30"/>
      <c r="J24" s="30">
        <v>12500.0</v>
      </c>
      <c r="K24" s="37"/>
      <c r="L24" s="36"/>
      <c r="M24" s="36"/>
      <c r="N24" s="36"/>
      <c r="O24" s="36"/>
      <c r="P24" s="38">
        <v>12500.0</v>
      </c>
      <c r="Q24" s="25">
        <f t="shared" si="1"/>
        <v>0</v>
      </c>
      <c r="R24" s="38" t="s">
        <v>46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45686.0</v>
      </c>
      <c r="C25" s="33" t="s">
        <v>1196</v>
      </c>
      <c r="D25" s="34">
        <v>54899.0</v>
      </c>
      <c r="E25" s="35" t="s">
        <v>1197</v>
      </c>
      <c r="F25" s="30"/>
      <c r="G25" s="36"/>
      <c r="H25" s="36"/>
      <c r="I25" s="30">
        <v>5000.0</v>
      </c>
      <c r="J25" s="30"/>
      <c r="K25" s="37"/>
      <c r="L25" s="36"/>
      <c r="M25" s="36"/>
      <c r="N25" s="36"/>
      <c r="O25" s="36"/>
      <c r="P25" s="38">
        <v>5000.0</v>
      </c>
      <c r="Q25" s="25">
        <f t="shared" si="1"/>
        <v>0</v>
      </c>
      <c r="R25" s="38" t="s">
        <v>512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45686.0</v>
      </c>
      <c r="C26" s="33" t="s">
        <v>1198</v>
      </c>
      <c r="D26" s="34">
        <v>81378.0</v>
      </c>
      <c r="E26" s="35" t="s">
        <v>1199</v>
      </c>
      <c r="F26" s="30"/>
      <c r="G26" s="36"/>
      <c r="H26" s="36"/>
      <c r="I26" s="30"/>
      <c r="J26" s="30"/>
      <c r="K26" s="37">
        <v>7600.0</v>
      </c>
      <c r="L26" s="36"/>
      <c r="M26" s="36"/>
      <c r="N26" s="36"/>
      <c r="O26" s="36"/>
      <c r="P26" s="38">
        <v>7600.0</v>
      </c>
      <c r="Q26" s="25">
        <f t="shared" si="1"/>
        <v>0</v>
      </c>
      <c r="R26" s="38" t="s">
        <v>512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45686.0</v>
      </c>
      <c r="C27" s="33" t="s">
        <v>1200</v>
      </c>
      <c r="D27" s="34">
        <v>51017.0</v>
      </c>
      <c r="E27" s="35" t="s">
        <v>167</v>
      </c>
      <c r="F27" s="30"/>
      <c r="G27" s="36"/>
      <c r="H27" s="36">
        <v>10000.0</v>
      </c>
      <c r="I27" s="30"/>
      <c r="J27" s="30"/>
      <c r="K27" s="37"/>
      <c r="L27" s="36"/>
      <c r="M27" s="36"/>
      <c r="N27" s="36"/>
      <c r="O27" s="36"/>
      <c r="P27" s="38">
        <v>10000.0</v>
      </c>
      <c r="Q27" s="25">
        <f t="shared" si="1"/>
        <v>0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45686.0</v>
      </c>
      <c r="C28" s="33" t="s">
        <v>1201</v>
      </c>
      <c r="D28" s="34">
        <v>72839.0</v>
      </c>
      <c r="E28" s="35" t="s">
        <v>364</v>
      </c>
      <c r="F28" s="30"/>
      <c r="G28" s="36"/>
      <c r="H28" s="36">
        <v>10000.0</v>
      </c>
      <c r="I28" s="30"/>
      <c r="J28" s="30"/>
      <c r="K28" s="37"/>
      <c r="L28" s="36"/>
      <c r="M28" s="36"/>
      <c r="N28" s="36"/>
      <c r="O28" s="36"/>
      <c r="P28" s="38">
        <v>10000.0</v>
      </c>
      <c r="Q28" s="25">
        <f t="shared" si="1"/>
        <v>0</v>
      </c>
      <c r="R28" s="38"/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45686.0</v>
      </c>
      <c r="C29" s="33" t="s">
        <v>1202</v>
      </c>
      <c r="D29" s="34">
        <v>72839.0</v>
      </c>
      <c r="E29" s="35" t="s">
        <v>364</v>
      </c>
      <c r="F29" s="30"/>
      <c r="G29" s="36"/>
      <c r="H29" s="36">
        <v>15000.0</v>
      </c>
      <c r="I29" s="30"/>
      <c r="J29" s="30"/>
      <c r="K29" s="37"/>
      <c r="L29" s="36"/>
      <c r="M29" s="36"/>
      <c r="N29" s="36"/>
      <c r="O29" s="36"/>
      <c r="P29" s="38">
        <v>15000.0</v>
      </c>
      <c r="Q29" s="25">
        <f t="shared" si="1"/>
        <v>0</v>
      </c>
      <c r="R29" s="38"/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45686.0</v>
      </c>
      <c r="C30" s="33" t="s">
        <v>1203</v>
      </c>
      <c r="D30" s="34">
        <v>10008.0</v>
      </c>
      <c r="E30" s="35" t="s">
        <v>1204</v>
      </c>
      <c r="F30" s="30"/>
      <c r="G30" s="36"/>
      <c r="H30" s="36">
        <v>300.0</v>
      </c>
      <c r="I30" s="30"/>
      <c r="J30" s="30"/>
      <c r="K30" s="37"/>
      <c r="L30" s="36"/>
      <c r="M30" s="36"/>
      <c r="N30" s="36"/>
      <c r="O30" s="36"/>
      <c r="P30" s="38">
        <v>300.0</v>
      </c>
      <c r="Q30" s="25">
        <f t="shared" si="1"/>
        <v>0</v>
      </c>
      <c r="R30" s="38"/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45686.0</v>
      </c>
      <c r="C31" s="33" t="s">
        <v>1205</v>
      </c>
      <c r="D31" s="34">
        <v>79725.0</v>
      </c>
      <c r="E31" s="35" t="s">
        <v>826</v>
      </c>
      <c r="F31" s="30"/>
      <c r="G31" s="36"/>
      <c r="H31" s="36">
        <v>6000.0</v>
      </c>
      <c r="I31" s="30"/>
      <c r="J31" s="30"/>
      <c r="K31" s="37"/>
      <c r="L31" s="36"/>
      <c r="M31" s="36"/>
      <c r="N31" s="36"/>
      <c r="O31" s="36"/>
      <c r="P31" s="38">
        <v>6000.0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/>
      <c r="B32" s="32"/>
      <c r="C32" s="33"/>
      <c r="D32" s="34"/>
      <c r="E32" s="35"/>
      <c r="F32" s="30"/>
      <c r="G32" s="36"/>
      <c r="H32" s="36"/>
      <c r="I32" s="30"/>
      <c r="J32" s="30"/>
      <c r="K32" s="37"/>
      <c r="L32" s="36"/>
      <c r="M32" s="36"/>
      <c r="N32" s="36"/>
      <c r="O32" s="36"/>
      <c r="P32" s="38"/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27"/>
      <c r="B33" s="128"/>
      <c r="C33" s="129"/>
      <c r="D33" s="130"/>
      <c r="E33" s="131"/>
      <c r="F33" s="132">
        <f t="shared" ref="F33:P33" si="2">SUM(F6:F31)</f>
        <v>0</v>
      </c>
      <c r="G33" s="132">
        <f t="shared" si="2"/>
        <v>0</v>
      </c>
      <c r="H33" s="132">
        <f t="shared" si="2"/>
        <v>41300</v>
      </c>
      <c r="I33" s="132">
        <f t="shared" si="2"/>
        <v>59700</v>
      </c>
      <c r="J33" s="132">
        <f t="shared" si="2"/>
        <v>47650</v>
      </c>
      <c r="K33" s="132">
        <f t="shared" si="2"/>
        <v>9000</v>
      </c>
      <c r="L33" s="132">
        <f t="shared" si="2"/>
        <v>0</v>
      </c>
      <c r="M33" s="132">
        <f t="shared" si="2"/>
        <v>0</v>
      </c>
      <c r="N33" s="132">
        <f t="shared" si="2"/>
        <v>0</v>
      </c>
      <c r="O33" s="132">
        <f t="shared" si="2"/>
        <v>0</v>
      </c>
      <c r="P33" s="132">
        <f t="shared" si="2"/>
        <v>157650</v>
      </c>
      <c r="Q33" s="132"/>
      <c r="R33" s="134"/>
      <c r="S33" s="135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 ht="45.0" customHeight="1">
      <c r="A34" s="136"/>
      <c r="B34" s="137"/>
      <c r="C34" s="138"/>
      <c r="D34" s="137"/>
      <c r="E34" s="137"/>
      <c r="F34" s="139">
        <f>F33+G33+H33+I33+J33+K33+L33+M33+N33+O33</f>
        <v>157650</v>
      </c>
      <c r="G34" s="2"/>
      <c r="H34" s="2"/>
      <c r="I34" s="2"/>
      <c r="J34" s="2"/>
      <c r="K34" s="2"/>
      <c r="L34" s="2"/>
      <c r="M34" s="2"/>
      <c r="N34" s="2"/>
      <c r="O34" s="2"/>
      <c r="P34" s="140"/>
      <c r="Q34" s="140"/>
      <c r="R34" s="137"/>
      <c r="S34" s="141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ht="45.0" customHeight="1">
      <c r="A35" s="27"/>
      <c r="B35" s="27"/>
      <c r="C35" s="75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t="63.0" customHeight="1">
      <c r="A36" s="165" t="s">
        <v>445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63.0" customHeight="1">
      <c r="A37" s="166" t="s">
        <v>1</v>
      </c>
      <c r="B37" s="167" t="s">
        <v>2</v>
      </c>
      <c r="C37" s="167" t="s">
        <v>3</v>
      </c>
      <c r="D37" s="167" t="s">
        <v>4</v>
      </c>
      <c r="E37" s="167" t="s">
        <v>5</v>
      </c>
      <c r="F37" s="168" t="s">
        <v>252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167" t="s">
        <v>7</v>
      </c>
      <c r="S37" s="167" t="s">
        <v>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63.0" customHeight="1">
      <c r="A38" s="10"/>
      <c r="B38" s="11"/>
      <c r="C38" s="11"/>
      <c r="D38" s="11"/>
      <c r="E38" s="11"/>
      <c r="F38" s="169" t="s">
        <v>9</v>
      </c>
      <c r="G38" s="170" t="s">
        <v>10</v>
      </c>
      <c r="H38" s="9"/>
      <c r="I38" s="170" t="s">
        <v>11</v>
      </c>
      <c r="J38" s="9"/>
      <c r="K38" s="167" t="s">
        <v>12</v>
      </c>
      <c r="L38" s="171"/>
      <c r="M38" s="171"/>
      <c r="N38" s="171"/>
      <c r="O38" s="172" t="s">
        <v>1206</v>
      </c>
      <c r="P38" s="167" t="s">
        <v>14</v>
      </c>
      <c r="Q38" s="167" t="s">
        <v>15</v>
      </c>
      <c r="R38" s="11"/>
      <c r="S38" s="1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63.0" customHeight="1">
      <c r="A39" s="14"/>
      <c r="B39" s="9"/>
      <c r="C39" s="9"/>
      <c r="D39" s="9"/>
      <c r="E39" s="9"/>
      <c r="F39" s="9"/>
      <c r="G39" s="173" t="s">
        <v>16</v>
      </c>
      <c r="H39" s="173" t="s">
        <v>17</v>
      </c>
      <c r="I39" s="173" t="s">
        <v>18</v>
      </c>
      <c r="J39" s="173" t="s">
        <v>19</v>
      </c>
      <c r="K39" s="9"/>
      <c r="L39" s="173" t="s">
        <v>20</v>
      </c>
      <c r="M39" s="173" t="s">
        <v>21</v>
      </c>
      <c r="N39" s="173" t="s">
        <v>22</v>
      </c>
      <c r="O39" s="9"/>
      <c r="P39" s="9"/>
      <c r="Q39" s="9"/>
      <c r="R39" s="9"/>
      <c r="S39" s="9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63.0" customHeight="1">
      <c r="A40" s="224">
        <v>1.0</v>
      </c>
      <c r="B40" s="225">
        <v>45686.0</v>
      </c>
      <c r="C40" s="226" t="s">
        <v>1207</v>
      </c>
      <c r="D40" s="227">
        <v>10255.0</v>
      </c>
      <c r="E40" s="228" t="s">
        <v>1208</v>
      </c>
      <c r="F40" s="30"/>
      <c r="G40" s="36"/>
      <c r="H40" s="36"/>
      <c r="I40" s="30">
        <v>5100.0</v>
      </c>
      <c r="J40" s="30"/>
      <c r="K40" s="37"/>
      <c r="L40" s="36"/>
      <c r="M40" s="36"/>
      <c r="N40" s="36"/>
      <c r="O40" s="36"/>
      <c r="P40" s="229">
        <v>5100.0</v>
      </c>
      <c r="Q40" s="25">
        <f t="shared" ref="Q40:Q42" si="3">F40+G40+H40+I40+J40+K40+L40+M40+N40+O40-P40</f>
        <v>0</v>
      </c>
      <c r="R40" s="38" t="s">
        <v>935</v>
      </c>
      <c r="S40" s="2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63.0" customHeight="1">
      <c r="A41" s="224"/>
      <c r="B41" s="205"/>
      <c r="C41" s="206"/>
      <c r="D41" s="204"/>
      <c r="E41" s="204"/>
      <c r="F41" s="30"/>
      <c r="G41" s="36"/>
      <c r="H41" s="36"/>
      <c r="I41" s="30"/>
      <c r="J41" s="30"/>
      <c r="K41" s="37"/>
      <c r="L41" s="36"/>
      <c r="M41" s="36"/>
      <c r="N41" s="36"/>
      <c r="O41" s="36"/>
      <c r="P41" s="207"/>
      <c r="Q41" s="25">
        <f t="shared" si="3"/>
        <v>0</v>
      </c>
      <c r="R41" s="38"/>
      <c r="S41" s="2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63.0" customHeight="1">
      <c r="A42" s="224"/>
      <c r="B42" s="205"/>
      <c r="C42" s="206"/>
      <c r="D42" s="204"/>
      <c r="E42" s="204"/>
      <c r="F42" s="30"/>
      <c r="G42" s="36"/>
      <c r="H42" s="36"/>
      <c r="I42" s="30"/>
      <c r="J42" s="30"/>
      <c r="K42" s="37"/>
      <c r="L42" s="36"/>
      <c r="M42" s="36"/>
      <c r="N42" s="36"/>
      <c r="O42" s="36"/>
      <c r="P42" s="207"/>
      <c r="Q42" s="25">
        <f t="shared" si="3"/>
        <v>0</v>
      </c>
      <c r="R42" s="38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63.0" customHeight="1">
      <c r="A43" s="174"/>
      <c r="B43" s="175"/>
      <c r="C43" s="176"/>
      <c r="D43" s="177" t="s">
        <v>115</v>
      </c>
      <c r="E43" s="178"/>
      <c r="F43" s="179">
        <f t="shared" ref="F43:G43" si="4">SUM(F42)</f>
        <v>0</v>
      </c>
      <c r="G43" s="179">
        <f t="shared" si="4"/>
        <v>0</v>
      </c>
      <c r="H43" s="179">
        <f t="shared" ref="H43:Q43" si="5">SUM(H40:H42)</f>
        <v>0</v>
      </c>
      <c r="I43" s="179">
        <f t="shared" si="5"/>
        <v>5100</v>
      </c>
      <c r="J43" s="179">
        <f t="shared" si="5"/>
        <v>0</v>
      </c>
      <c r="K43" s="179">
        <f t="shared" si="5"/>
        <v>0</v>
      </c>
      <c r="L43" s="179">
        <f t="shared" si="5"/>
        <v>0</v>
      </c>
      <c r="M43" s="179">
        <f t="shared" si="5"/>
        <v>0</v>
      </c>
      <c r="N43" s="179">
        <f t="shared" si="5"/>
        <v>0</v>
      </c>
      <c r="O43" s="179">
        <f t="shared" si="5"/>
        <v>0</v>
      </c>
      <c r="P43" s="179">
        <f t="shared" si="5"/>
        <v>5100</v>
      </c>
      <c r="Q43" s="179">
        <f t="shared" si="5"/>
        <v>0</v>
      </c>
      <c r="R43" s="178"/>
      <c r="S43" s="18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63.0" customHeight="1">
      <c r="A44" s="182"/>
      <c r="B44" s="183"/>
      <c r="C44" s="184"/>
      <c r="D44" s="183"/>
      <c r="E44" s="183"/>
      <c r="F44" s="185">
        <f>F43+G43+H43+I43+J43+K43+L43+M43+N43+O43</f>
        <v>5100</v>
      </c>
      <c r="G44" s="2"/>
      <c r="H44" s="2"/>
      <c r="I44" s="2"/>
      <c r="J44" s="2"/>
      <c r="K44" s="2"/>
      <c r="L44" s="2"/>
      <c r="M44" s="2"/>
      <c r="N44" s="2"/>
      <c r="O44" s="2"/>
      <c r="P44" s="186"/>
      <c r="Q44" s="186"/>
      <c r="R44" s="183"/>
      <c r="S44" s="18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63.0" customHeight="1">
      <c r="A45" s="4"/>
      <c r="B45" s="4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63.0" customHeight="1">
      <c r="A46" s="4"/>
      <c r="B46" s="4"/>
      <c r="C46" s="51"/>
      <c r="D46" s="4"/>
      <c r="E46" s="188" t="s">
        <v>118</v>
      </c>
      <c r="F46" s="189" t="s">
        <v>170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120</v>
      </c>
      <c r="F47" s="189" t="s">
        <v>171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51"/>
      <c r="D48" s="4"/>
      <c r="E48" s="188" t="s">
        <v>121</v>
      </c>
      <c r="F48" s="189" t="s">
        <v>171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188" t="s">
        <v>122</v>
      </c>
      <c r="F49" s="189" t="s">
        <v>172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51"/>
      <c r="D50" s="4"/>
      <c r="E50" s="188" t="s">
        <v>1209</v>
      </c>
      <c r="F50" s="189" t="s">
        <v>171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51"/>
      <c r="D51" s="4"/>
      <c r="E51" s="188" t="s">
        <v>124</v>
      </c>
      <c r="F51" s="189" t="s">
        <v>125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51"/>
      <c r="D52" s="4"/>
      <c r="E52" s="188" t="s">
        <v>126</v>
      </c>
      <c r="F52" s="189" t="s">
        <v>171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9.13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1210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9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45686.0</v>
      </c>
      <c r="C6" s="18" t="s">
        <v>1211</v>
      </c>
      <c r="D6" s="19">
        <v>86128.0</v>
      </c>
      <c r="E6" s="20" t="s">
        <v>1212</v>
      </c>
      <c r="F6" s="22"/>
      <c r="G6" s="22"/>
      <c r="H6" s="22"/>
      <c r="I6" s="21">
        <v>300.0</v>
      </c>
      <c r="J6" s="21"/>
      <c r="K6" s="22"/>
      <c r="L6" s="22"/>
      <c r="M6" s="21"/>
      <c r="N6" s="22"/>
      <c r="O6" s="22"/>
      <c r="P6" s="24">
        <v>300.0</v>
      </c>
      <c r="Q6" s="25">
        <f t="shared" ref="Q6:Q27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45687.0</v>
      </c>
      <c r="C7" s="18" t="s">
        <v>1213</v>
      </c>
      <c r="D7" s="19">
        <v>22332.0</v>
      </c>
      <c r="E7" s="20" t="s">
        <v>350</v>
      </c>
      <c r="F7" s="21"/>
      <c r="G7" s="22"/>
      <c r="H7" s="22"/>
      <c r="I7" s="30">
        <v>2600.0</v>
      </c>
      <c r="J7" s="22"/>
      <c r="K7" s="31"/>
      <c r="L7" s="22"/>
      <c r="M7" s="22"/>
      <c r="N7" s="22"/>
      <c r="O7" s="22"/>
      <c r="P7" s="24">
        <v>2600.0</v>
      </c>
      <c r="Q7" s="25">
        <f t="shared" si="1"/>
        <v>0</v>
      </c>
      <c r="R7" s="24" t="s">
        <v>512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45687.0</v>
      </c>
      <c r="C8" s="18" t="s">
        <v>1214</v>
      </c>
      <c r="D8" s="19">
        <v>26831.0</v>
      </c>
      <c r="E8" s="20" t="s">
        <v>150</v>
      </c>
      <c r="F8" s="21"/>
      <c r="G8" s="22"/>
      <c r="H8" s="22"/>
      <c r="I8" s="21"/>
      <c r="J8" s="22">
        <v>5100.0</v>
      </c>
      <c r="K8" s="21"/>
      <c r="L8" s="22"/>
      <c r="M8" s="22"/>
      <c r="N8" s="22"/>
      <c r="O8" s="22"/>
      <c r="P8" s="24">
        <v>5100.0</v>
      </c>
      <c r="Q8" s="25">
        <f t="shared" si="1"/>
        <v>0</v>
      </c>
      <c r="R8" s="24" t="s">
        <v>28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45687.0</v>
      </c>
      <c r="C9" s="33" t="s">
        <v>1215</v>
      </c>
      <c r="D9" s="34">
        <v>83201.0</v>
      </c>
      <c r="E9" s="35" t="s">
        <v>522</v>
      </c>
      <c r="F9" s="30"/>
      <c r="G9" s="36"/>
      <c r="H9" s="36"/>
      <c r="I9" s="30">
        <v>5100.0</v>
      </c>
      <c r="J9" s="30"/>
      <c r="K9" s="37"/>
      <c r="L9" s="36"/>
      <c r="M9" s="36"/>
      <c r="N9" s="36"/>
      <c r="O9" s="36"/>
      <c r="P9" s="38">
        <v>5100.0</v>
      </c>
      <c r="Q9" s="25">
        <f t="shared" si="1"/>
        <v>0</v>
      </c>
      <c r="R9" s="38" t="s">
        <v>46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45687.0</v>
      </c>
      <c r="C10" s="33" t="s">
        <v>1216</v>
      </c>
      <c r="D10" s="34">
        <v>69437.0</v>
      </c>
      <c r="E10" s="35" t="s">
        <v>921</v>
      </c>
      <c r="F10" s="30"/>
      <c r="G10" s="36"/>
      <c r="H10" s="36"/>
      <c r="I10" s="30"/>
      <c r="J10" s="30">
        <v>10700.0</v>
      </c>
      <c r="K10" s="37"/>
      <c r="L10" s="36"/>
      <c r="M10" s="36"/>
      <c r="N10" s="36"/>
      <c r="O10" s="36"/>
      <c r="P10" s="38">
        <v>10700.0</v>
      </c>
      <c r="Q10" s="25">
        <f t="shared" si="1"/>
        <v>0</v>
      </c>
      <c r="R10" s="38" t="s">
        <v>28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45687.0</v>
      </c>
      <c r="C11" s="33" t="s">
        <v>1217</v>
      </c>
      <c r="D11" s="34">
        <v>51797.0</v>
      </c>
      <c r="E11" s="35" t="s">
        <v>1218</v>
      </c>
      <c r="F11" s="30"/>
      <c r="G11" s="36"/>
      <c r="H11" s="36"/>
      <c r="I11" s="30"/>
      <c r="J11" s="30">
        <v>12500.0</v>
      </c>
      <c r="K11" s="37"/>
      <c r="L11" s="36"/>
      <c r="M11" s="36"/>
      <c r="N11" s="36"/>
      <c r="O11" s="36"/>
      <c r="P11" s="38">
        <v>12500.0</v>
      </c>
      <c r="Q11" s="25">
        <f t="shared" si="1"/>
        <v>0</v>
      </c>
      <c r="R11" s="38" t="s">
        <v>512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45687.0</v>
      </c>
      <c r="C12" s="33" t="s">
        <v>1219</v>
      </c>
      <c r="D12" s="34">
        <v>36555.0</v>
      </c>
      <c r="E12" s="35" t="s">
        <v>429</v>
      </c>
      <c r="F12" s="30"/>
      <c r="G12" s="36"/>
      <c r="H12" s="36"/>
      <c r="I12" s="30">
        <v>5300.0</v>
      </c>
      <c r="J12" s="30"/>
      <c r="K12" s="37"/>
      <c r="L12" s="36"/>
      <c r="M12" s="36"/>
      <c r="N12" s="36"/>
      <c r="O12" s="36"/>
      <c r="P12" s="38">
        <v>5300.0</v>
      </c>
      <c r="Q12" s="25">
        <f t="shared" si="1"/>
        <v>0</v>
      </c>
      <c r="R12" s="38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45687.0</v>
      </c>
      <c r="C13" s="33" t="s">
        <v>1220</v>
      </c>
      <c r="D13" s="34">
        <v>47787.0</v>
      </c>
      <c r="E13" s="35" t="s">
        <v>158</v>
      </c>
      <c r="F13" s="30"/>
      <c r="G13" s="36"/>
      <c r="H13" s="36"/>
      <c r="I13" s="30">
        <v>2500.0</v>
      </c>
      <c r="J13" s="30"/>
      <c r="K13" s="37"/>
      <c r="L13" s="36"/>
      <c r="M13" s="36"/>
      <c r="N13" s="36"/>
      <c r="O13" s="36"/>
      <c r="P13" s="38">
        <v>2500.0</v>
      </c>
      <c r="Q13" s="25">
        <f t="shared" si="1"/>
        <v>0</v>
      </c>
      <c r="R13" s="38" t="s">
        <v>512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45687.0</v>
      </c>
      <c r="C14" s="33" t="s">
        <v>1221</v>
      </c>
      <c r="D14" s="34">
        <v>58818.0</v>
      </c>
      <c r="E14" s="35" t="s">
        <v>644</v>
      </c>
      <c r="F14" s="30"/>
      <c r="G14" s="36"/>
      <c r="H14" s="36"/>
      <c r="I14" s="30">
        <v>5100.0</v>
      </c>
      <c r="J14" s="30"/>
      <c r="K14" s="37"/>
      <c r="L14" s="36"/>
      <c r="M14" s="36"/>
      <c r="N14" s="36"/>
      <c r="O14" s="36"/>
      <c r="P14" s="38">
        <v>5100.0</v>
      </c>
      <c r="Q14" s="25">
        <f t="shared" si="1"/>
        <v>0</v>
      </c>
      <c r="R14" s="38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45687.0</v>
      </c>
      <c r="C15" s="33" t="s">
        <v>1222</v>
      </c>
      <c r="D15" s="34">
        <v>50436.0</v>
      </c>
      <c r="E15" s="35" t="s">
        <v>154</v>
      </c>
      <c r="F15" s="30"/>
      <c r="G15" s="36"/>
      <c r="H15" s="36"/>
      <c r="I15" s="30">
        <v>2500.0</v>
      </c>
      <c r="J15" s="30"/>
      <c r="K15" s="37"/>
      <c r="L15" s="36"/>
      <c r="M15" s="36"/>
      <c r="N15" s="36"/>
      <c r="O15" s="36"/>
      <c r="P15" s="38">
        <v>2500.0</v>
      </c>
      <c r="Q15" s="25">
        <f t="shared" si="1"/>
        <v>0</v>
      </c>
      <c r="R15" s="38" t="s">
        <v>46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45687.0</v>
      </c>
      <c r="C16" s="33" t="s">
        <v>1223</v>
      </c>
      <c r="D16" s="34">
        <v>22332.0</v>
      </c>
      <c r="E16" s="35" t="s">
        <v>350</v>
      </c>
      <c r="F16" s="30"/>
      <c r="G16" s="36"/>
      <c r="H16" s="36"/>
      <c r="I16" s="30">
        <v>5700.0</v>
      </c>
      <c r="J16" s="30"/>
      <c r="K16" s="37"/>
      <c r="L16" s="36"/>
      <c r="M16" s="36"/>
      <c r="N16" s="36"/>
      <c r="O16" s="36"/>
      <c r="P16" s="38">
        <v>5700.0</v>
      </c>
      <c r="Q16" s="25">
        <f t="shared" si="1"/>
        <v>0</v>
      </c>
      <c r="R16" s="38" t="s">
        <v>46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45687.0</v>
      </c>
      <c r="C17" s="33" t="s">
        <v>1224</v>
      </c>
      <c r="D17" s="34">
        <v>64461.0</v>
      </c>
      <c r="E17" s="35" t="s">
        <v>708</v>
      </c>
      <c r="F17" s="30">
        <v>2500.0</v>
      </c>
      <c r="G17" s="36"/>
      <c r="H17" s="36"/>
      <c r="I17" s="30"/>
      <c r="J17" s="30"/>
      <c r="K17" s="37"/>
      <c r="L17" s="36"/>
      <c r="M17" s="36"/>
      <c r="N17" s="36"/>
      <c r="O17" s="36"/>
      <c r="P17" s="38">
        <v>2500.0</v>
      </c>
      <c r="Q17" s="25">
        <f t="shared" si="1"/>
        <v>0</v>
      </c>
      <c r="R17" s="38" t="s">
        <v>46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45687.0</v>
      </c>
      <c r="C18" s="33" t="s">
        <v>1225</v>
      </c>
      <c r="D18" s="34">
        <v>13781.0</v>
      </c>
      <c r="E18" s="35" t="s">
        <v>76</v>
      </c>
      <c r="F18" s="30"/>
      <c r="G18" s="36">
        <v>4500.0</v>
      </c>
      <c r="H18" s="36"/>
      <c r="I18" s="30"/>
      <c r="J18" s="30"/>
      <c r="K18" s="37"/>
      <c r="L18" s="36"/>
      <c r="M18" s="36"/>
      <c r="N18" s="36"/>
      <c r="O18" s="36"/>
      <c r="P18" s="38">
        <v>4500.0</v>
      </c>
      <c r="Q18" s="25">
        <f t="shared" si="1"/>
        <v>0</v>
      </c>
      <c r="R18" s="38" t="s">
        <v>46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45687.0</v>
      </c>
      <c r="C19" s="33" t="s">
        <v>1226</v>
      </c>
      <c r="D19" s="34">
        <v>52083.0</v>
      </c>
      <c r="E19" s="35" t="s">
        <v>423</v>
      </c>
      <c r="F19" s="30"/>
      <c r="G19" s="36"/>
      <c r="H19" s="36"/>
      <c r="I19" s="30">
        <v>9250.0</v>
      </c>
      <c r="J19" s="30"/>
      <c r="K19" s="37"/>
      <c r="L19" s="36"/>
      <c r="M19" s="36"/>
      <c r="N19" s="36"/>
      <c r="O19" s="36"/>
      <c r="P19" s="38">
        <v>9250.0</v>
      </c>
      <c r="Q19" s="25">
        <f t="shared" si="1"/>
        <v>0</v>
      </c>
      <c r="R19" s="38" t="s">
        <v>512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45687.0</v>
      </c>
      <c r="C20" s="33" t="s">
        <v>1227</v>
      </c>
      <c r="D20" s="34">
        <v>62146.0</v>
      </c>
      <c r="E20" s="35" t="s">
        <v>389</v>
      </c>
      <c r="F20" s="30"/>
      <c r="G20" s="36"/>
      <c r="H20" s="36"/>
      <c r="I20" s="30">
        <v>1750.0</v>
      </c>
      <c r="J20" s="30"/>
      <c r="K20" s="37"/>
      <c r="L20" s="36"/>
      <c r="M20" s="36"/>
      <c r="N20" s="36"/>
      <c r="O20" s="36"/>
      <c r="P20" s="38">
        <v>1750.0</v>
      </c>
      <c r="Q20" s="25">
        <f t="shared" si="1"/>
        <v>0</v>
      </c>
      <c r="R20" s="38" t="s">
        <v>46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45687.0</v>
      </c>
      <c r="C21" s="33" t="s">
        <v>1228</v>
      </c>
      <c r="D21" s="34">
        <v>71126.0</v>
      </c>
      <c r="E21" s="35" t="s">
        <v>1229</v>
      </c>
      <c r="F21" s="30"/>
      <c r="G21" s="36"/>
      <c r="H21" s="36">
        <v>6400.0</v>
      </c>
      <c r="I21" s="30"/>
      <c r="J21" s="30"/>
      <c r="K21" s="37"/>
      <c r="L21" s="36"/>
      <c r="M21" s="36"/>
      <c r="N21" s="36"/>
      <c r="O21" s="36"/>
      <c r="P21" s="38">
        <v>6400.0</v>
      </c>
      <c r="Q21" s="25">
        <f t="shared" si="1"/>
        <v>0</v>
      </c>
      <c r="R21" s="38"/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45687.0</v>
      </c>
      <c r="C22" s="33" t="s">
        <v>1230</v>
      </c>
      <c r="D22" s="34">
        <v>10008.0</v>
      </c>
      <c r="E22" s="35" t="s">
        <v>1204</v>
      </c>
      <c r="F22" s="30"/>
      <c r="G22" s="36"/>
      <c r="H22" s="36"/>
      <c r="I22" s="30"/>
      <c r="J22" s="30"/>
      <c r="K22" s="37">
        <v>3700.0</v>
      </c>
      <c r="L22" s="36"/>
      <c r="M22" s="36"/>
      <c r="N22" s="36"/>
      <c r="O22" s="36"/>
      <c r="P22" s="38">
        <v>3700.0</v>
      </c>
      <c r="Q22" s="25">
        <f t="shared" si="1"/>
        <v>0</v>
      </c>
      <c r="R22" s="38"/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45687.0</v>
      </c>
      <c r="C23" s="33" t="s">
        <v>1231</v>
      </c>
      <c r="D23" s="34">
        <v>10357.0</v>
      </c>
      <c r="E23" s="35" t="s">
        <v>1232</v>
      </c>
      <c r="F23" s="30"/>
      <c r="G23" s="36"/>
      <c r="H23" s="36"/>
      <c r="I23" s="30"/>
      <c r="J23" s="30"/>
      <c r="K23" s="37">
        <v>4500.0</v>
      </c>
      <c r="L23" s="36"/>
      <c r="M23" s="36"/>
      <c r="N23" s="36"/>
      <c r="O23" s="36"/>
      <c r="P23" s="38">
        <v>4500.0</v>
      </c>
      <c r="Q23" s="25">
        <f t="shared" si="1"/>
        <v>0</v>
      </c>
      <c r="R23" s="38"/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45687.0</v>
      </c>
      <c r="C24" s="33" t="s">
        <v>1233</v>
      </c>
      <c r="D24" s="34">
        <v>86136.0</v>
      </c>
      <c r="E24" s="35" t="s">
        <v>1234</v>
      </c>
      <c r="F24" s="30"/>
      <c r="G24" s="36"/>
      <c r="H24" s="36">
        <v>300.0</v>
      </c>
      <c r="I24" s="30"/>
      <c r="J24" s="30"/>
      <c r="K24" s="37"/>
      <c r="L24" s="36"/>
      <c r="M24" s="36"/>
      <c r="N24" s="36"/>
      <c r="O24" s="36"/>
      <c r="P24" s="38">
        <v>300.0</v>
      </c>
      <c r="Q24" s="25">
        <f t="shared" si="1"/>
        <v>0</v>
      </c>
      <c r="R24" s="38"/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45687.0</v>
      </c>
      <c r="C25" s="33" t="s">
        <v>1235</v>
      </c>
      <c r="D25" s="34">
        <v>66838.0</v>
      </c>
      <c r="E25" s="35" t="s">
        <v>1236</v>
      </c>
      <c r="F25" s="30"/>
      <c r="G25" s="36"/>
      <c r="H25" s="36">
        <v>4600.0</v>
      </c>
      <c r="I25" s="30"/>
      <c r="J25" s="30"/>
      <c r="K25" s="37"/>
      <c r="L25" s="36"/>
      <c r="M25" s="36"/>
      <c r="N25" s="36"/>
      <c r="O25" s="36"/>
      <c r="P25" s="38">
        <v>4600.0</v>
      </c>
      <c r="Q25" s="25">
        <f t="shared" si="1"/>
        <v>0</v>
      </c>
      <c r="R25" s="38"/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45687.0</v>
      </c>
      <c r="C26" s="33" t="s">
        <v>1237</v>
      </c>
      <c r="D26" s="34">
        <v>85647.0</v>
      </c>
      <c r="E26" s="35" t="s">
        <v>459</v>
      </c>
      <c r="F26" s="30"/>
      <c r="G26" s="36"/>
      <c r="H26" s="36">
        <v>2400.0</v>
      </c>
      <c r="I26" s="30"/>
      <c r="J26" s="30"/>
      <c r="K26" s="37"/>
      <c r="L26" s="36"/>
      <c r="M26" s="36"/>
      <c r="N26" s="36"/>
      <c r="O26" s="36"/>
      <c r="P26" s="38">
        <v>2400.0</v>
      </c>
      <c r="Q26" s="25">
        <f t="shared" si="1"/>
        <v>0</v>
      </c>
      <c r="R26" s="38"/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/>
      <c r="B27" s="32"/>
      <c r="C27" s="33"/>
      <c r="D27" s="34"/>
      <c r="E27" s="35"/>
      <c r="F27" s="30"/>
      <c r="G27" s="36"/>
      <c r="H27" s="36"/>
      <c r="I27" s="30"/>
      <c r="J27" s="30"/>
      <c r="K27" s="37"/>
      <c r="L27" s="36"/>
      <c r="M27" s="36"/>
      <c r="N27" s="36"/>
      <c r="O27" s="36"/>
      <c r="P27" s="38"/>
      <c r="Q27" s="25">
        <f t="shared" si="1"/>
        <v>0</v>
      </c>
      <c r="R27" s="38"/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27"/>
      <c r="B28" s="128"/>
      <c r="C28" s="129"/>
      <c r="D28" s="130"/>
      <c r="E28" s="131"/>
      <c r="F28" s="132">
        <f t="shared" ref="F28:O28" si="2">SUM(F6:F26)</f>
        <v>2500</v>
      </c>
      <c r="G28" s="132">
        <f t="shared" si="2"/>
        <v>4500</v>
      </c>
      <c r="H28" s="132">
        <f t="shared" si="2"/>
        <v>13700</v>
      </c>
      <c r="I28" s="132">
        <f t="shared" si="2"/>
        <v>40100</v>
      </c>
      <c r="J28" s="132">
        <f t="shared" si="2"/>
        <v>28300</v>
      </c>
      <c r="K28" s="132">
        <f t="shared" si="2"/>
        <v>8200</v>
      </c>
      <c r="L28" s="132">
        <f t="shared" si="2"/>
        <v>0</v>
      </c>
      <c r="M28" s="132">
        <f t="shared" si="2"/>
        <v>0</v>
      </c>
      <c r="N28" s="132">
        <f t="shared" si="2"/>
        <v>0</v>
      </c>
      <c r="O28" s="132">
        <f t="shared" si="2"/>
        <v>0</v>
      </c>
      <c r="P28" s="132">
        <f t="shared" ref="P28:Q28" si="3">SUM(P6:P27)</f>
        <v>97300</v>
      </c>
      <c r="Q28" s="132">
        <f t="shared" si="3"/>
        <v>0</v>
      </c>
      <c r="R28" s="134"/>
      <c r="S28" s="135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</row>
    <row r="29" ht="45.0" customHeight="1">
      <c r="A29" s="136"/>
      <c r="B29" s="137"/>
      <c r="C29" s="138"/>
      <c r="D29" s="137"/>
      <c r="E29" s="137"/>
      <c r="F29" s="139">
        <f>F28+G28+H28+I28+J28+K28+L28+M28+N28+O28</f>
        <v>97300</v>
      </c>
      <c r="G29" s="2"/>
      <c r="H29" s="2"/>
      <c r="I29" s="2"/>
      <c r="J29" s="2"/>
      <c r="K29" s="2"/>
      <c r="L29" s="2"/>
      <c r="M29" s="2"/>
      <c r="N29" s="2"/>
      <c r="O29" s="2"/>
      <c r="P29" s="140"/>
      <c r="Q29" s="140"/>
      <c r="R29" s="137"/>
      <c r="S29" s="141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ht="45.0" customHeight="1">
      <c r="A30" s="27"/>
      <c r="B30" s="27"/>
      <c r="C30" s="75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ht="63.0" customHeight="1">
      <c r="A31" s="165" t="s">
        <v>445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63.0" customHeight="1">
      <c r="A32" s="166" t="s">
        <v>1</v>
      </c>
      <c r="B32" s="167" t="s">
        <v>2</v>
      </c>
      <c r="C32" s="167" t="s">
        <v>3</v>
      </c>
      <c r="D32" s="167" t="s">
        <v>4</v>
      </c>
      <c r="E32" s="167" t="s">
        <v>5</v>
      </c>
      <c r="F32" s="168" t="s">
        <v>252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67" t="s">
        <v>7</v>
      </c>
      <c r="S32" s="167" t="s">
        <v>8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63.0" customHeight="1">
      <c r="A33" s="10"/>
      <c r="B33" s="11"/>
      <c r="C33" s="11"/>
      <c r="D33" s="11"/>
      <c r="E33" s="11"/>
      <c r="F33" s="169" t="s">
        <v>9</v>
      </c>
      <c r="G33" s="170" t="s">
        <v>10</v>
      </c>
      <c r="H33" s="9"/>
      <c r="I33" s="170" t="s">
        <v>11</v>
      </c>
      <c r="J33" s="9"/>
      <c r="K33" s="167" t="s">
        <v>12</v>
      </c>
      <c r="L33" s="171"/>
      <c r="M33" s="171"/>
      <c r="N33" s="171"/>
      <c r="O33" s="172" t="s">
        <v>1238</v>
      </c>
      <c r="P33" s="167" t="s">
        <v>14</v>
      </c>
      <c r="Q33" s="167" t="s">
        <v>15</v>
      </c>
      <c r="R33" s="11"/>
      <c r="S33" s="1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63.0" customHeight="1">
      <c r="A34" s="14"/>
      <c r="B34" s="9"/>
      <c r="C34" s="9"/>
      <c r="D34" s="9"/>
      <c r="E34" s="9"/>
      <c r="F34" s="9"/>
      <c r="G34" s="173" t="s">
        <v>16</v>
      </c>
      <c r="H34" s="173" t="s">
        <v>17</v>
      </c>
      <c r="I34" s="173" t="s">
        <v>18</v>
      </c>
      <c r="J34" s="173" t="s">
        <v>19</v>
      </c>
      <c r="K34" s="9"/>
      <c r="L34" s="173" t="s">
        <v>20</v>
      </c>
      <c r="M34" s="173" t="s">
        <v>21</v>
      </c>
      <c r="N34" s="173" t="s">
        <v>22</v>
      </c>
      <c r="O34" s="9"/>
      <c r="P34" s="9"/>
      <c r="Q34" s="9"/>
      <c r="R34" s="9"/>
      <c r="S34" s="9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63.0" customHeight="1">
      <c r="A35" s="224">
        <v>1.0</v>
      </c>
      <c r="B35" s="225">
        <v>45687.0</v>
      </c>
      <c r="C35" s="226" t="s">
        <v>1239</v>
      </c>
      <c r="D35" s="227">
        <v>44035.0</v>
      </c>
      <c r="E35" s="228" t="s">
        <v>822</v>
      </c>
      <c r="F35" s="30"/>
      <c r="G35" s="36"/>
      <c r="H35" s="36">
        <v>11500.0</v>
      </c>
      <c r="I35" s="30"/>
      <c r="J35" s="30"/>
      <c r="K35" s="37"/>
      <c r="L35" s="36"/>
      <c r="M35" s="36"/>
      <c r="N35" s="36"/>
      <c r="O35" s="36"/>
      <c r="P35" s="229">
        <v>11500.0</v>
      </c>
      <c r="Q35" s="25">
        <f t="shared" ref="Q35:Q37" si="4">F35+G35+H35+I35+J35+K35+L35+M35+N35+O35-P35</f>
        <v>0</v>
      </c>
      <c r="R35" s="38"/>
      <c r="S35" s="2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63.0" customHeight="1">
      <c r="A36" s="224">
        <v>2.0</v>
      </c>
      <c r="B36" s="225">
        <v>45687.0</v>
      </c>
      <c r="C36" s="226" t="s">
        <v>1240</v>
      </c>
      <c r="D36" s="227">
        <v>83201.0</v>
      </c>
      <c r="E36" s="228" t="s">
        <v>522</v>
      </c>
      <c r="F36" s="30"/>
      <c r="G36" s="36"/>
      <c r="H36" s="36"/>
      <c r="I36" s="30">
        <v>50.0</v>
      </c>
      <c r="J36" s="30"/>
      <c r="K36" s="37"/>
      <c r="L36" s="36"/>
      <c r="M36" s="36"/>
      <c r="N36" s="36"/>
      <c r="O36" s="36"/>
      <c r="P36" s="229">
        <v>50.0</v>
      </c>
      <c r="Q36" s="25">
        <f t="shared" si="4"/>
        <v>0</v>
      </c>
      <c r="R36" s="38" t="s">
        <v>46</v>
      </c>
      <c r="S36" s="2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63.0" customHeight="1">
      <c r="A37" s="224"/>
      <c r="B37" s="205"/>
      <c r="C37" s="206"/>
      <c r="D37" s="204"/>
      <c r="E37" s="204"/>
      <c r="F37" s="30"/>
      <c r="G37" s="36"/>
      <c r="H37" s="36"/>
      <c r="I37" s="30"/>
      <c r="J37" s="30"/>
      <c r="K37" s="37"/>
      <c r="L37" s="36"/>
      <c r="M37" s="36"/>
      <c r="N37" s="36"/>
      <c r="O37" s="36"/>
      <c r="P37" s="207"/>
      <c r="Q37" s="25">
        <f t="shared" si="4"/>
        <v>0</v>
      </c>
      <c r="R37" s="38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63.0" customHeight="1">
      <c r="A38" s="174"/>
      <c r="B38" s="175"/>
      <c r="C38" s="176"/>
      <c r="D38" s="177" t="s">
        <v>115</v>
      </c>
      <c r="E38" s="178"/>
      <c r="F38" s="179">
        <f t="shared" ref="F38:G38" si="5">SUM(F37)</f>
        <v>0</v>
      </c>
      <c r="G38" s="179">
        <f t="shared" si="5"/>
        <v>0</v>
      </c>
      <c r="H38" s="179">
        <f t="shared" ref="H38:Q38" si="6">SUM(H35:H37)</f>
        <v>11500</v>
      </c>
      <c r="I38" s="179">
        <f t="shared" si="6"/>
        <v>50</v>
      </c>
      <c r="J38" s="179">
        <f t="shared" si="6"/>
        <v>0</v>
      </c>
      <c r="K38" s="179">
        <f t="shared" si="6"/>
        <v>0</v>
      </c>
      <c r="L38" s="179">
        <f t="shared" si="6"/>
        <v>0</v>
      </c>
      <c r="M38" s="179">
        <f t="shared" si="6"/>
        <v>0</v>
      </c>
      <c r="N38" s="179">
        <f t="shared" si="6"/>
        <v>0</v>
      </c>
      <c r="O38" s="179">
        <f t="shared" si="6"/>
        <v>0</v>
      </c>
      <c r="P38" s="179">
        <f t="shared" si="6"/>
        <v>11550</v>
      </c>
      <c r="Q38" s="179">
        <f t="shared" si="6"/>
        <v>0</v>
      </c>
      <c r="R38" s="178"/>
      <c r="S38" s="18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63.0" customHeight="1">
      <c r="A39" s="182"/>
      <c r="B39" s="183"/>
      <c r="C39" s="184"/>
      <c r="D39" s="183"/>
      <c r="E39" s="183"/>
      <c r="F39" s="185">
        <f>F38+G38+H38+I38+J38+K38+L38+M38+N38+O38</f>
        <v>11550</v>
      </c>
      <c r="G39" s="2"/>
      <c r="H39" s="2"/>
      <c r="I39" s="2"/>
      <c r="J39" s="2"/>
      <c r="K39" s="2"/>
      <c r="L39" s="2"/>
      <c r="M39" s="2"/>
      <c r="N39" s="2"/>
      <c r="O39" s="2"/>
      <c r="P39" s="186"/>
      <c r="Q39" s="186"/>
      <c r="R39" s="183"/>
      <c r="S39" s="18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63.0" customHeight="1">
      <c r="A40" s="4"/>
      <c r="B40" s="4"/>
      <c r="C40" s="5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51"/>
      <c r="D41" s="4"/>
      <c r="E41" s="188" t="s">
        <v>118</v>
      </c>
      <c r="F41" s="189" t="s">
        <v>119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51"/>
      <c r="D42" s="4"/>
      <c r="E42" s="188" t="s">
        <v>120</v>
      </c>
      <c r="F42" s="189" t="s">
        <v>119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51"/>
      <c r="D43" s="4"/>
      <c r="E43" s="188" t="s">
        <v>121</v>
      </c>
      <c r="F43" s="189" t="s">
        <v>119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51"/>
      <c r="D44" s="4"/>
      <c r="E44" s="188" t="s">
        <v>122</v>
      </c>
      <c r="F44" s="189" t="s">
        <v>119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51"/>
      <c r="D45" s="4"/>
      <c r="E45" s="188" t="s">
        <v>1241</v>
      </c>
      <c r="F45" s="189" t="s">
        <v>119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51"/>
      <c r="D46" s="4"/>
      <c r="E46" s="188" t="s">
        <v>124</v>
      </c>
      <c r="F46" s="189" t="s">
        <v>125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51"/>
      <c r="D47" s="4"/>
      <c r="E47" s="188" t="s">
        <v>126</v>
      </c>
      <c r="F47" s="189" t="s">
        <v>119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5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5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5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F39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6.63"/>
    <col customWidth="1" min="2" max="2" width="19.13"/>
    <col customWidth="1" min="3" max="3" width="33.5"/>
    <col customWidth="1" min="4" max="4" width="11.25"/>
    <col customWidth="1" min="5" max="5" width="84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4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9.13"/>
    <col customWidth="1" min="17" max="17" width="13.88"/>
    <col customWidth="1" min="18" max="18" width="19.63"/>
    <col customWidth="1" min="19" max="19" width="24.5"/>
  </cols>
  <sheetData>
    <row r="1" ht="82.5" customHeight="1">
      <c r="A1" s="125" t="s">
        <v>1242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49.5" customHeight="1">
      <c r="A2" s="126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45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99" t="s">
        <v>252</v>
      </c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6" t="s">
        <v>7</v>
      </c>
      <c r="S3" s="6" t="s">
        <v>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45.0" customHeight="1">
      <c r="A4" s="10"/>
      <c r="B4" s="11"/>
      <c r="C4" s="11"/>
      <c r="D4" s="11"/>
      <c r="E4" s="11"/>
      <c r="F4" s="12" t="s">
        <v>9</v>
      </c>
      <c r="G4" s="7" t="s">
        <v>10</v>
      </c>
      <c r="H4" s="9"/>
      <c r="I4" s="7" t="s">
        <v>11</v>
      </c>
      <c r="J4" s="9"/>
      <c r="K4" s="6" t="s">
        <v>12</v>
      </c>
      <c r="L4" s="13"/>
      <c r="M4" s="13"/>
      <c r="N4" s="13"/>
      <c r="O4" s="6" t="s">
        <v>13</v>
      </c>
      <c r="P4" s="6" t="s">
        <v>14</v>
      </c>
      <c r="Q4" s="6" t="s">
        <v>15</v>
      </c>
      <c r="R4" s="11"/>
      <c r="S4" s="1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45.0" customHeight="1">
      <c r="A5" s="14"/>
      <c r="B5" s="9"/>
      <c r="C5" s="9"/>
      <c r="D5" s="9"/>
      <c r="E5" s="9"/>
      <c r="F5" s="9"/>
      <c r="G5" s="15" t="s">
        <v>16</v>
      </c>
      <c r="H5" s="15" t="s">
        <v>17</v>
      </c>
      <c r="I5" s="15" t="s">
        <v>18</v>
      </c>
      <c r="J5" s="15" t="s">
        <v>19</v>
      </c>
      <c r="K5" s="9"/>
      <c r="L5" s="15" t="s">
        <v>20</v>
      </c>
      <c r="M5" s="15" t="s">
        <v>21</v>
      </c>
      <c r="N5" s="15" t="s">
        <v>22</v>
      </c>
      <c r="O5" s="9"/>
      <c r="P5" s="9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45.0" customHeight="1">
      <c r="A6" s="16">
        <v>1.0</v>
      </c>
      <c r="B6" s="28">
        <v>45688.0</v>
      </c>
      <c r="C6" s="18" t="s">
        <v>1243</v>
      </c>
      <c r="D6" s="19">
        <v>67899.0</v>
      </c>
      <c r="E6" s="20" t="s">
        <v>1244</v>
      </c>
      <c r="F6" s="22"/>
      <c r="G6" s="22"/>
      <c r="H6" s="22"/>
      <c r="I6" s="21">
        <v>3600.0</v>
      </c>
      <c r="J6" s="21"/>
      <c r="K6" s="22"/>
      <c r="L6" s="22"/>
      <c r="M6" s="21"/>
      <c r="N6" s="22"/>
      <c r="O6" s="22"/>
      <c r="P6" s="24">
        <v>3600.0</v>
      </c>
      <c r="Q6" s="25">
        <f t="shared" ref="Q6:Q50" si="1">F6+G6+H6+I6+J6+K6+L6+M6+N6+O6-P6</f>
        <v>0</v>
      </c>
      <c r="R6" s="24" t="s">
        <v>28</v>
      </c>
      <c r="S6" s="26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ht="45.0" customHeight="1">
      <c r="A7" s="16">
        <v>2.0</v>
      </c>
      <c r="B7" s="28">
        <v>45688.0</v>
      </c>
      <c r="C7" s="18" t="s">
        <v>1245</v>
      </c>
      <c r="D7" s="19">
        <v>67797.0</v>
      </c>
      <c r="E7" s="20" t="s">
        <v>261</v>
      </c>
      <c r="F7" s="21"/>
      <c r="G7" s="22"/>
      <c r="H7" s="22"/>
      <c r="I7" s="30"/>
      <c r="J7" s="22">
        <v>15000.0</v>
      </c>
      <c r="K7" s="31"/>
      <c r="L7" s="22"/>
      <c r="M7" s="22"/>
      <c r="N7" s="22"/>
      <c r="O7" s="22"/>
      <c r="P7" s="24">
        <v>15000.0</v>
      </c>
      <c r="Q7" s="25">
        <f t="shared" si="1"/>
        <v>0</v>
      </c>
      <c r="R7" s="24" t="s">
        <v>28</v>
      </c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45.0" customHeight="1">
      <c r="A8" s="16">
        <v>3.0</v>
      </c>
      <c r="B8" s="28">
        <v>45688.0</v>
      </c>
      <c r="C8" s="18" t="s">
        <v>1246</v>
      </c>
      <c r="D8" s="19">
        <v>35227.0</v>
      </c>
      <c r="E8" s="20" t="s">
        <v>219</v>
      </c>
      <c r="F8" s="21"/>
      <c r="G8" s="22"/>
      <c r="H8" s="22"/>
      <c r="I8" s="21">
        <v>2500.0</v>
      </c>
      <c r="J8" s="22"/>
      <c r="K8" s="21"/>
      <c r="L8" s="22"/>
      <c r="M8" s="22"/>
      <c r="N8" s="22"/>
      <c r="O8" s="22"/>
      <c r="P8" s="24">
        <v>2500.0</v>
      </c>
      <c r="Q8" s="25">
        <f t="shared" si="1"/>
        <v>0</v>
      </c>
      <c r="R8" s="24" t="s">
        <v>46</v>
      </c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ht="45.0" customHeight="1">
      <c r="A9" s="16">
        <v>4.0</v>
      </c>
      <c r="B9" s="32">
        <v>45688.0</v>
      </c>
      <c r="C9" s="33" t="s">
        <v>1247</v>
      </c>
      <c r="D9" s="34">
        <v>83598.0</v>
      </c>
      <c r="E9" s="35" t="s">
        <v>314</v>
      </c>
      <c r="F9" s="30"/>
      <c r="G9" s="36"/>
      <c r="H9" s="36"/>
      <c r="I9" s="30">
        <v>4500.0</v>
      </c>
      <c r="J9" s="30"/>
      <c r="K9" s="37"/>
      <c r="L9" s="36"/>
      <c r="M9" s="36"/>
      <c r="N9" s="36"/>
      <c r="O9" s="36"/>
      <c r="P9" s="38">
        <v>4500.0</v>
      </c>
      <c r="Q9" s="25">
        <f t="shared" si="1"/>
        <v>0</v>
      </c>
      <c r="R9" s="38" t="s">
        <v>31</v>
      </c>
      <c r="S9" s="2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45.0" customHeight="1">
      <c r="A10" s="16">
        <v>5.0</v>
      </c>
      <c r="B10" s="32">
        <v>45688.0</v>
      </c>
      <c r="C10" s="33" t="s">
        <v>1248</v>
      </c>
      <c r="D10" s="34">
        <v>57499.0</v>
      </c>
      <c r="E10" s="35" t="s">
        <v>50</v>
      </c>
      <c r="F10" s="30"/>
      <c r="G10" s="36"/>
      <c r="H10" s="36"/>
      <c r="I10" s="30"/>
      <c r="J10" s="30">
        <v>1800.0</v>
      </c>
      <c r="K10" s="37"/>
      <c r="L10" s="36"/>
      <c r="M10" s="36"/>
      <c r="N10" s="36"/>
      <c r="O10" s="36"/>
      <c r="P10" s="38">
        <v>1800.0</v>
      </c>
      <c r="Q10" s="25">
        <f t="shared" si="1"/>
        <v>0</v>
      </c>
      <c r="R10" s="38" t="s">
        <v>46</v>
      </c>
      <c r="S10" s="2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45.0" customHeight="1">
      <c r="A11" s="16">
        <v>6.0</v>
      </c>
      <c r="B11" s="32">
        <v>45688.0</v>
      </c>
      <c r="C11" s="33" t="s">
        <v>1249</v>
      </c>
      <c r="D11" s="34">
        <v>53249.0</v>
      </c>
      <c r="E11" s="35" t="s">
        <v>269</v>
      </c>
      <c r="F11" s="30"/>
      <c r="G11" s="36"/>
      <c r="H11" s="36"/>
      <c r="I11" s="30"/>
      <c r="J11" s="30">
        <v>15000.0</v>
      </c>
      <c r="K11" s="37"/>
      <c r="L11" s="36"/>
      <c r="M11" s="36"/>
      <c r="N11" s="36"/>
      <c r="O11" s="36"/>
      <c r="P11" s="38">
        <v>15000.0</v>
      </c>
      <c r="Q11" s="25">
        <f t="shared" si="1"/>
        <v>0</v>
      </c>
      <c r="R11" s="38" t="s">
        <v>31</v>
      </c>
      <c r="S11" s="2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45.0" customHeight="1">
      <c r="A12" s="16">
        <v>7.0</v>
      </c>
      <c r="B12" s="32">
        <v>45688.0</v>
      </c>
      <c r="C12" s="33" t="s">
        <v>1250</v>
      </c>
      <c r="D12" s="34">
        <v>85011.0</v>
      </c>
      <c r="E12" s="35" t="s">
        <v>1251</v>
      </c>
      <c r="F12" s="30"/>
      <c r="G12" s="36"/>
      <c r="H12" s="36"/>
      <c r="I12" s="30"/>
      <c r="J12" s="30">
        <v>5300.0</v>
      </c>
      <c r="K12" s="37"/>
      <c r="L12" s="36"/>
      <c r="M12" s="36"/>
      <c r="N12" s="36"/>
      <c r="O12" s="36"/>
      <c r="P12" s="38">
        <v>5300.0</v>
      </c>
      <c r="Q12" s="25">
        <f t="shared" si="1"/>
        <v>0</v>
      </c>
      <c r="R12" s="38" t="s">
        <v>28</v>
      </c>
      <c r="S12" s="2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5.0" customHeight="1">
      <c r="A13" s="16">
        <v>8.0</v>
      </c>
      <c r="B13" s="32">
        <v>45688.0</v>
      </c>
      <c r="C13" s="33" t="s">
        <v>1252</v>
      </c>
      <c r="D13" s="34">
        <v>22332.0</v>
      </c>
      <c r="E13" s="35" t="s">
        <v>350</v>
      </c>
      <c r="F13" s="30"/>
      <c r="G13" s="36"/>
      <c r="H13" s="36"/>
      <c r="I13" s="30">
        <v>2650.0</v>
      </c>
      <c r="J13" s="30"/>
      <c r="K13" s="37"/>
      <c r="L13" s="36"/>
      <c r="M13" s="36"/>
      <c r="N13" s="36"/>
      <c r="O13" s="36"/>
      <c r="P13" s="38">
        <v>2650.0</v>
      </c>
      <c r="Q13" s="25">
        <f t="shared" si="1"/>
        <v>0</v>
      </c>
      <c r="R13" s="38" t="s">
        <v>46</v>
      </c>
      <c r="S13" s="26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45.0" customHeight="1">
      <c r="A14" s="16">
        <v>9.0</v>
      </c>
      <c r="B14" s="32">
        <v>45688.0</v>
      </c>
      <c r="C14" s="33" t="s">
        <v>1253</v>
      </c>
      <c r="D14" s="34">
        <v>67985.0</v>
      </c>
      <c r="E14" s="35" t="s">
        <v>1254</v>
      </c>
      <c r="F14" s="30"/>
      <c r="G14" s="36"/>
      <c r="H14" s="36"/>
      <c r="I14" s="30"/>
      <c r="J14" s="30">
        <v>2120.0</v>
      </c>
      <c r="K14" s="37"/>
      <c r="L14" s="36"/>
      <c r="M14" s="36"/>
      <c r="N14" s="36"/>
      <c r="O14" s="36"/>
      <c r="P14" s="38">
        <v>2120.0</v>
      </c>
      <c r="Q14" s="25">
        <f t="shared" si="1"/>
        <v>0</v>
      </c>
      <c r="R14" s="38" t="s">
        <v>512</v>
      </c>
      <c r="S14" s="2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45.0" customHeight="1">
      <c r="A15" s="16">
        <v>10.0</v>
      </c>
      <c r="B15" s="32">
        <v>45688.0</v>
      </c>
      <c r="C15" s="33" t="s">
        <v>1255</v>
      </c>
      <c r="D15" s="34">
        <v>10271.0</v>
      </c>
      <c r="E15" s="35" t="s">
        <v>566</v>
      </c>
      <c r="F15" s="30"/>
      <c r="G15" s="36"/>
      <c r="H15" s="36"/>
      <c r="I15" s="30"/>
      <c r="J15" s="30">
        <v>1000.0</v>
      </c>
      <c r="K15" s="37"/>
      <c r="L15" s="36"/>
      <c r="M15" s="36"/>
      <c r="N15" s="36"/>
      <c r="O15" s="36"/>
      <c r="P15" s="38">
        <v>1000.0</v>
      </c>
      <c r="Q15" s="25">
        <f t="shared" si="1"/>
        <v>0</v>
      </c>
      <c r="R15" s="38" t="s">
        <v>28</v>
      </c>
      <c r="S15" s="2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45.0" customHeight="1">
      <c r="A16" s="16">
        <v>11.0</v>
      </c>
      <c r="B16" s="32">
        <v>45688.0</v>
      </c>
      <c r="C16" s="33" t="s">
        <v>1256</v>
      </c>
      <c r="D16" s="34">
        <v>77501.0</v>
      </c>
      <c r="E16" s="35" t="s">
        <v>1257</v>
      </c>
      <c r="F16" s="30"/>
      <c r="G16" s="36"/>
      <c r="H16" s="36"/>
      <c r="I16" s="30"/>
      <c r="J16" s="30">
        <v>5550.0</v>
      </c>
      <c r="K16" s="37"/>
      <c r="L16" s="36"/>
      <c r="M16" s="36"/>
      <c r="N16" s="36"/>
      <c r="O16" s="36"/>
      <c r="P16" s="38">
        <v>5550.0</v>
      </c>
      <c r="Q16" s="25">
        <f t="shared" si="1"/>
        <v>0</v>
      </c>
      <c r="R16" s="38" t="s">
        <v>512</v>
      </c>
      <c r="S16" s="2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45.0" customHeight="1">
      <c r="A17" s="16">
        <v>12.0</v>
      </c>
      <c r="B17" s="32">
        <v>45688.0</v>
      </c>
      <c r="C17" s="33" t="s">
        <v>1258</v>
      </c>
      <c r="D17" s="34">
        <v>78161.0</v>
      </c>
      <c r="E17" s="35" t="s">
        <v>1259</v>
      </c>
      <c r="F17" s="30"/>
      <c r="G17" s="36"/>
      <c r="H17" s="36"/>
      <c r="I17" s="30"/>
      <c r="J17" s="30">
        <v>5100.0</v>
      </c>
      <c r="K17" s="37"/>
      <c r="L17" s="36"/>
      <c r="M17" s="36"/>
      <c r="N17" s="36"/>
      <c r="O17" s="36"/>
      <c r="P17" s="38">
        <v>5100.0</v>
      </c>
      <c r="Q17" s="25">
        <f t="shared" si="1"/>
        <v>0</v>
      </c>
      <c r="R17" s="38" t="s">
        <v>512</v>
      </c>
      <c r="S17" s="2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45.0" customHeight="1">
      <c r="A18" s="16">
        <v>13.0</v>
      </c>
      <c r="B18" s="32">
        <v>45688.0</v>
      </c>
      <c r="C18" s="33" t="s">
        <v>1260</v>
      </c>
      <c r="D18" s="34">
        <v>10249.0</v>
      </c>
      <c r="E18" s="35" t="s">
        <v>394</v>
      </c>
      <c r="F18" s="30"/>
      <c r="G18" s="36"/>
      <c r="H18" s="36"/>
      <c r="I18" s="30"/>
      <c r="J18" s="30">
        <v>2500.0</v>
      </c>
      <c r="K18" s="37"/>
      <c r="L18" s="36"/>
      <c r="M18" s="36"/>
      <c r="N18" s="36"/>
      <c r="O18" s="36"/>
      <c r="P18" s="38">
        <v>2500.0</v>
      </c>
      <c r="Q18" s="25">
        <f t="shared" si="1"/>
        <v>0</v>
      </c>
      <c r="R18" s="38" t="s">
        <v>512</v>
      </c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5.0" customHeight="1">
      <c r="A19" s="16">
        <v>14.0</v>
      </c>
      <c r="B19" s="32">
        <v>45688.0</v>
      </c>
      <c r="C19" s="33" t="s">
        <v>1261</v>
      </c>
      <c r="D19" s="34">
        <v>58257.0</v>
      </c>
      <c r="E19" s="35" t="s">
        <v>225</v>
      </c>
      <c r="F19" s="30"/>
      <c r="G19" s="36"/>
      <c r="H19" s="36"/>
      <c r="I19" s="30">
        <v>4320.0</v>
      </c>
      <c r="J19" s="30"/>
      <c r="K19" s="37"/>
      <c r="L19" s="36"/>
      <c r="M19" s="36"/>
      <c r="N19" s="36"/>
      <c r="O19" s="36"/>
      <c r="P19" s="38">
        <v>4320.0</v>
      </c>
      <c r="Q19" s="25">
        <f t="shared" si="1"/>
        <v>0</v>
      </c>
      <c r="R19" s="38" t="s">
        <v>31</v>
      </c>
      <c r="S19" s="2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5.0" customHeight="1">
      <c r="A20" s="16">
        <v>15.0</v>
      </c>
      <c r="B20" s="32">
        <v>45688.0</v>
      </c>
      <c r="C20" s="33" t="s">
        <v>1262</v>
      </c>
      <c r="D20" s="34">
        <v>78096.0</v>
      </c>
      <c r="E20" s="35" t="s">
        <v>1263</v>
      </c>
      <c r="F20" s="30"/>
      <c r="G20" s="36"/>
      <c r="H20" s="36"/>
      <c r="I20" s="30">
        <v>10000.0</v>
      </c>
      <c r="J20" s="30"/>
      <c r="K20" s="37"/>
      <c r="L20" s="36"/>
      <c r="M20" s="36"/>
      <c r="N20" s="36"/>
      <c r="O20" s="36"/>
      <c r="P20" s="38">
        <v>10000.0</v>
      </c>
      <c r="Q20" s="25">
        <f t="shared" si="1"/>
        <v>0</v>
      </c>
      <c r="R20" s="38" t="s">
        <v>28</v>
      </c>
      <c r="S20" s="2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5.0" customHeight="1">
      <c r="A21" s="16">
        <v>16.0</v>
      </c>
      <c r="B21" s="32">
        <v>45688.0</v>
      </c>
      <c r="C21" s="33" t="s">
        <v>1264</v>
      </c>
      <c r="D21" s="34">
        <v>84859.0</v>
      </c>
      <c r="E21" s="35" t="s">
        <v>1265</v>
      </c>
      <c r="F21" s="30"/>
      <c r="G21" s="36"/>
      <c r="H21" s="36"/>
      <c r="I21" s="30"/>
      <c r="J21" s="30"/>
      <c r="K21" s="37"/>
      <c r="L21" s="36"/>
      <c r="M21" s="36">
        <v>4500.0</v>
      </c>
      <c r="N21" s="36"/>
      <c r="O21" s="36"/>
      <c r="P21" s="38">
        <v>4500.0</v>
      </c>
      <c r="Q21" s="25">
        <f t="shared" si="1"/>
        <v>0</v>
      </c>
      <c r="R21" s="38" t="s">
        <v>31</v>
      </c>
      <c r="S21" s="26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5.0" customHeight="1">
      <c r="A22" s="16">
        <v>17.0</v>
      </c>
      <c r="B22" s="32">
        <v>45688.0</v>
      </c>
      <c r="C22" s="33" t="s">
        <v>1266</v>
      </c>
      <c r="D22" s="34">
        <v>40893.0</v>
      </c>
      <c r="E22" s="35" t="s">
        <v>532</v>
      </c>
      <c r="F22" s="30"/>
      <c r="G22" s="36"/>
      <c r="H22" s="36"/>
      <c r="I22" s="30"/>
      <c r="J22" s="30"/>
      <c r="K22" s="37"/>
      <c r="L22" s="36"/>
      <c r="M22" s="36">
        <v>1850.0</v>
      </c>
      <c r="N22" s="36"/>
      <c r="O22" s="36"/>
      <c r="P22" s="38">
        <v>1850.0</v>
      </c>
      <c r="Q22" s="25">
        <f t="shared" si="1"/>
        <v>0</v>
      </c>
      <c r="R22" s="38" t="s">
        <v>31</v>
      </c>
      <c r="S22" s="26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5.0" customHeight="1">
      <c r="A23" s="16">
        <v>18.0</v>
      </c>
      <c r="B23" s="32">
        <v>45688.0</v>
      </c>
      <c r="C23" s="33" t="s">
        <v>1267</v>
      </c>
      <c r="D23" s="34">
        <v>19688.0</v>
      </c>
      <c r="E23" s="35" t="s">
        <v>300</v>
      </c>
      <c r="F23" s="30"/>
      <c r="G23" s="36"/>
      <c r="H23" s="36"/>
      <c r="I23" s="30"/>
      <c r="J23" s="30">
        <v>10000.0</v>
      </c>
      <c r="K23" s="37"/>
      <c r="L23" s="36"/>
      <c r="M23" s="36"/>
      <c r="N23" s="36"/>
      <c r="O23" s="36"/>
      <c r="P23" s="38">
        <v>10000.0</v>
      </c>
      <c r="Q23" s="25">
        <f t="shared" si="1"/>
        <v>0</v>
      </c>
      <c r="R23" s="38" t="s">
        <v>31</v>
      </c>
      <c r="S23" s="26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5.0" customHeight="1">
      <c r="A24" s="16">
        <v>19.0</v>
      </c>
      <c r="B24" s="32">
        <v>45688.0</v>
      </c>
      <c r="C24" s="33" t="s">
        <v>1268</v>
      </c>
      <c r="D24" s="34">
        <v>32886.0</v>
      </c>
      <c r="E24" s="35" t="s">
        <v>1269</v>
      </c>
      <c r="F24" s="30"/>
      <c r="G24" s="36"/>
      <c r="H24" s="36"/>
      <c r="I24" s="30">
        <v>1300.0</v>
      </c>
      <c r="J24" s="30"/>
      <c r="K24" s="37"/>
      <c r="L24" s="36"/>
      <c r="M24" s="36"/>
      <c r="N24" s="36"/>
      <c r="O24" s="36"/>
      <c r="P24" s="38">
        <v>1300.0</v>
      </c>
      <c r="Q24" s="25">
        <f t="shared" si="1"/>
        <v>0</v>
      </c>
      <c r="R24" s="38" t="s">
        <v>31</v>
      </c>
      <c r="S24" s="26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5.0" customHeight="1">
      <c r="A25" s="16">
        <v>20.0</v>
      </c>
      <c r="B25" s="32">
        <v>45688.0</v>
      </c>
      <c r="C25" s="33" t="s">
        <v>1270</v>
      </c>
      <c r="D25" s="34">
        <v>59244.0</v>
      </c>
      <c r="E25" s="35" t="s">
        <v>130</v>
      </c>
      <c r="F25" s="30"/>
      <c r="G25" s="36"/>
      <c r="H25" s="36"/>
      <c r="I25" s="30">
        <v>3400.0</v>
      </c>
      <c r="J25" s="30"/>
      <c r="K25" s="37"/>
      <c r="L25" s="36"/>
      <c r="M25" s="36"/>
      <c r="N25" s="36"/>
      <c r="O25" s="36"/>
      <c r="P25" s="38">
        <v>3400.0</v>
      </c>
      <c r="Q25" s="25">
        <f t="shared" si="1"/>
        <v>0</v>
      </c>
      <c r="R25" s="38" t="s">
        <v>28</v>
      </c>
      <c r="S25" s="26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5.0" customHeight="1">
      <c r="A26" s="16">
        <v>21.0</v>
      </c>
      <c r="B26" s="32">
        <v>45688.0</v>
      </c>
      <c r="C26" s="33" t="s">
        <v>1271</v>
      </c>
      <c r="D26" s="34">
        <v>10701.0</v>
      </c>
      <c r="E26" s="35" t="s">
        <v>1272</v>
      </c>
      <c r="F26" s="30"/>
      <c r="G26" s="36"/>
      <c r="H26" s="36"/>
      <c r="I26" s="30">
        <v>3700.0</v>
      </c>
      <c r="J26" s="30"/>
      <c r="K26" s="37"/>
      <c r="L26" s="36"/>
      <c r="M26" s="36"/>
      <c r="N26" s="36"/>
      <c r="O26" s="36"/>
      <c r="P26" s="38">
        <v>3700.0</v>
      </c>
      <c r="Q26" s="25">
        <f t="shared" si="1"/>
        <v>0</v>
      </c>
      <c r="R26" s="38" t="s">
        <v>31</v>
      </c>
      <c r="S26" s="26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5.0" customHeight="1">
      <c r="A27" s="16">
        <v>22.0</v>
      </c>
      <c r="B27" s="32">
        <v>45688.0</v>
      </c>
      <c r="C27" s="33" t="s">
        <v>1273</v>
      </c>
      <c r="D27" s="34">
        <v>67621.0</v>
      </c>
      <c r="E27" s="35" t="s">
        <v>56</v>
      </c>
      <c r="F27" s="30"/>
      <c r="G27" s="36"/>
      <c r="H27" s="36"/>
      <c r="I27" s="30">
        <v>350.0</v>
      </c>
      <c r="J27" s="30"/>
      <c r="K27" s="37"/>
      <c r="L27" s="36"/>
      <c r="M27" s="36"/>
      <c r="N27" s="36"/>
      <c r="O27" s="36"/>
      <c r="P27" s="38">
        <v>350.0</v>
      </c>
      <c r="Q27" s="25">
        <f t="shared" si="1"/>
        <v>0</v>
      </c>
      <c r="R27" s="38" t="s">
        <v>31</v>
      </c>
      <c r="S27" s="26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45.0" customHeight="1">
      <c r="A28" s="16">
        <v>23.0</v>
      </c>
      <c r="B28" s="32">
        <v>45688.0</v>
      </c>
      <c r="C28" s="33" t="s">
        <v>1274</v>
      </c>
      <c r="D28" s="34">
        <v>35245.0</v>
      </c>
      <c r="E28" s="35" t="s">
        <v>106</v>
      </c>
      <c r="F28" s="30"/>
      <c r="G28" s="36"/>
      <c r="H28" s="36"/>
      <c r="I28" s="30"/>
      <c r="J28" s="30"/>
      <c r="K28" s="37">
        <v>32375.0</v>
      </c>
      <c r="L28" s="36"/>
      <c r="M28" s="36"/>
      <c r="N28" s="36"/>
      <c r="O28" s="36"/>
      <c r="P28" s="38">
        <v>32375.0</v>
      </c>
      <c r="Q28" s="25">
        <f t="shared" si="1"/>
        <v>0</v>
      </c>
      <c r="R28" s="38" t="s">
        <v>46</v>
      </c>
      <c r="S28" s="26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5.0" customHeight="1">
      <c r="A29" s="16">
        <v>24.0</v>
      </c>
      <c r="B29" s="32">
        <v>45688.0</v>
      </c>
      <c r="C29" s="33" t="s">
        <v>1275</v>
      </c>
      <c r="D29" s="34">
        <v>53249.0</v>
      </c>
      <c r="E29" s="35" t="s">
        <v>269</v>
      </c>
      <c r="F29" s="30"/>
      <c r="G29" s="36"/>
      <c r="H29" s="36"/>
      <c r="I29" s="30"/>
      <c r="J29" s="30">
        <v>16300.0</v>
      </c>
      <c r="K29" s="37">
        <v>100.0</v>
      </c>
      <c r="L29" s="36"/>
      <c r="M29" s="36"/>
      <c r="N29" s="36"/>
      <c r="O29" s="36"/>
      <c r="P29" s="38">
        <v>16400.0</v>
      </c>
      <c r="Q29" s="25">
        <f t="shared" si="1"/>
        <v>0</v>
      </c>
      <c r="R29" s="38" t="s">
        <v>31</v>
      </c>
      <c r="S29" s="26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45.0" customHeight="1">
      <c r="A30" s="16">
        <v>25.0</v>
      </c>
      <c r="B30" s="32">
        <v>45688.0</v>
      </c>
      <c r="C30" s="33" t="s">
        <v>1276</v>
      </c>
      <c r="D30" s="34">
        <v>85559.0</v>
      </c>
      <c r="E30" s="35" t="s">
        <v>27</v>
      </c>
      <c r="F30" s="30"/>
      <c r="G30" s="36"/>
      <c r="H30" s="36"/>
      <c r="I30" s="30">
        <v>1780.0</v>
      </c>
      <c r="J30" s="30"/>
      <c r="K30" s="37"/>
      <c r="L30" s="36"/>
      <c r="M30" s="36"/>
      <c r="N30" s="36"/>
      <c r="O30" s="36"/>
      <c r="P30" s="38">
        <v>1780.0</v>
      </c>
      <c r="Q30" s="25">
        <f t="shared" si="1"/>
        <v>0</v>
      </c>
      <c r="R30" s="38" t="s">
        <v>31</v>
      </c>
      <c r="S30" s="26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45.0" customHeight="1">
      <c r="A31" s="16">
        <v>26.0</v>
      </c>
      <c r="B31" s="32">
        <v>45687.0</v>
      </c>
      <c r="C31" s="33" t="s">
        <v>1277</v>
      </c>
      <c r="D31" s="34">
        <v>43380.0</v>
      </c>
      <c r="E31" s="35" t="s">
        <v>1278</v>
      </c>
      <c r="F31" s="30"/>
      <c r="G31" s="36"/>
      <c r="H31" s="36">
        <v>9000.0</v>
      </c>
      <c r="I31" s="30"/>
      <c r="J31" s="30"/>
      <c r="K31" s="37"/>
      <c r="L31" s="36"/>
      <c r="M31" s="36"/>
      <c r="N31" s="36"/>
      <c r="O31" s="36"/>
      <c r="P31" s="38">
        <v>9000.0</v>
      </c>
      <c r="Q31" s="25">
        <f t="shared" si="1"/>
        <v>0</v>
      </c>
      <c r="R31" s="38"/>
      <c r="S31" s="26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45.0" customHeight="1">
      <c r="A32" s="16">
        <v>27.0</v>
      </c>
      <c r="B32" s="32">
        <v>45687.0</v>
      </c>
      <c r="C32" s="33" t="s">
        <v>1279</v>
      </c>
      <c r="D32" s="34">
        <v>83056.0</v>
      </c>
      <c r="E32" s="35" t="s">
        <v>564</v>
      </c>
      <c r="F32" s="30"/>
      <c r="G32" s="36"/>
      <c r="H32" s="36"/>
      <c r="I32" s="30"/>
      <c r="J32" s="30"/>
      <c r="K32" s="37">
        <v>3600.0</v>
      </c>
      <c r="L32" s="36"/>
      <c r="M32" s="36"/>
      <c r="N32" s="36"/>
      <c r="O32" s="36"/>
      <c r="P32" s="38">
        <v>3600.0</v>
      </c>
      <c r="Q32" s="25">
        <f t="shared" si="1"/>
        <v>0</v>
      </c>
      <c r="R32" s="38"/>
      <c r="S32" s="26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45.0" customHeight="1">
      <c r="A33" s="16">
        <v>28.0</v>
      </c>
      <c r="B33" s="32">
        <v>45687.0</v>
      </c>
      <c r="C33" s="33" t="s">
        <v>1280</v>
      </c>
      <c r="D33" s="34">
        <v>54763.0</v>
      </c>
      <c r="E33" s="35" t="s">
        <v>24</v>
      </c>
      <c r="F33" s="30"/>
      <c r="G33" s="36"/>
      <c r="H33" s="36"/>
      <c r="I33" s="30"/>
      <c r="J33" s="30"/>
      <c r="K33" s="37"/>
      <c r="L33" s="36"/>
      <c r="M33" s="36">
        <v>210.0</v>
      </c>
      <c r="N33" s="36"/>
      <c r="O33" s="36"/>
      <c r="P33" s="38">
        <v>210.0</v>
      </c>
      <c r="Q33" s="25">
        <f t="shared" si="1"/>
        <v>0</v>
      </c>
      <c r="R33" s="38"/>
      <c r="S33" s="26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5.0" customHeight="1">
      <c r="A34" s="16">
        <v>29.0</v>
      </c>
      <c r="B34" s="32">
        <v>45687.0</v>
      </c>
      <c r="C34" s="33" t="s">
        <v>1281</v>
      </c>
      <c r="D34" s="34">
        <v>82932.0</v>
      </c>
      <c r="E34" s="35" t="s">
        <v>1282</v>
      </c>
      <c r="F34" s="30"/>
      <c r="G34" s="36"/>
      <c r="H34" s="36"/>
      <c r="I34" s="30"/>
      <c r="J34" s="30"/>
      <c r="K34" s="37"/>
      <c r="L34" s="36"/>
      <c r="M34" s="36">
        <v>550.0</v>
      </c>
      <c r="N34" s="36"/>
      <c r="O34" s="36"/>
      <c r="P34" s="38">
        <v>550.0</v>
      </c>
      <c r="Q34" s="25">
        <f t="shared" si="1"/>
        <v>0</v>
      </c>
      <c r="R34" s="38"/>
      <c r="S34" s="26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45.0" customHeight="1">
      <c r="A35" s="16">
        <v>30.0</v>
      </c>
      <c r="B35" s="32">
        <v>45687.0</v>
      </c>
      <c r="C35" s="33" t="s">
        <v>1283</v>
      </c>
      <c r="D35" s="34">
        <v>80151.0</v>
      </c>
      <c r="E35" s="35" t="s">
        <v>1284</v>
      </c>
      <c r="F35" s="30"/>
      <c r="G35" s="36"/>
      <c r="H35" s="36"/>
      <c r="I35" s="30"/>
      <c r="J35" s="30"/>
      <c r="K35" s="37">
        <v>2500.0</v>
      </c>
      <c r="L35" s="36"/>
      <c r="M35" s="36"/>
      <c r="N35" s="36"/>
      <c r="O35" s="36"/>
      <c r="P35" s="38">
        <v>2500.0</v>
      </c>
      <c r="Q35" s="25">
        <f t="shared" si="1"/>
        <v>0</v>
      </c>
      <c r="R35" s="38"/>
      <c r="S35" s="26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45.0" customHeight="1">
      <c r="A36" s="16">
        <v>31.0</v>
      </c>
      <c r="B36" s="32">
        <v>45687.0</v>
      </c>
      <c r="C36" s="33" t="s">
        <v>1285</v>
      </c>
      <c r="D36" s="34">
        <v>51017.0</v>
      </c>
      <c r="E36" s="35" t="s">
        <v>167</v>
      </c>
      <c r="F36" s="30"/>
      <c r="G36" s="36"/>
      <c r="H36" s="36">
        <v>15000.0</v>
      </c>
      <c r="I36" s="30"/>
      <c r="J36" s="30"/>
      <c r="K36" s="37"/>
      <c r="L36" s="36"/>
      <c r="M36" s="36"/>
      <c r="N36" s="36"/>
      <c r="O36" s="36"/>
      <c r="P36" s="38">
        <v>15000.0</v>
      </c>
      <c r="Q36" s="25">
        <f t="shared" si="1"/>
        <v>0</v>
      </c>
      <c r="R36" s="38"/>
      <c r="S36" s="26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45.0" customHeight="1">
      <c r="A37" s="16">
        <v>32.0</v>
      </c>
      <c r="B37" s="32">
        <v>45687.0</v>
      </c>
      <c r="C37" s="33" t="s">
        <v>1286</v>
      </c>
      <c r="D37" s="34">
        <v>80175.0</v>
      </c>
      <c r="E37" s="35" t="s">
        <v>1287</v>
      </c>
      <c r="F37" s="30"/>
      <c r="G37" s="36"/>
      <c r="H37" s="36">
        <v>2500.0</v>
      </c>
      <c r="I37" s="30"/>
      <c r="J37" s="30"/>
      <c r="K37" s="37"/>
      <c r="L37" s="36"/>
      <c r="M37" s="36"/>
      <c r="N37" s="36"/>
      <c r="O37" s="36"/>
      <c r="P37" s="38">
        <v>2500.0</v>
      </c>
      <c r="Q37" s="25">
        <f t="shared" si="1"/>
        <v>0</v>
      </c>
      <c r="R37" s="38"/>
      <c r="S37" s="26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</row>
    <row r="38" ht="45.0" customHeight="1">
      <c r="A38" s="16">
        <v>33.0</v>
      </c>
      <c r="B38" s="32">
        <v>45687.0</v>
      </c>
      <c r="C38" s="33" t="s">
        <v>1288</v>
      </c>
      <c r="D38" s="34">
        <v>86136.0</v>
      </c>
      <c r="E38" s="35" t="s">
        <v>1234</v>
      </c>
      <c r="F38" s="30"/>
      <c r="G38" s="36"/>
      <c r="H38" s="36">
        <v>2400.0</v>
      </c>
      <c r="I38" s="30"/>
      <c r="J38" s="30"/>
      <c r="K38" s="37"/>
      <c r="L38" s="36"/>
      <c r="M38" s="36"/>
      <c r="N38" s="36"/>
      <c r="O38" s="36"/>
      <c r="P38" s="38">
        <v>2400.0</v>
      </c>
      <c r="Q38" s="25">
        <f t="shared" si="1"/>
        <v>0</v>
      </c>
      <c r="R38" s="38"/>
      <c r="S38" s="26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 ht="45.0" customHeight="1">
      <c r="A39" s="16">
        <v>34.0</v>
      </c>
      <c r="B39" s="32">
        <v>45688.0</v>
      </c>
      <c r="C39" s="33" t="s">
        <v>1289</v>
      </c>
      <c r="D39" s="34">
        <v>55901.0</v>
      </c>
      <c r="E39" s="35" t="s">
        <v>1290</v>
      </c>
      <c r="F39" s="30"/>
      <c r="G39" s="36"/>
      <c r="H39" s="36">
        <v>2600.0</v>
      </c>
      <c r="I39" s="30"/>
      <c r="J39" s="30"/>
      <c r="K39" s="37"/>
      <c r="L39" s="36"/>
      <c r="M39" s="36"/>
      <c r="N39" s="36"/>
      <c r="O39" s="36"/>
      <c r="P39" s="38">
        <v>2600.0</v>
      </c>
      <c r="Q39" s="25">
        <f t="shared" si="1"/>
        <v>0</v>
      </c>
      <c r="R39" s="38"/>
      <c r="S39" s="26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 ht="45.0" customHeight="1">
      <c r="A40" s="16">
        <v>35.0</v>
      </c>
      <c r="B40" s="32">
        <v>45688.0</v>
      </c>
      <c r="C40" s="33" t="s">
        <v>1291</v>
      </c>
      <c r="D40" s="34">
        <v>48193.0</v>
      </c>
      <c r="E40" s="35" t="s">
        <v>1292</v>
      </c>
      <c r="F40" s="30"/>
      <c r="G40" s="36"/>
      <c r="H40" s="36"/>
      <c r="I40" s="30"/>
      <c r="J40" s="30"/>
      <c r="K40" s="37"/>
      <c r="L40" s="36"/>
      <c r="M40" s="36">
        <v>4600.0</v>
      </c>
      <c r="N40" s="36"/>
      <c r="O40" s="36"/>
      <c r="P40" s="38">
        <v>4600.0</v>
      </c>
      <c r="Q40" s="25">
        <f t="shared" si="1"/>
        <v>0</v>
      </c>
      <c r="R40" s="38"/>
      <c r="S40" s="26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</row>
    <row r="41" ht="45.0" customHeight="1">
      <c r="A41" s="16">
        <v>36.0</v>
      </c>
      <c r="B41" s="32">
        <v>45688.0</v>
      </c>
      <c r="C41" s="33" t="s">
        <v>1293</v>
      </c>
      <c r="D41" s="34">
        <v>10006.0</v>
      </c>
      <c r="E41" s="35" t="s">
        <v>889</v>
      </c>
      <c r="F41" s="30"/>
      <c r="G41" s="36"/>
      <c r="H41" s="36"/>
      <c r="I41" s="30"/>
      <c r="J41" s="30"/>
      <c r="K41" s="37">
        <v>2400.0</v>
      </c>
      <c r="L41" s="36"/>
      <c r="M41" s="36"/>
      <c r="N41" s="36"/>
      <c r="O41" s="36"/>
      <c r="P41" s="38">
        <v>2400.0</v>
      </c>
      <c r="Q41" s="25">
        <f t="shared" si="1"/>
        <v>0</v>
      </c>
      <c r="R41" s="38"/>
      <c r="S41" s="26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</row>
    <row r="42" ht="45.0" customHeight="1">
      <c r="A42" s="16">
        <v>37.0</v>
      </c>
      <c r="B42" s="32">
        <v>45688.0</v>
      </c>
      <c r="C42" s="33" t="s">
        <v>1294</v>
      </c>
      <c r="D42" s="34">
        <v>10271.0</v>
      </c>
      <c r="E42" s="35" t="s">
        <v>566</v>
      </c>
      <c r="F42" s="30"/>
      <c r="G42" s="36"/>
      <c r="H42" s="36">
        <v>4500.0</v>
      </c>
      <c r="I42" s="30"/>
      <c r="J42" s="30"/>
      <c r="K42" s="37"/>
      <c r="L42" s="36"/>
      <c r="M42" s="36"/>
      <c r="N42" s="36"/>
      <c r="O42" s="36"/>
      <c r="P42" s="38">
        <v>4500.0</v>
      </c>
      <c r="Q42" s="25">
        <f t="shared" si="1"/>
        <v>0</v>
      </c>
      <c r="R42" s="38"/>
      <c r="S42" s="26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 ht="45.0" customHeight="1">
      <c r="A43" s="16">
        <v>38.0</v>
      </c>
      <c r="B43" s="32">
        <v>45688.0</v>
      </c>
      <c r="C43" s="33" t="s">
        <v>1295</v>
      </c>
      <c r="D43" s="34">
        <v>80495.0</v>
      </c>
      <c r="E43" s="35" t="s">
        <v>1296</v>
      </c>
      <c r="F43" s="30"/>
      <c r="G43" s="36"/>
      <c r="H43" s="36"/>
      <c r="I43" s="30"/>
      <c r="J43" s="30"/>
      <c r="K43" s="37">
        <v>2500.0</v>
      </c>
      <c r="L43" s="36"/>
      <c r="M43" s="36"/>
      <c r="N43" s="36"/>
      <c r="O43" s="36"/>
      <c r="P43" s="38">
        <v>2500.0</v>
      </c>
      <c r="Q43" s="25">
        <f t="shared" si="1"/>
        <v>0</v>
      </c>
      <c r="R43" s="38"/>
      <c r="S43" s="26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</row>
    <row r="44" ht="45.0" customHeight="1">
      <c r="A44" s="16">
        <v>39.0</v>
      </c>
      <c r="B44" s="32">
        <v>45688.0</v>
      </c>
      <c r="C44" s="33" t="s">
        <v>1297</v>
      </c>
      <c r="D44" s="34">
        <v>10288.0</v>
      </c>
      <c r="E44" s="35" t="s">
        <v>263</v>
      </c>
      <c r="F44" s="30"/>
      <c r="G44" s="36"/>
      <c r="H44" s="36">
        <v>2500.0</v>
      </c>
      <c r="I44" s="30"/>
      <c r="J44" s="30"/>
      <c r="K44" s="37"/>
      <c r="L44" s="36"/>
      <c r="M44" s="36"/>
      <c r="N44" s="36"/>
      <c r="O44" s="36"/>
      <c r="P44" s="38">
        <v>2500.0</v>
      </c>
      <c r="Q44" s="25">
        <f t="shared" si="1"/>
        <v>0</v>
      </c>
      <c r="R44" s="38"/>
      <c r="S44" s="26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 ht="45.0" customHeight="1">
      <c r="A45" s="16">
        <v>40.0</v>
      </c>
      <c r="B45" s="32">
        <v>45688.0</v>
      </c>
      <c r="C45" s="33" t="s">
        <v>1298</v>
      </c>
      <c r="D45" s="34">
        <v>85460.0</v>
      </c>
      <c r="E45" s="35" t="s">
        <v>1299</v>
      </c>
      <c r="F45" s="30"/>
      <c r="G45" s="36"/>
      <c r="H45" s="36"/>
      <c r="I45" s="30"/>
      <c r="J45" s="30"/>
      <c r="K45" s="37">
        <v>3800.0</v>
      </c>
      <c r="L45" s="36"/>
      <c r="M45" s="36"/>
      <c r="N45" s="36"/>
      <c r="O45" s="36"/>
      <c r="P45" s="38">
        <v>3800.0</v>
      </c>
      <c r="Q45" s="25">
        <f t="shared" si="1"/>
        <v>0</v>
      </c>
      <c r="R45" s="38"/>
      <c r="S45" s="26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</row>
    <row r="46" ht="45.0" customHeight="1">
      <c r="A46" s="16">
        <v>41.0</v>
      </c>
      <c r="B46" s="32">
        <v>45688.0</v>
      </c>
      <c r="C46" s="33" t="s">
        <v>1300</v>
      </c>
      <c r="D46" s="34">
        <v>10006.0</v>
      </c>
      <c r="E46" s="35" t="s">
        <v>889</v>
      </c>
      <c r="F46" s="30"/>
      <c r="G46" s="36"/>
      <c r="H46" s="36">
        <v>450.0</v>
      </c>
      <c r="I46" s="30"/>
      <c r="J46" s="30"/>
      <c r="K46" s="37"/>
      <c r="L46" s="36"/>
      <c r="M46" s="36"/>
      <c r="N46" s="36"/>
      <c r="O46" s="36"/>
      <c r="P46" s="38">
        <v>450.0</v>
      </c>
      <c r="Q46" s="25">
        <f t="shared" si="1"/>
        <v>0</v>
      </c>
      <c r="R46" s="38"/>
      <c r="S46" s="26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 ht="45.0" customHeight="1">
      <c r="A47" s="16">
        <v>42.0</v>
      </c>
      <c r="B47" s="32">
        <v>45688.0</v>
      </c>
      <c r="C47" s="33" t="s">
        <v>1301</v>
      </c>
      <c r="D47" s="34">
        <v>77864.0</v>
      </c>
      <c r="E47" s="35" t="s">
        <v>1302</v>
      </c>
      <c r="F47" s="30"/>
      <c r="G47" s="36"/>
      <c r="H47" s="36">
        <v>5000.0</v>
      </c>
      <c r="I47" s="30"/>
      <c r="J47" s="30"/>
      <c r="K47" s="37"/>
      <c r="L47" s="36"/>
      <c r="M47" s="36"/>
      <c r="N47" s="36"/>
      <c r="O47" s="36"/>
      <c r="P47" s="38">
        <v>5000.0</v>
      </c>
      <c r="Q47" s="25">
        <f t="shared" si="1"/>
        <v>0</v>
      </c>
      <c r="R47" s="38"/>
      <c r="S47" s="26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</row>
    <row r="48" ht="45.0" customHeight="1">
      <c r="A48" s="16"/>
      <c r="B48" s="32"/>
      <c r="C48" s="33"/>
      <c r="D48" s="34"/>
      <c r="E48" s="35"/>
      <c r="F48" s="30"/>
      <c r="G48" s="36"/>
      <c r="H48" s="36"/>
      <c r="I48" s="30"/>
      <c r="J48" s="30"/>
      <c r="K48" s="37"/>
      <c r="L48" s="36"/>
      <c r="M48" s="36"/>
      <c r="N48" s="36"/>
      <c r="O48" s="36"/>
      <c r="P48" s="38"/>
      <c r="Q48" s="25">
        <f t="shared" si="1"/>
        <v>0</v>
      </c>
      <c r="R48" s="38"/>
      <c r="S48" s="26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</row>
    <row r="49" ht="45.0" customHeight="1">
      <c r="A49" s="16"/>
      <c r="B49" s="32"/>
      <c r="C49" s="33"/>
      <c r="D49" s="34"/>
      <c r="E49" s="35"/>
      <c r="F49" s="30"/>
      <c r="G49" s="36"/>
      <c r="H49" s="36"/>
      <c r="I49" s="30"/>
      <c r="J49" s="30"/>
      <c r="K49" s="37"/>
      <c r="L49" s="36"/>
      <c r="M49" s="36"/>
      <c r="N49" s="36"/>
      <c r="O49" s="36"/>
      <c r="P49" s="38"/>
      <c r="Q49" s="25">
        <f t="shared" si="1"/>
        <v>0</v>
      </c>
      <c r="R49" s="38"/>
      <c r="S49" s="26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</row>
    <row r="50" ht="45.0" customHeight="1">
      <c r="A50" s="16"/>
      <c r="B50" s="32"/>
      <c r="C50" s="33"/>
      <c r="D50" s="34"/>
      <c r="E50" s="35"/>
      <c r="F50" s="30"/>
      <c r="G50" s="36"/>
      <c r="H50" s="36"/>
      <c r="I50" s="30"/>
      <c r="J50" s="30"/>
      <c r="K50" s="37"/>
      <c r="L50" s="36"/>
      <c r="M50" s="36"/>
      <c r="N50" s="36"/>
      <c r="O50" s="36"/>
      <c r="P50" s="38"/>
      <c r="Q50" s="25">
        <f t="shared" si="1"/>
        <v>0</v>
      </c>
      <c r="R50" s="38"/>
      <c r="S50" s="26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</row>
    <row r="51" ht="45.0" customHeight="1">
      <c r="A51" s="127"/>
      <c r="B51" s="128"/>
      <c r="C51" s="129"/>
      <c r="D51" s="130"/>
      <c r="E51" s="131"/>
      <c r="F51" s="132">
        <f t="shared" ref="F51:P51" si="2">SUM(F6:F49)</f>
        <v>0</v>
      </c>
      <c r="G51" s="132">
        <f t="shared" si="2"/>
        <v>0</v>
      </c>
      <c r="H51" s="132">
        <f t="shared" si="2"/>
        <v>43950</v>
      </c>
      <c r="I51" s="132">
        <f t="shared" si="2"/>
        <v>38100</v>
      </c>
      <c r="J51" s="132">
        <f t="shared" si="2"/>
        <v>79670</v>
      </c>
      <c r="K51" s="132">
        <f t="shared" si="2"/>
        <v>47275</v>
      </c>
      <c r="L51" s="132">
        <f t="shared" si="2"/>
        <v>0</v>
      </c>
      <c r="M51" s="132">
        <f t="shared" si="2"/>
        <v>11710</v>
      </c>
      <c r="N51" s="132">
        <f t="shared" si="2"/>
        <v>0</v>
      </c>
      <c r="O51" s="132">
        <f t="shared" si="2"/>
        <v>0</v>
      </c>
      <c r="P51" s="132">
        <f t="shared" si="2"/>
        <v>220705</v>
      </c>
      <c r="Q51" s="132"/>
      <c r="R51" s="134"/>
      <c r="S51" s="135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</row>
    <row r="52" ht="45.0" customHeight="1">
      <c r="A52" s="136"/>
      <c r="B52" s="137"/>
      <c r="C52" s="138"/>
      <c r="D52" s="137"/>
      <c r="E52" s="137"/>
      <c r="F52" s="139">
        <f>F51+G51+H51+I51+J51+K51+L51+M51+N51+O51</f>
        <v>220705</v>
      </c>
      <c r="G52" s="2"/>
      <c r="H52" s="2"/>
      <c r="I52" s="2"/>
      <c r="J52" s="2"/>
      <c r="K52" s="2"/>
      <c r="L52" s="2"/>
      <c r="M52" s="2"/>
      <c r="N52" s="2"/>
      <c r="O52" s="2"/>
      <c r="P52" s="140"/>
      <c r="Q52" s="140"/>
      <c r="R52" s="137"/>
      <c r="S52" s="141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</row>
    <row r="53" ht="45.0" customHeight="1">
      <c r="A53" s="165" t="s">
        <v>445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45.0" customHeight="1">
      <c r="A54" s="166" t="s">
        <v>1</v>
      </c>
      <c r="B54" s="167" t="s">
        <v>2</v>
      </c>
      <c r="C54" s="167" t="s">
        <v>3</v>
      </c>
      <c r="D54" s="167" t="s">
        <v>4</v>
      </c>
      <c r="E54" s="167" t="s">
        <v>5</v>
      </c>
      <c r="F54" s="168" t="s">
        <v>252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167" t="s">
        <v>7</v>
      </c>
      <c r="S54" s="167" t="s">
        <v>8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45.0" customHeight="1">
      <c r="A55" s="10"/>
      <c r="B55" s="11"/>
      <c r="C55" s="11"/>
      <c r="D55" s="11"/>
      <c r="E55" s="11"/>
      <c r="F55" s="169" t="s">
        <v>9</v>
      </c>
      <c r="G55" s="170" t="s">
        <v>10</v>
      </c>
      <c r="H55" s="9"/>
      <c r="I55" s="170" t="s">
        <v>11</v>
      </c>
      <c r="J55" s="9"/>
      <c r="K55" s="167" t="s">
        <v>12</v>
      </c>
      <c r="L55" s="171"/>
      <c r="M55" s="171"/>
      <c r="N55" s="171"/>
      <c r="O55" s="172" t="s">
        <v>1303</v>
      </c>
      <c r="P55" s="167" t="s">
        <v>14</v>
      </c>
      <c r="Q55" s="167" t="s">
        <v>15</v>
      </c>
      <c r="R55" s="11"/>
      <c r="S55" s="1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63.0" customHeight="1">
      <c r="A56" s="14"/>
      <c r="B56" s="9"/>
      <c r="C56" s="9"/>
      <c r="D56" s="9"/>
      <c r="E56" s="9"/>
      <c r="F56" s="9"/>
      <c r="G56" s="173" t="s">
        <v>16</v>
      </c>
      <c r="H56" s="173" t="s">
        <v>17</v>
      </c>
      <c r="I56" s="173" t="s">
        <v>18</v>
      </c>
      <c r="J56" s="173" t="s">
        <v>19</v>
      </c>
      <c r="K56" s="9"/>
      <c r="L56" s="173" t="s">
        <v>20</v>
      </c>
      <c r="M56" s="173" t="s">
        <v>21</v>
      </c>
      <c r="N56" s="173" t="s">
        <v>22</v>
      </c>
      <c r="O56" s="9"/>
      <c r="P56" s="9"/>
      <c r="Q56" s="9"/>
      <c r="R56" s="9"/>
      <c r="S56" s="9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48.0" customHeight="1">
      <c r="A57" s="230">
        <v>1.0</v>
      </c>
      <c r="B57" s="231">
        <v>45688.0</v>
      </c>
      <c r="C57" s="206" t="s">
        <v>1304</v>
      </c>
      <c r="D57" s="204">
        <v>22332.0</v>
      </c>
      <c r="E57" s="204" t="s">
        <v>350</v>
      </c>
      <c r="F57" s="30"/>
      <c r="G57" s="36"/>
      <c r="H57" s="36"/>
      <c r="I57" s="30">
        <v>100.0</v>
      </c>
      <c r="J57" s="30"/>
      <c r="K57" s="37"/>
      <c r="L57" s="36"/>
      <c r="M57" s="36"/>
      <c r="N57" s="36"/>
      <c r="O57" s="36"/>
      <c r="P57" s="207"/>
      <c r="Q57" s="25">
        <f>F57+G57+H57+I57+J57+K57+L57+M57+N57+O57-P57</f>
        <v>100</v>
      </c>
      <c r="R57" s="38" t="s">
        <v>46</v>
      </c>
      <c r="S57" s="2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48.0" customHeight="1">
      <c r="A58" s="230">
        <v>2.0</v>
      </c>
      <c r="B58" s="205"/>
      <c r="C58" s="206"/>
      <c r="D58" s="204"/>
      <c r="E58" s="204"/>
      <c r="F58" s="30"/>
      <c r="G58" s="36"/>
      <c r="H58" s="36"/>
      <c r="I58" s="30"/>
      <c r="J58" s="30"/>
      <c r="K58" s="37"/>
      <c r="L58" s="36"/>
      <c r="M58" s="36"/>
      <c r="N58" s="36"/>
      <c r="O58" s="36"/>
      <c r="P58" s="207"/>
      <c r="Q58" s="25">
        <v>0.0</v>
      </c>
      <c r="R58" s="38"/>
      <c r="S58" s="2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48.0" customHeight="1">
      <c r="A59" s="230">
        <v>3.0</v>
      </c>
      <c r="B59" s="205"/>
      <c r="C59" s="206"/>
      <c r="D59" s="204"/>
      <c r="E59" s="204"/>
      <c r="F59" s="30"/>
      <c r="G59" s="36"/>
      <c r="H59" s="36"/>
      <c r="I59" s="30"/>
      <c r="J59" s="30"/>
      <c r="K59" s="37"/>
      <c r="L59" s="36"/>
      <c r="M59" s="36"/>
      <c r="N59" s="36"/>
      <c r="O59" s="36"/>
      <c r="P59" s="207"/>
      <c r="Q59" s="25">
        <f>F59+G59+H59+I59+J59+K59+L59+M59+N59+O59-P59</f>
        <v>0</v>
      </c>
      <c r="R59" s="38"/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58.5" customHeight="1">
      <c r="A60" s="174"/>
      <c r="B60" s="175"/>
      <c r="C60" s="176"/>
      <c r="D60" s="177" t="s">
        <v>115</v>
      </c>
      <c r="E60" s="178"/>
      <c r="F60" s="179">
        <f t="shared" ref="F60:G60" si="3">SUM(F59)</f>
        <v>0</v>
      </c>
      <c r="G60" s="179">
        <f t="shared" si="3"/>
        <v>0</v>
      </c>
      <c r="H60" s="179">
        <f t="shared" ref="H60:Q60" si="4">SUM(H57:H59)</f>
        <v>0</v>
      </c>
      <c r="I60" s="179">
        <f t="shared" si="4"/>
        <v>100</v>
      </c>
      <c r="J60" s="179">
        <f t="shared" si="4"/>
        <v>0</v>
      </c>
      <c r="K60" s="179">
        <f t="shared" si="4"/>
        <v>0</v>
      </c>
      <c r="L60" s="179">
        <f t="shared" si="4"/>
        <v>0</v>
      </c>
      <c r="M60" s="179">
        <f t="shared" si="4"/>
        <v>0</v>
      </c>
      <c r="N60" s="179">
        <f t="shared" si="4"/>
        <v>0</v>
      </c>
      <c r="O60" s="179">
        <f t="shared" si="4"/>
        <v>0</v>
      </c>
      <c r="P60" s="179">
        <f t="shared" si="4"/>
        <v>0</v>
      </c>
      <c r="Q60" s="179">
        <f t="shared" si="4"/>
        <v>100</v>
      </c>
      <c r="R60" s="178"/>
      <c r="S60" s="18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63.0" customHeight="1">
      <c r="A61" s="4"/>
      <c r="B61" s="4"/>
      <c r="C61" s="5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63.0" customHeight="1">
      <c r="A62" s="4"/>
      <c r="B62" s="4"/>
      <c r="C62" s="5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51"/>
      <c r="D63" s="4"/>
      <c r="E63" s="188" t="s">
        <v>118</v>
      </c>
      <c r="F63" s="189" t="s">
        <v>170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51"/>
      <c r="D64" s="4"/>
      <c r="E64" s="188" t="s">
        <v>120</v>
      </c>
      <c r="F64" s="189" t="s">
        <v>171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51"/>
      <c r="D65" s="4"/>
      <c r="E65" s="188" t="s">
        <v>121</v>
      </c>
      <c r="F65" s="189" t="s">
        <v>171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51"/>
      <c r="D66" s="4"/>
      <c r="E66" s="188" t="s">
        <v>122</v>
      </c>
      <c r="F66" s="189" t="s">
        <v>170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51"/>
      <c r="D67" s="4"/>
      <c r="E67" s="188" t="s">
        <v>1305</v>
      </c>
      <c r="F67" s="189" t="s">
        <v>171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51"/>
      <c r="D68" s="4"/>
      <c r="E68" s="188" t="s">
        <v>124</v>
      </c>
      <c r="F68" s="189" t="s">
        <v>317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51"/>
      <c r="D69" s="4"/>
      <c r="E69" s="188" t="s">
        <v>126</v>
      </c>
      <c r="F69" s="189" t="s">
        <v>171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</sheetData>
  <mergeCells count="34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54:D56"/>
    <mergeCell ref="E54:E56"/>
    <mergeCell ref="P4:P5"/>
    <mergeCell ref="Q4:Q5"/>
    <mergeCell ref="F52:O52"/>
    <mergeCell ref="A53:S53"/>
    <mergeCell ref="A54:A56"/>
    <mergeCell ref="B54:B56"/>
    <mergeCell ref="C54:C56"/>
    <mergeCell ref="S54:S56"/>
    <mergeCell ref="P55:P56"/>
    <mergeCell ref="Q55:Q56"/>
    <mergeCell ref="F54:Q54"/>
    <mergeCell ref="R54:R56"/>
    <mergeCell ref="F55:F56"/>
    <mergeCell ref="G55:H55"/>
    <mergeCell ref="I55:J55"/>
    <mergeCell ref="K55:K56"/>
    <mergeCell ref="O55:O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
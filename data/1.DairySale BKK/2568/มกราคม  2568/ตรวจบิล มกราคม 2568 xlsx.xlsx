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5 ม.ค. 68" sheetId="1" r:id="rId4"/>
    <sheet state="visible" name="16-30 ม.ค. 68" sheetId="2" r:id="rId5"/>
  </sheets>
  <definedNames/>
  <calcPr/>
  <extLst>
    <ext uri="GoogleSheetsCustomDataVersion2">
      <go:sheetsCustomData xmlns:go="http://customooxmlschemas.google.com/" r:id="rId6" roundtripDataChecksum="7tbMnDbIZ2j+TlQf7JKNzvgt4pu0HbzhWVTHrQd/Fu0="/>
    </ext>
  </extLst>
</workbook>
</file>

<file path=xl/sharedStrings.xml><?xml version="1.0" encoding="utf-8"?>
<sst xmlns="http://schemas.openxmlformats.org/spreadsheetml/2006/main" count="59" uniqueCount="20">
  <si>
    <t xml:space="preserve"> ตรวจบิล  เดือน มกราคม 2568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</si>
  <si>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</si>
  <si>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</si>
  <si>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</si>
  <si>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</si>
  <si>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</si>
  <si>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</si>
  <si>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จำนวนบิล</t>
  </si>
  <si>
    <t>มูลค่า</t>
  </si>
  <si>
    <t>คงเหลือ</t>
  </si>
  <si>
    <t>29/12/67- 03/01/68</t>
  </si>
  <si>
    <t>เอิง</t>
  </si>
  <si>
    <t>ผลต่าง 300 บาท มาจากบิล STHBKK012501000026 เนื่องจากระบบ ขึ้นยอดซ้ำ</t>
  </si>
  <si>
    <t>เกษ</t>
  </si>
  <si>
    <t>ผลต่าง 4,700 บาท มาจากบิล  STHBKK012501000203   ยกเลิกบิลเปิดบิลใหม่เรียบร้อย</t>
  </si>
  <si>
    <t xml:space="preserve"> ตรวจบิล  เดือน มกราคม 2568								</t>
  </si>
  <si>
    <t>ผลต่าง 7,300  บาท มาจากบิล  STHBKK012501000425 ยกเลิกบิลเปิดบิลใหม่เรียบร้อย</t>
  </si>
  <si>
    <t>เหน่ง</t>
  </si>
  <si>
    <t>ผลต่าง 32,000 บาท มาจากบิล STHBKK012501000504 ยกเลิกบิลเปิดบิลใหม่เรียบร้อย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</si>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</sst>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??_-;_-@"/>
    <numFmt numFmtId="165" formatCode="dd/mm/yy"/>
    <numFmt numFmtId="166" formatCode="d/m/yyyy"/>
  </numFmts>
  <fonts count="13">
    <font>
      <sz val="10.0"/>
      <color rgb="FF000000"/>
      <name val="Arial"/>
      <scheme val="minor"/>
    </font>
    <font>
      <b/>
      <sz val="31.0"/>
      <color theme="1"/>
      <name val="Arial"/>
    </font>
    <font/>
    <font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b/>
      <sz val="31.0"/>
      <color rgb="FFFF0000"/>
      <name val="Arial"/>
    </font>
    <font>
      <sz val="19.0"/>
      <color theme="1"/>
      <name val="Arial"/>
    </font>
    <font>
      <b/>
      <sz val="17.0"/>
      <color theme="1"/>
      <name val="Arial"/>
    </font>
    <font>
      <sz val="31.0"/>
      <color theme="1"/>
      <name val="Arial"/>
    </font>
    <font>
      <sz val="23.0"/>
      <color rgb="FFFF0000"/>
      <name val="Arial"/>
    </font>
    <font>
      <b/>
      <sz val="19.0"/>
      <color theme="1"/>
      <name val="Arial"/>
    </font>
    <font>
      <sz val="27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Border="1" applyFont="1"/>
    <xf borderId="2" fillId="0" fontId="2" numFmtId="0" xfId="0" applyBorder="1" applyFont="1"/>
    <xf borderId="0" fillId="0" fontId="3" numFmtId="0" xfId="0" applyFont="1"/>
    <xf borderId="3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vertical="center"/>
    </xf>
    <xf borderId="5" fillId="0" fontId="2" numFmtId="0" xfId="0" applyBorder="1" applyFont="1"/>
    <xf borderId="2" fillId="6" fontId="4" numFmtId="0" xfId="0" applyAlignment="1" applyBorder="1" applyFont="1">
      <alignment horizontal="center" vertical="center"/>
    </xf>
    <xf borderId="2" fillId="5" fontId="4" numFmtId="0" xfId="0" applyAlignment="1" applyBorder="1" applyFont="1">
      <alignment horizontal="center" vertical="center"/>
    </xf>
    <xf borderId="5" fillId="7" fontId="1" numFmtId="0" xfId="0" applyAlignment="1" applyBorder="1" applyFill="1" applyFont="1">
      <alignment horizontal="center" vertical="center"/>
    </xf>
    <xf borderId="2" fillId="0" fontId="1" numFmtId="38" xfId="0" applyAlignment="1" applyBorder="1" applyFont="1" applyNumberFormat="1">
      <alignment horizontal="center" vertical="center"/>
    </xf>
    <xf borderId="2" fillId="0" fontId="6" numFmtId="164" xfId="0" applyAlignment="1" applyBorder="1" applyFont="1" applyNumberFormat="1">
      <alignment horizontal="right" vertical="center"/>
    </xf>
    <xf borderId="2" fillId="0" fontId="1" numFmtId="0" xfId="0" applyAlignment="1" applyBorder="1" applyFont="1">
      <alignment horizontal="center" vertical="center"/>
    </xf>
    <xf borderId="2" fillId="8" fontId="7" numFmtId="0" xfId="0" applyAlignment="1" applyBorder="1" applyFill="1" applyFont="1">
      <alignment horizontal="center" vertical="center"/>
    </xf>
    <xf borderId="0" fillId="7" fontId="3" numFmtId="0" xfId="0" applyAlignment="1" applyFont="1">
      <alignment vertical="center"/>
    </xf>
    <xf borderId="5" fillId="7" fontId="1" numFmtId="165" xfId="0" applyAlignment="1" applyBorder="1" applyFont="1" applyNumberFormat="1">
      <alignment horizontal="center" vertical="center"/>
    </xf>
    <xf borderId="2" fillId="8" fontId="8" numFmtId="0" xfId="0" applyAlignment="1" applyBorder="1" applyFont="1">
      <alignment vertical="center"/>
    </xf>
    <xf borderId="0" fillId="7" fontId="1" numFmtId="165" xfId="0" applyAlignment="1" applyFont="1" applyNumberForma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right" vertical="center"/>
    </xf>
    <xf borderId="0" fillId="0" fontId="1" numFmtId="0" xfId="0" applyAlignment="1" applyFont="1">
      <alignment horizontal="center" vertical="center"/>
    </xf>
    <xf borderId="0" fillId="0" fontId="9" numFmtId="38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vertical="bottom"/>
    </xf>
    <xf borderId="2" fillId="0" fontId="9" numFmtId="38" xfId="0" applyAlignment="1" applyBorder="1" applyFont="1" applyNumberFormat="1">
      <alignment vertical="center"/>
    </xf>
    <xf borderId="2" fillId="8" fontId="10" numFmtId="0" xfId="0" applyAlignment="1" applyBorder="1" applyFont="1">
      <alignment vertical="center"/>
    </xf>
    <xf borderId="2" fillId="8" fontId="11" numFmtId="0" xfId="0" applyAlignment="1" applyBorder="1" applyFont="1">
      <alignment vertical="center"/>
    </xf>
    <xf borderId="2" fillId="0" fontId="12" numFmtId="0" xfId="0" applyAlignment="1" applyBorder="1" applyFont="1">
      <alignment vertical="center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5.13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15.25"/>
  </cols>
  <sheetData>
    <row r="1" ht="46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14" t="s">
        <v>10</v>
      </c>
      <c r="B4" s="15">
        <v>46.0</v>
      </c>
      <c r="C4" s="15">
        <v>208955.0</v>
      </c>
      <c r="D4" s="15">
        <v>208955.0</v>
      </c>
      <c r="E4" s="15">
        <v>46.0</v>
      </c>
      <c r="F4" s="15">
        <v>209255.0</v>
      </c>
      <c r="G4" s="16">
        <f t="shared" ref="G4:G12" si="1">C4-F4</f>
        <v>-300</v>
      </c>
      <c r="H4" s="17" t="s">
        <v>11</v>
      </c>
      <c r="I4" s="18" t="s">
        <v>12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24841.0</v>
      </c>
      <c r="B5" s="15">
        <v>21.0</v>
      </c>
      <c r="C5" s="15">
        <v>131460.0</v>
      </c>
      <c r="D5" s="15">
        <v>131460.0</v>
      </c>
      <c r="E5" s="15">
        <v>21.0</v>
      </c>
      <c r="F5" s="15">
        <v>131460.0</v>
      </c>
      <c r="G5" s="16">
        <f t="shared" si="1"/>
        <v>0</v>
      </c>
      <c r="H5" s="17" t="s">
        <v>13</v>
      </c>
      <c r="I5" s="21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24842.0</v>
      </c>
      <c r="B6" s="15">
        <v>19.0</v>
      </c>
      <c r="C6" s="15">
        <v>92690.0</v>
      </c>
      <c r="D6" s="15">
        <v>92690.0</v>
      </c>
      <c r="E6" s="15">
        <v>21.0</v>
      </c>
      <c r="F6" s="15">
        <v>92690.0</v>
      </c>
      <c r="G6" s="16">
        <f t="shared" si="1"/>
        <v>0</v>
      </c>
      <c r="H6" s="17" t="s">
        <v>13</v>
      </c>
      <c r="I6" s="21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24843.0</v>
      </c>
      <c r="B7" s="15">
        <v>23.0</v>
      </c>
      <c r="C7" s="15">
        <v>118450.0</v>
      </c>
      <c r="D7" s="15">
        <v>118450.0</v>
      </c>
      <c r="E7" s="15">
        <v>23.0</v>
      </c>
      <c r="F7" s="15">
        <v>118450.0</v>
      </c>
      <c r="G7" s="16">
        <f t="shared" si="1"/>
        <v>0</v>
      </c>
      <c r="H7" s="17" t="s">
        <v>11</v>
      </c>
      <c r="I7" s="21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24844.0</v>
      </c>
      <c r="B8" s="15">
        <v>32.0</v>
      </c>
      <c r="C8" s="15">
        <v>217149.0</v>
      </c>
      <c r="D8" s="15">
        <v>217149.0</v>
      </c>
      <c r="E8" s="15">
        <v>32.0</v>
      </c>
      <c r="F8" s="15">
        <v>217149.0</v>
      </c>
      <c r="G8" s="16">
        <f t="shared" si="1"/>
        <v>0</v>
      </c>
      <c r="H8" s="17" t="s">
        <v>11</v>
      </c>
      <c r="I8" s="21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24845.0</v>
      </c>
      <c r="B9" s="15">
        <v>34.0</v>
      </c>
      <c r="C9" s="15">
        <v>172694.0</v>
      </c>
      <c r="D9" s="15">
        <v>172694.0</v>
      </c>
      <c r="E9" s="15">
        <v>34.0</v>
      </c>
      <c r="F9" s="15">
        <v>172694.0</v>
      </c>
      <c r="G9" s="16">
        <f t="shared" si="1"/>
        <v>0</v>
      </c>
      <c r="H9" s="17" t="s">
        <v>11</v>
      </c>
      <c r="I9" s="21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24846.0</v>
      </c>
      <c r="B10" s="15">
        <v>29.0</v>
      </c>
      <c r="C10" s="15">
        <v>160870.0</v>
      </c>
      <c r="D10" s="15">
        <v>160870.0</v>
      </c>
      <c r="E10" s="15">
        <v>29.0</v>
      </c>
      <c r="F10" s="15">
        <v>160870.0</v>
      </c>
      <c r="G10" s="16">
        <f t="shared" si="1"/>
        <v>0</v>
      </c>
      <c r="H10" s="17" t="s">
        <v>11</v>
      </c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24847.0</v>
      </c>
      <c r="B11" s="15">
        <v>19.0</v>
      </c>
      <c r="C11" s="15">
        <v>60700.0</v>
      </c>
      <c r="D11" s="15">
        <v>60700.0</v>
      </c>
      <c r="E11" s="15">
        <v>19.0</v>
      </c>
      <c r="F11" s="15">
        <v>60700.0</v>
      </c>
      <c r="G11" s="16">
        <f t="shared" si="1"/>
        <v>0</v>
      </c>
      <c r="H11" s="17" t="s">
        <v>11</v>
      </c>
      <c r="I11" s="2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24848.0</v>
      </c>
      <c r="B12" s="15">
        <v>31.0</v>
      </c>
      <c r="C12" s="15">
        <v>135660.0</v>
      </c>
      <c r="D12" s="15">
        <v>135660.0</v>
      </c>
      <c r="E12" s="15">
        <v>31.0</v>
      </c>
      <c r="F12" s="15">
        <v>140360.0</v>
      </c>
      <c r="G12" s="16">
        <f t="shared" si="1"/>
        <v>-4700</v>
      </c>
      <c r="H12" s="17" t="s">
        <v>11</v>
      </c>
      <c r="I12" s="21" t="s">
        <v>14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24849.0</v>
      </c>
      <c r="B13" s="15">
        <v>27.0</v>
      </c>
      <c r="C13" s="15">
        <v>78256.0</v>
      </c>
      <c r="D13" s="15">
        <v>78256.0</v>
      </c>
      <c r="E13" s="15">
        <v>27.0</v>
      </c>
      <c r="F13" s="15">
        <v>78256.0</v>
      </c>
      <c r="G13" s="16">
        <v>0.0</v>
      </c>
      <c r="H13" s="17" t="s">
        <v>13</v>
      </c>
      <c r="I13" s="2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24850.0</v>
      </c>
      <c r="B14" s="15">
        <v>14.0</v>
      </c>
      <c r="C14" s="15">
        <v>88940.0</v>
      </c>
      <c r="D14" s="15">
        <v>88940.0</v>
      </c>
      <c r="E14" s="15">
        <v>14.0</v>
      </c>
      <c r="F14" s="15">
        <v>88940.0</v>
      </c>
      <c r="G14" s="16">
        <v>0.0</v>
      </c>
      <c r="H14" s="17" t="s">
        <v>11</v>
      </c>
      <c r="I14" s="2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6.25" customHeight="1">
      <c r="A15" s="20">
        <v>24851.0</v>
      </c>
      <c r="B15" s="15">
        <v>27.0</v>
      </c>
      <c r="C15" s="15">
        <v>147240.0</v>
      </c>
      <c r="D15" s="15">
        <v>147240.0</v>
      </c>
      <c r="E15" s="15">
        <v>27.0</v>
      </c>
      <c r="F15" s="15">
        <v>147240.0</v>
      </c>
      <c r="G15" s="16">
        <v>0.0</v>
      </c>
      <c r="H15" s="17" t="s">
        <v>11</v>
      </c>
      <c r="I15" s="2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6.25" customHeight="1">
      <c r="A16" s="20">
        <v>24852.0</v>
      </c>
      <c r="B16" s="15">
        <v>26.0</v>
      </c>
      <c r="C16" s="15">
        <v>224350.0</v>
      </c>
      <c r="D16" s="15">
        <v>224350.0</v>
      </c>
      <c r="E16" s="15">
        <v>26.0</v>
      </c>
      <c r="F16" s="15">
        <v>224350.0</v>
      </c>
      <c r="G16" s="16">
        <v>0.0</v>
      </c>
      <c r="H16" s="17" t="s">
        <v>11</v>
      </c>
      <c r="I16" s="2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6.25" customHeight="1">
      <c r="A17" s="22"/>
      <c r="B17" s="23"/>
      <c r="C17" s="23"/>
      <c r="D17" s="23"/>
      <c r="E17" s="23"/>
      <c r="F17" s="23"/>
      <c r="G17" s="24"/>
      <c r="H17" s="25"/>
      <c r="I17" s="26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5.88"/>
    <col customWidth="1" min="2" max="2" width="31.38"/>
    <col customWidth="1" min="3" max="3" width="22.38"/>
    <col customWidth="1" min="4" max="4" width="25.13"/>
    <col customWidth="1" min="5" max="5" width="20.88"/>
    <col customWidth="1" min="6" max="6" width="27.38"/>
    <col customWidth="1" min="7" max="7" width="22.63"/>
    <col customWidth="1" min="8" max="8" width="25.25"/>
    <col customWidth="1" min="9" max="9" width="141.75"/>
  </cols>
  <sheetData>
    <row r="1" ht="46.5" customHeight="1">
      <c r="A1" s="1" t="s">
        <v>15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5.5" customHeight="1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60.0" customHeight="1">
      <c r="A3" s="11"/>
      <c r="B3" s="12" t="s">
        <v>7</v>
      </c>
      <c r="C3" s="12" t="s">
        <v>8</v>
      </c>
      <c r="D3" s="12" t="s">
        <v>9</v>
      </c>
      <c r="E3" s="13" t="s">
        <v>7</v>
      </c>
      <c r="F3" s="13" t="s">
        <v>8</v>
      </c>
      <c r="G3" s="3"/>
      <c r="H3" s="3"/>
      <c r="I3" s="3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56.25" customHeight="1">
      <c r="A4" s="20">
        <v>24853.0</v>
      </c>
      <c r="B4" s="15">
        <v>21.0</v>
      </c>
      <c r="C4" s="15">
        <v>407120.0</v>
      </c>
      <c r="D4" s="15">
        <v>407120.0</v>
      </c>
      <c r="E4" s="15">
        <v>21.0</v>
      </c>
      <c r="F4" s="15">
        <v>407120.0</v>
      </c>
      <c r="G4" s="16">
        <f t="shared" ref="G4:G18" si="1">D4-F4</f>
        <v>0</v>
      </c>
      <c r="H4" s="17" t="s">
        <v>11</v>
      </c>
      <c r="I4" s="2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6.25" customHeight="1">
      <c r="A5" s="20">
        <v>24854.0</v>
      </c>
      <c r="B5" s="15">
        <v>14.0</v>
      </c>
      <c r="C5" s="15">
        <v>127700.0</v>
      </c>
      <c r="D5" s="15">
        <v>127700.0</v>
      </c>
      <c r="E5" s="15">
        <v>14.0</v>
      </c>
      <c r="F5" s="15">
        <v>127700.0</v>
      </c>
      <c r="G5" s="16">
        <f t="shared" si="1"/>
        <v>0</v>
      </c>
      <c r="H5" s="17" t="s">
        <v>11</v>
      </c>
      <c r="I5" s="2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6.25" customHeight="1">
      <c r="A6" s="20">
        <v>24855.0</v>
      </c>
      <c r="B6" s="15">
        <v>18.0</v>
      </c>
      <c r="C6" s="15">
        <v>65100.0</v>
      </c>
      <c r="D6" s="15">
        <v>65100.0</v>
      </c>
      <c r="E6" s="15">
        <v>18.0</v>
      </c>
      <c r="F6" s="15">
        <v>65100.0</v>
      </c>
      <c r="G6" s="16">
        <f t="shared" si="1"/>
        <v>0</v>
      </c>
      <c r="H6" s="17" t="s">
        <v>11</v>
      </c>
      <c r="I6" s="2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6.25" customHeight="1">
      <c r="A7" s="20">
        <v>24856.0</v>
      </c>
      <c r="B7" s="15">
        <v>20.0</v>
      </c>
      <c r="C7" s="15">
        <v>83850.0</v>
      </c>
      <c r="D7" s="15">
        <v>83850.0</v>
      </c>
      <c r="E7" s="15">
        <v>20.0</v>
      </c>
      <c r="F7" s="15">
        <v>83850.0</v>
      </c>
      <c r="G7" s="16">
        <f t="shared" si="1"/>
        <v>0</v>
      </c>
      <c r="H7" s="17" t="s">
        <v>13</v>
      </c>
      <c r="I7" s="2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6.25" customHeight="1">
      <c r="A8" s="20">
        <v>24857.0</v>
      </c>
      <c r="B8" s="15">
        <v>24.0</v>
      </c>
      <c r="C8" s="15">
        <v>98159.0</v>
      </c>
      <c r="D8" s="15">
        <v>98159.0</v>
      </c>
      <c r="E8" s="15">
        <v>24.0</v>
      </c>
      <c r="F8" s="15">
        <v>105459.0</v>
      </c>
      <c r="G8" s="16">
        <f t="shared" si="1"/>
        <v>-7300</v>
      </c>
      <c r="H8" s="17" t="s">
        <v>11</v>
      </c>
      <c r="I8" s="21" t="s">
        <v>16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6.25" customHeight="1">
      <c r="A9" s="20">
        <v>24858.0</v>
      </c>
      <c r="B9" s="15">
        <v>13.0</v>
      </c>
      <c r="C9" s="15">
        <v>56500.0</v>
      </c>
      <c r="D9" s="15">
        <v>56500.0</v>
      </c>
      <c r="E9" s="15">
        <v>13.0</v>
      </c>
      <c r="F9" s="15">
        <v>56500.0</v>
      </c>
      <c r="G9" s="16">
        <f t="shared" si="1"/>
        <v>0</v>
      </c>
      <c r="H9" s="17" t="s">
        <v>11</v>
      </c>
      <c r="I9" s="2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6.25" customHeight="1">
      <c r="A10" s="20">
        <v>24859.0</v>
      </c>
      <c r="B10" s="15">
        <v>10.0</v>
      </c>
      <c r="C10" s="15">
        <v>59800.0</v>
      </c>
      <c r="D10" s="15">
        <v>59800.0</v>
      </c>
      <c r="E10" s="15">
        <v>10.0</v>
      </c>
      <c r="F10" s="15">
        <v>59800.0</v>
      </c>
      <c r="G10" s="16">
        <f t="shared" si="1"/>
        <v>0</v>
      </c>
      <c r="H10" s="17" t="s">
        <v>11</v>
      </c>
      <c r="I10" s="2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6.25" customHeight="1">
      <c r="A11" s="20">
        <v>24860.0</v>
      </c>
      <c r="B11" s="15">
        <v>23.0</v>
      </c>
      <c r="C11" s="15">
        <v>194950.0</v>
      </c>
      <c r="D11" s="15">
        <v>194950.0</v>
      </c>
      <c r="E11" s="15">
        <v>23.0</v>
      </c>
      <c r="F11" s="15">
        <v>194950.0</v>
      </c>
      <c r="G11" s="16">
        <f t="shared" si="1"/>
        <v>0</v>
      </c>
      <c r="H11" s="17" t="s">
        <v>11</v>
      </c>
      <c r="I11" s="30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6.25" customHeight="1">
      <c r="A12" s="20">
        <v>24861.0</v>
      </c>
      <c r="B12" s="15">
        <v>25.0</v>
      </c>
      <c r="C12" s="15">
        <v>231150.0</v>
      </c>
      <c r="D12" s="15">
        <v>231150.0</v>
      </c>
      <c r="E12" s="15">
        <v>25.0</v>
      </c>
      <c r="F12" s="15">
        <v>231150.0</v>
      </c>
      <c r="G12" s="16">
        <f t="shared" si="1"/>
        <v>0</v>
      </c>
      <c r="H12" s="17" t="s">
        <v>17</v>
      </c>
      <c r="I12" s="3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6.25" customHeight="1">
      <c r="A13" s="20">
        <v>24862.0</v>
      </c>
      <c r="B13" s="15">
        <v>26.0</v>
      </c>
      <c r="C13" s="15">
        <v>110000.0</v>
      </c>
      <c r="D13" s="15">
        <v>110000.0</v>
      </c>
      <c r="E13" s="15">
        <v>26.0</v>
      </c>
      <c r="F13" s="15">
        <v>142000.0</v>
      </c>
      <c r="G13" s="16">
        <f t="shared" si="1"/>
        <v>-32000</v>
      </c>
      <c r="H13" s="17" t="s">
        <v>11</v>
      </c>
      <c r="I13" s="21" t="s">
        <v>18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6.25" customHeight="1">
      <c r="A14" s="20">
        <v>24863.0</v>
      </c>
      <c r="B14" s="15">
        <v>19.0</v>
      </c>
      <c r="C14" s="15">
        <v>129425.0</v>
      </c>
      <c r="D14" s="15">
        <v>129425.0</v>
      </c>
      <c r="E14" s="15">
        <v>19.0</v>
      </c>
      <c r="F14" s="15">
        <v>129425.0</v>
      </c>
      <c r="G14" s="16">
        <f t="shared" si="1"/>
        <v>0</v>
      </c>
      <c r="H14" s="17" t="s">
        <v>13</v>
      </c>
      <c r="I14" s="32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56.25" customHeight="1">
      <c r="A15" s="20">
        <v>24864.0</v>
      </c>
      <c r="B15" s="15">
        <v>28.0</v>
      </c>
      <c r="C15" s="15">
        <v>109740.0</v>
      </c>
      <c r="D15" s="15">
        <v>109740.0</v>
      </c>
      <c r="E15" s="15">
        <v>28.0</v>
      </c>
      <c r="F15" s="15">
        <v>109740.0</v>
      </c>
      <c r="G15" s="16">
        <f t="shared" si="1"/>
        <v>0</v>
      </c>
      <c r="H15" s="17" t="s">
        <v>11</v>
      </c>
      <c r="I15" s="29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56.25" customHeight="1">
      <c r="A16" s="20">
        <v>24865.0</v>
      </c>
      <c r="B16" s="15">
        <v>23.0</v>
      </c>
      <c r="C16" s="15">
        <v>126820.0</v>
      </c>
      <c r="D16" s="15">
        <v>126820.0</v>
      </c>
      <c r="E16" s="15">
        <v>23.0</v>
      </c>
      <c r="F16" s="15">
        <v>126820.0</v>
      </c>
      <c r="G16" s="16">
        <f t="shared" si="1"/>
        <v>0</v>
      </c>
      <c r="H16" s="17" t="s">
        <v>11</v>
      </c>
      <c r="I16" s="29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56.25" customHeight="1">
      <c r="A17" s="20">
        <v>24866.0</v>
      </c>
      <c r="B17" s="15">
        <v>26.0</v>
      </c>
      <c r="C17" s="15">
        <v>157650.0</v>
      </c>
      <c r="D17" s="15">
        <v>157650.0</v>
      </c>
      <c r="E17" s="15">
        <v>26.0</v>
      </c>
      <c r="F17" s="15">
        <v>157650.0</v>
      </c>
      <c r="G17" s="16">
        <f t="shared" si="1"/>
        <v>0</v>
      </c>
      <c r="H17" s="17" t="s">
        <v>13</v>
      </c>
      <c r="I17" s="29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68.25" customHeight="1">
      <c r="A18" s="20">
        <v>24867.0</v>
      </c>
      <c r="B18" s="15">
        <v>21.0</v>
      </c>
      <c r="C18" s="15">
        <v>97300.0</v>
      </c>
      <c r="D18" s="15">
        <v>97300.0</v>
      </c>
      <c r="E18" s="15">
        <v>21.0</v>
      </c>
      <c r="F18" s="15">
        <v>97300.0</v>
      </c>
      <c r="G18" s="16">
        <f t="shared" si="1"/>
        <v>0</v>
      </c>
      <c r="H18" s="17" t="s">
        <v>11</v>
      </c>
      <c r="I18" s="29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68.25" customHeight="1">
      <c r="A19" s="20">
        <v>24868.0</v>
      </c>
      <c r="B19" s="15">
        <v>42.0</v>
      </c>
      <c r="C19" s="15">
        <v>220705.0</v>
      </c>
      <c r="D19" s="15">
        <v>220705.0</v>
      </c>
      <c r="E19" s="15">
        <v>42.0</v>
      </c>
      <c r="F19" s="15">
        <v>220705.0</v>
      </c>
      <c r="G19" s="16" t="s">
        <v>19</v>
      </c>
      <c r="H19" s="17" t="s">
        <v>13</v>
      </c>
      <c r="I19" s="29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28"/>
      <c r="C35" s="28"/>
      <c r="D35" s="28"/>
      <c r="E35" s="33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28"/>
      <c r="C36" s="28"/>
      <c r="D36" s="28"/>
      <c r="E36" s="33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
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 ก.ค.-2 ส.ค. 2568" sheetId="1" r:id="rId4"/>
    <sheet state="visible" name="2 ส.ค. 2568" sheetId="2" r:id="rId5"/>
    <sheet state="visible" name="3 ส.ค. 2568" sheetId="3" r:id="rId6"/>
    <sheet state="visible" name="4 ส.ค. 2568" sheetId="4" r:id="rId7"/>
    <sheet state="visible" name=" 5 ส.ค. 2568" sheetId="5" r:id="rId8"/>
    <sheet state="visible" name="6 ส.ค. 2568" sheetId="6" r:id="rId9"/>
    <sheet state="visible" name="9 ส.ค. 2568" sheetId="7" r:id="rId10"/>
    <sheet state="visible" name="10 ส.ค. 2568" sheetId="8" r:id="rId11"/>
    <sheet state="visible" name="11 ส.ค. 2568" sheetId="9" r:id="rId12"/>
    <sheet state="visible" name="13 ส.ค. 2568" sheetId="10" r:id="rId13"/>
    <sheet state="visible" name="14 ส.ค. 2568" sheetId="11" r:id="rId14"/>
    <sheet state="visible" name="15 ส.ค. 2568" sheetId="12" r:id="rId15"/>
    <sheet state="visible" name="16 ส.ค. 2568" sheetId="13" r:id="rId16"/>
    <sheet state="visible" name="17 ส.ค. 2568" sheetId="14" r:id="rId17"/>
    <sheet state="visible" name="18 ส.ค. 2568" sheetId="15" r:id="rId18"/>
    <sheet state="visible" name="19  ส.ค. 2568" sheetId="16" r:id="rId19"/>
    <sheet state="visible" name="20 ส.ค. 2568" sheetId="17" r:id="rId20"/>
    <sheet state="visible" name="22ส.ค. 2568" sheetId="18" r:id="rId21"/>
    <sheet state="visible" name="23 ส.ค. 2568" sheetId="19" r:id="rId22"/>
    <sheet state="visible" name="24 ส.ค. 2568" sheetId="20" r:id="rId23"/>
    <sheet state="visible" name="25 ส.ค. 2568" sheetId="21" r:id="rId24"/>
    <sheet state="visible" name="26 ส.ค. 2568" sheetId="22" r:id="rId25"/>
    <sheet state="visible" name="27 ส.ค. 2568" sheetId="23" r:id="rId26"/>
    <sheet state="visible" name="28 ส.ค. 2568" sheetId="24" r:id="rId27"/>
    <sheet state="visible" name="29 ส.ค. 2568" sheetId="25" r:id="rId28"/>
    <sheet state="visible" name="30 ส.ค. 2568" sheetId="26" r:id="rId29"/>
    <sheet state="visible" name="ง 31 ส.ค. 2568" sheetId="27" r:id="rId30"/>
  </sheets>
  <definedNames/>
  <calcPr/>
  <extLst>
    <ext uri="GoogleSheetsCustomDataVersion2">
      <go:sheetsCustomData xmlns:go="http://customooxmlschemas.google.com/" r:id="rId31" roundtripDataChecksum="sm8cRgUjqsK0dPR5eHx/0tv7XtLYIJcoKpM2Xi93sjQ="/>
    </ext>
  </extLst>
</workbook>
</file>

<file path=xl/sharedStrings.xml><?xml version="1.0" encoding="utf-8"?>
<sst xmlns="http://schemas.openxmlformats.org/spreadsheetml/2006/main" count="1318" uniqueCount="449">
  <si>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31 กรกฎาคม - 1 สิงหาคม 2568</t>
    </r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</si>
  <si>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</si>
  <si>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</si>
  <si>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</si>
  <si>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</si>
  <si>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</si>
  <si>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</si>
  <si>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</si>
  <si>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</si>
  <si>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</si>
  <si>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QR</t>
  </si>
  <si>
    <t>payment</t>
  </si>
  <si>
    <t>e-wallet</t>
  </si>
  <si>
    <t>หักคอม</t>
  </si>
  <si>
    <t>arp (usd)</t>
  </si>
  <si>
    <t>1</t>
  </si>
  <si>
    <t>STHONLIN2507004895</t>
  </si>
  <si>
    <t>นาย สุเมธ จันทร์งาม</t>
  </si>
  <si>
    <t>BKK01</t>
  </si>
  <si>
    <t>17.02 น.</t>
  </si>
  <si>
    <t>รอมารับ</t>
  </si>
  <si>
    <t>2</t>
  </si>
  <si>
    <t>STHONLIN2507004899</t>
  </si>
  <si>
    <t>นาย คมสันช์  ชาญธนโชค</t>
  </si>
  <si>
    <t>17.21 น.</t>
  </si>
  <si>
    <t>3</t>
  </si>
  <si>
    <t>STHONLIN2507004902</t>
  </si>
  <si>
    <t>นางสาว นฤชา  แสงระวี</t>
  </si>
  <si>
    <t>17.28 น.</t>
  </si>
  <si>
    <t>4</t>
  </si>
  <si>
    <t>STHONLIN2507004910</t>
  </si>
  <si>
    <t>นาย พงษ์ศักดิ์ พรเจีย</t>
  </si>
  <si>
    <t>17.34 น.</t>
  </si>
  <si>
    <t>จัดส่งกทม.</t>
  </si>
  <si>
    <t>5</t>
  </si>
  <si>
    <t>STHONLIN2507004958</t>
  </si>
  <si>
    <t>นาง ภัชษนัญฑ์ ชิเดนทรีย์</t>
  </si>
  <si>
    <t>19.53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</si>
  <si>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2 สิงหาคม 2568</t>
    </r>
  </si>
  <si>
    <t>STHONLIN2508000096</t>
  </si>
  <si>
    <t>บริษัท  ต.ศรีโสภณ จำกัด (สำนักงานใหญ่)</t>
  </si>
  <si>
    <t>21.44น</t>
  </si>
  <si>
    <t>รับเอง กทม.</t>
  </si>
  <si>
    <t>STHONLIN2508000162</t>
  </si>
  <si>
    <t>บริษัท สยามทวีทิพย์ จำกัด(สำนักงานใหญ่)</t>
  </si>
  <si>
    <t>8.06น</t>
  </si>
  <si>
    <t>STHONLIN2508000166</t>
  </si>
  <si>
    <t>บริษัท โคบาราเอฟโวลูชั่น (ประเทศไทย)จำกัด ( สำนักงานใหญ่ )</t>
  </si>
  <si>
    <t>9.17น</t>
  </si>
  <si>
    <t>STHONLIN2508000172</t>
  </si>
  <si>
    <t>ธนวรรธน์ สุขจิตร</t>
  </si>
  <si>
    <t>11.50น</t>
  </si>
  <si>
    <t>STHONLIN2508000173</t>
  </si>
  <si>
    <t>นาย กัญญา  พรมทา</t>
  </si>
  <si>
    <t>11.54น</t>
  </si>
  <si>
    <t>6</t>
  </si>
  <si>
    <t>STHONLIN2508000174</t>
  </si>
  <si>
    <t>นาง นา  พรมทา</t>
  </si>
  <si>
    <t>11.57น</t>
  </si>
  <si>
    <t>7</t>
  </si>
  <si>
    <t>STHONLIN2508000175</t>
  </si>
  <si>
    <t>นางสาว ฐิติมา ทิศอุ่น</t>
  </si>
  <si>
    <t>12.01น</t>
  </si>
  <si>
    <t>8</t>
  </si>
  <si>
    <t>STHONLIN2508000176</t>
  </si>
  <si>
    <t>นางสาว พัชรมณฑ์ พรมทา</t>
  </si>
  <si>
    <t>12.02น</t>
  </si>
  <si>
    <t>9</t>
  </si>
  <si>
    <t>STHONLIN2508000177</t>
  </si>
  <si>
    <t>10</t>
  </si>
  <si>
    <t>STHONLIN2508000178</t>
  </si>
  <si>
    <t>นางสาว ประภัสสร  ดีดวงพันธ์</t>
  </si>
  <si>
    <t>12.11น</t>
  </si>
  <si>
    <t>11</t>
  </si>
  <si>
    <t>STHONLIN2508000179</t>
  </si>
  <si>
    <t>12.16น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</si>
  <si>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3 สิงหาคม 2568</t>
    </r>
  </si>
  <si>
    <t>STHONLIN2508000295</t>
  </si>
  <si>
    <t>บริษัท แก้วแกมทอง เทรดดิ้ง จำกัด (สำนักงานใหญ่)</t>
  </si>
  <si>
    <t>09.08 น.</t>
  </si>
  <si>
    <t>เรียกแกร็ป</t>
  </si>
  <si>
    <t>STHONLIN2508000296</t>
  </si>
  <si>
    <t>นาย จักรพงศ์ สินธุรักษ์</t>
  </si>
  <si>
    <t>NB</t>
  </si>
  <si>
    <t>11.33 น.</t>
  </si>
  <si>
    <t>ส่ง DP</t>
  </si>
  <si>
    <t>STHONLIN2508000299</t>
  </si>
  <si>
    <t>Mr. JULIUS KUNDA ATTA</t>
  </si>
  <si>
    <t>12.18 น.</t>
  </si>
  <si>
    <t>รับเองกทม.</t>
  </si>
  <si>
    <t>STHONLIN2508000324</t>
  </si>
  <si>
    <t>16.33 น.</t>
  </si>
  <si>
    <t>STHONLIN2508000297</t>
  </si>
  <si>
    <t>นาย อลงกร พลเยี่ยม + ภาวิดา คงสภาพ</t>
  </si>
  <si>
    <t>11.36 น.</t>
  </si>
  <si>
    <t>รอจัดส่ง(เครื่องใช้)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</si>
  <si>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4 สิงหาคม 2568</t>
    </r>
  </si>
  <si>
    <t>STHONLIN2508000348</t>
  </si>
  <si>
    <t>บริษัท เค24 โกลบอล จำกัด (สำนักงานใหญ่)</t>
  </si>
  <si>
    <t>20.59 น.</t>
  </si>
  <si>
    <t>STHONLIN2508000388</t>
  </si>
  <si>
    <t>นาย เกียรติศักดิ์ อาดมะเร๊ะ</t>
  </si>
  <si>
    <t>12.16 น.</t>
  </si>
  <si>
    <t>STHONLIN2508000401</t>
  </si>
  <si>
    <t>นางสาว ธันย์ณิชา ชำนาญป่า</t>
  </si>
  <si>
    <t>16.35 น.</t>
  </si>
  <si>
    <t>จัดส่ง 5-8-68</t>
  </si>
  <si>
    <t>STHONLIN2508000402</t>
  </si>
  <si>
    <t>16.36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</si>
  <si>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5 สิงหาคม 2568</t>
    </r>
  </si>
  <si>
    <t>STHONLIN2508000497</t>
  </si>
  <si>
    <t>นางสาว กิ่งแก้ว บุญโยประการ</t>
  </si>
  <si>
    <t>STHONLIN2508000500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</si>
  <si>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6 สิงหาคม 2568</t>
    </r>
  </si>
  <si>
    <t>STHONLIN2508000793</t>
  </si>
  <si>
    <t>07.48 น.</t>
  </si>
  <si>
    <t>STHONLIN2508000840</t>
  </si>
  <si>
    <t>นาย จักรกฤษณ์ ผิวเขียว</t>
  </si>
  <si>
    <t>11.58 น.</t>
  </si>
  <si>
    <t>STHONLIN2508000852</t>
  </si>
  <si>
    <t>Bashir Abduljaiai</t>
  </si>
  <si>
    <t>15.17 น.</t>
  </si>
  <si>
    <t>STHONLIN2508000864</t>
  </si>
  <si>
    <t>นาง นิตฐา ผลจิตต์</t>
  </si>
  <si>
    <t>16.47 น.</t>
  </si>
  <si>
    <t>พี่เพชรรับเอง</t>
  </si>
  <si>
    <t xml:space="preserve">              สรุปยอด บิลออนไลน์  จัดส่ง / นำเข้า DP ดึงตั้งแต่ 9 สิงหาคม 2568</t>
  </si>
  <si>
    <t>STHONLIN2508000900</t>
  </si>
  <si>
    <t>STHONLIN2508000907</t>
  </si>
  <si>
    <t>99 ๊Umar Alhassan Maigana</t>
  </si>
  <si>
    <t>21.31น</t>
  </si>
  <si>
    <t>STHONLIN2508001150</t>
  </si>
  <si>
    <t>นางสาว ธีรนุช  ซุ่นสั้น</t>
  </si>
  <si>
    <t>19.31น</t>
  </si>
  <si>
    <t>จัดส่ง กทม.</t>
  </si>
  <si>
    <t>STHONLIN2508001342</t>
  </si>
  <si>
    <t>นางสาว ณัฐภัสสร คำยวน</t>
  </si>
  <si>
    <t>DP</t>
  </si>
  <si>
    <t>11.03น</t>
  </si>
  <si>
    <t>รับเอง DP</t>
  </si>
  <si>
    <t>STHONLIN2508001367</t>
  </si>
  <si>
    <t>19.09น</t>
  </si>
  <si>
    <t>STHONLIN2508001453</t>
  </si>
  <si>
    <t>นางสาว ดารดี ญาณกวี</t>
  </si>
  <si>
    <t>8.26น</t>
  </si>
  <si>
    <t>STHONLIN2508001457</t>
  </si>
  <si>
    <t>นางสาว ธนิชชนันท์ สิริภาคยะประภา</t>
  </si>
  <si>
    <t>9.40น</t>
  </si>
  <si>
    <t>STHONLIN2508001458</t>
  </si>
  <si>
    <t>9.44น</t>
  </si>
  <si>
    <t>STHONLIN2508001459</t>
  </si>
  <si>
    <t>10.17น</t>
  </si>
  <si>
    <t>STHONLIN2508001491</t>
  </si>
  <si>
    <t>นางสาว ธนพรรษ​ ยี่ภู</t>
  </si>
  <si>
    <t>13.49น</t>
  </si>
  <si>
    <t>STHONLIN2508001513</t>
  </si>
  <si>
    <t>16.51น</t>
  </si>
  <si>
    <t>12</t>
  </si>
  <si>
    <t xml:space="preserve">              สรุปยอด บิลออนไลน์  จัดส่ง / นำเข้า DP ดึงตั้งแต่ 10 สิงหาคม 2568</t>
  </si>
  <si>
    <t>STHONLIN2508001614</t>
  </si>
  <si>
    <t>นาย สุรพล จันทรานุรักษ์</t>
  </si>
  <si>
    <t>10.27น</t>
  </si>
  <si>
    <t>STHONLIN2508001618</t>
  </si>
  <si>
    <t>นางสาว พิมพ์ชญา  สุริยปรีชาพงษ์</t>
  </si>
  <si>
    <t>11.19น</t>
  </si>
  <si>
    <t>STHONLIN2508001628</t>
  </si>
  <si>
    <t>นางสาว ริญญ์รภัส ศรีศุภณัฐธนากุล</t>
  </si>
  <si>
    <t>14.37น</t>
  </si>
  <si>
    <t>STHONLIN2508001640</t>
  </si>
  <si>
    <t>16.15น</t>
  </si>
  <si>
    <t xml:space="preserve">              สรุปยอด บิลออนไลน์  จัดส่ง / นำเข้า DP ดึงตั้งแต่ 11 สิงหาคม 2568</t>
  </si>
  <si>
    <t xml:space="preserve">              สรุปยอด บิลออนไลน์  จัดส่ง / นำเข้า DP ดึงตั้งแต่ 12-13 สิงหาคม 2568</t>
  </si>
  <si>
    <t>STHONLIN2508001860</t>
  </si>
  <si>
    <t>นาย กมล ขันหลวง</t>
  </si>
  <si>
    <t>00.13 น.</t>
  </si>
  <si>
    <t>STHONLIN2508001861</t>
  </si>
  <si>
    <t>บริษัท  รินทร์รฐา กรุ๊ป จำกัด(สำนักงานใหญ่)</t>
  </si>
  <si>
    <t>00.16 น.</t>
  </si>
  <si>
    <t>STHONLIN2508001862</t>
  </si>
  <si>
    <t>นาย สฤษณ์ รอดเอี่ยม</t>
  </si>
  <si>
    <t>00.20 น.</t>
  </si>
  <si>
    <t>STHONLIN2508001863</t>
  </si>
  <si>
    <t>นาย ใจเพชร เรืองรุ่ง</t>
  </si>
  <si>
    <t>00.23 น.</t>
  </si>
  <si>
    <t>STHONLIN2508001865</t>
  </si>
  <si>
    <t>นางสาว พิยาพร บุญเกตุ</t>
  </si>
  <si>
    <t>00.29 น.</t>
  </si>
  <si>
    <t>STHONLIN2508001870</t>
  </si>
  <si>
    <t>นางสาว วิลาสินี เดชะ</t>
  </si>
  <si>
    <t>00.35 น.</t>
  </si>
  <si>
    <t>STHONLIN2508001873</t>
  </si>
  <si>
    <t>นางสาว วรลักษณ์ รอดเอี่ยม</t>
  </si>
  <si>
    <t>00.39 น.</t>
  </si>
  <si>
    <t>STHONLIN2508001876</t>
  </si>
  <si>
    <t>นาง สมัชญา ขันหลวง</t>
  </si>
  <si>
    <t>00.47 น.</t>
  </si>
  <si>
    <t>STHONLIN2508001879</t>
  </si>
  <si>
    <t>นาย ผาย ขันหลวง</t>
  </si>
  <si>
    <t>00.54 น.</t>
  </si>
  <si>
    <t>STHONLIN2508001880</t>
  </si>
  <si>
    <t>นาย ศรัณยู จรเจิดสิน</t>
  </si>
  <si>
    <t>00.58 น.</t>
  </si>
  <si>
    <t>STHONLIN2508001954</t>
  </si>
  <si>
    <t>09.59 น.</t>
  </si>
  <si>
    <t>STHONLIN2508001984</t>
  </si>
  <si>
    <t>นาย อนุสรณ์ ศรีสุวรรณ</t>
  </si>
  <si>
    <t>17.12 น.</t>
  </si>
  <si>
    <t>13</t>
  </si>
  <si>
    <t>8/13/2025</t>
  </si>
  <si>
    <t>STHONLIN2508002153</t>
  </si>
  <si>
    <t>09.14 น.</t>
  </si>
  <si>
    <t>มารับเอง</t>
  </si>
  <si>
    <t>14</t>
  </si>
  <si>
    <t>STHONLIN2508002162</t>
  </si>
  <si>
    <t>12.20 น.</t>
  </si>
  <si>
    <t>จัดส่่งกทม.</t>
  </si>
  <si>
    <t>15</t>
  </si>
  <si>
    <t>STHONLIN2508002169</t>
  </si>
  <si>
    <t>นาง สมหมาย จิรรัตน์พิทักษ์</t>
  </si>
  <si>
    <t>13.09 น.</t>
  </si>
  <si>
    <t>STHONLIN2508002354</t>
  </si>
  <si>
    <t>นางสาว ลำใย  เจริญศิริ</t>
  </si>
  <si>
    <t>10.14น</t>
  </si>
  <si>
    <t>รับเอง กทม</t>
  </si>
  <si>
    <t xml:space="preserve">              สรุปยอด บิลออนไลน์  จัดส่ง / นำเข้า DP ดึงตั้งแต่ 15 สิงหาคม 2568</t>
  </si>
  <si>
    <t>STHONLIN2508002563</t>
  </si>
  <si>
    <t>Yusuf Abubakar</t>
  </si>
  <si>
    <t>2.43น</t>
  </si>
  <si>
    <t>STHONLIN2508002636</t>
  </si>
  <si>
    <t>ห้างหุ้นส่วน โกรท โกลเบิล เน็ตเวิร์ก (สำนักงานใหญ่)</t>
  </si>
  <si>
    <t>NP</t>
  </si>
  <si>
    <t>13.13น</t>
  </si>
  <si>
    <t>รับเอง NP</t>
  </si>
  <si>
    <t>STHONLIN2508002638</t>
  </si>
  <si>
    <t>13.24น</t>
  </si>
  <si>
    <t>STHONLIN2508002648</t>
  </si>
  <si>
    <t>นาย พิชัย  อาษาสุข</t>
  </si>
  <si>
    <t xml:space="preserve">              สรุปยอด บิลออนไลน์  จัดส่ง / นำเข้า DP ดึงตั้งแต่ 16 สิงหาคม 2568</t>
  </si>
  <si>
    <t>8/16/2025</t>
  </si>
  <si>
    <t>STHBKK012508000240</t>
  </si>
  <si>
    <t>09.24น</t>
  </si>
  <si>
    <t>เรียกแกร๊ป</t>
  </si>
  <si>
    <t>STHONLIN2508002782</t>
  </si>
  <si>
    <t>7.44น</t>
  </si>
  <si>
    <t>STHONLIN2508002804</t>
  </si>
  <si>
    <t>12.12น</t>
  </si>
  <si>
    <t>จัดส่ง กทม</t>
  </si>
  <si>
    <t>STHONLIN2508002828</t>
  </si>
  <si>
    <t>12.56น</t>
  </si>
  <si>
    <t>STHONLIN2508002846</t>
  </si>
  <si>
    <t>นาย เก่งภพ ศุภาภพปภาส</t>
  </si>
  <si>
    <t>14.59น</t>
  </si>
  <si>
    <t>STHONLIN2508002847</t>
  </si>
  <si>
    <t>15.08น</t>
  </si>
  <si>
    <t>STHONLIN2508002876</t>
  </si>
  <si>
    <t>16.31น</t>
  </si>
  <si>
    <t xml:space="preserve">              สรุปยอด บิลออนไลน์  จัดส่ง / นำเข้า DP ดึงตั้งแต่ 17 สิงหาคม 2568</t>
  </si>
  <si>
    <t>STHONLIN2508003061</t>
  </si>
  <si>
    <t>นางสาว สุภาพร สรนิกร</t>
  </si>
  <si>
    <t>06.57 น.</t>
  </si>
  <si>
    <t>STHONLIN2508003069</t>
  </si>
  <si>
    <t>11.54 น</t>
  </si>
  <si>
    <t>STHONLIN2508003081</t>
  </si>
  <si>
    <t>นาง วรางค์ศิริ ภัทรเดชกวีทิพย์</t>
  </si>
  <si>
    <t>14.56 น</t>
  </si>
  <si>
    <t>รับเอง</t>
  </si>
  <si>
    <t>STHONLIN2508003086</t>
  </si>
  <si>
    <t>นาย ชาตรี บุญเรือง</t>
  </si>
  <si>
    <t>15.53 น</t>
  </si>
  <si>
    <t xml:space="preserve">              สรุปยอด บิลออนไลน์  จัดส่ง / นำเข้า DP ดึงตั้งแต่ 18 สิงหาคม 2568</t>
  </si>
  <si>
    <t>STHONLIN2508003232</t>
  </si>
  <si>
    <t>นาย จักรพรรณ เทียนเจริญ</t>
  </si>
  <si>
    <t>9.35น</t>
  </si>
  <si>
    <t>STHONLIN2508003233</t>
  </si>
  <si>
    <t>นาย ดิเรก  กรีฑา</t>
  </si>
  <si>
    <t>9.45น</t>
  </si>
  <si>
    <t>มารับเอง กทม</t>
  </si>
  <si>
    <t>STHONLIN2508003239</t>
  </si>
  <si>
    <t>11.18น</t>
  </si>
  <si>
    <t xml:space="preserve">              สรุปยอด บิลออนไลน์  จัดส่ง / นำเข้า DP ดึงตั้งแต่ 19 สิงหาคม 2568</t>
  </si>
  <si>
    <t>8/18/2025</t>
  </si>
  <si>
    <t>STHONLIN2508003279</t>
  </si>
  <si>
    <t>Mr. FREDERICK BALOKO</t>
  </si>
  <si>
    <t>20.20น</t>
  </si>
  <si>
    <t>8/19/2025</t>
  </si>
  <si>
    <t>STHONLIN2508003421</t>
  </si>
  <si>
    <t>นาย ไชยพงศ์ รุ่งอำพินธ์</t>
  </si>
  <si>
    <t>09.57น</t>
  </si>
  <si>
    <t>STHONLIN2508003425</t>
  </si>
  <si>
    <t>12.34น</t>
  </si>
  <si>
    <t>STHONLIN2508003426</t>
  </si>
  <si>
    <t>13.00 น</t>
  </si>
  <si>
    <t>STHONLIN2508003427</t>
  </si>
  <si>
    <t>13.02น</t>
  </si>
  <si>
    <t xml:space="preserve">              สรุปยอด บิลออนไลน์  จัดส่ง / นำเข้า DP ดึงตั้งแต่ 21 สิงหาคม 2568</t>
  </si>
  <si>
    <t>STHONLIN2508003853</t>
  </si>
  <si>
    <t>19.06น</t>
  </si>
  <si>
    <t>STHONLIN2508004051</t>
  </si>
  <si>
    <t>ห้างหุ้นส่วน ต้าฟู่ ร่ำรวย (สำนักงานใหญ่)</t>
  </si>
  <si>
    <t>10.48น</t>
  </si>
  <si>
    <t>STHONLIN2508004052</t>
  </si>
  <si>
    <t>นางสาว กิตติมา สุทธิฤาชัย</t>
  </si>
  <si>
    <t>11.13น</t>
  </si>
  <si>
    <t>STHONLIN2508004054</t>
  </si>
  <si>
    <t>นางสาว อรณิกร บุญเกษม</t>
  </si>
  <si>
    <t>12.35น</t>
  </si>
  <si>
    <t>STHONLIN2508004056</t>
  </si>
  <si>
    <t>นาย อำพล ทรายทอง</t>
  </si>
  <si>
    <t>12.36น</t>
  </si>
  <si>
    <t>STHONLIN2508004057</t>
  </si>
  <si>
    <t>12.45.น</t>
  </si>
  <si>
    <t>STHONLIN2508004165</t>
  </si>
  <si>
    <t>21.42น</t>
  </si>
  <si>
    <t>STHONLIN2508004290</t>
  </si>
  <si>
    <t>8.02น</t>
  </si>
  <si>
    <t>STHONLIN2508004291</t>
  </si>
  <si>
    <t>11.25น</t>
  </si>
  <si>
    <t>STHONLIN2508004292</t>
  </si>
  <si>
    <t>นางสาว วันวิสาข แก้วแกมทอง</t>
  </si>
  <si>
    <t>11.40o</t>
  </si>
  <si>
    <t>STHONLIN2508004294</t>
  </si>
  <si>
    <t>11.46o</t>
  </si>
  <si>
    <t xml:space="preserve">              สรุปยอด บิลออนไลน์  จัดส่ง / นำเข้า DP ดึงตั้งแต่  23 สิงหาคม 2568</t>
  </si>
  <si>
    <t>8/22/2025</t>
  </si>
  <si>
    <t>STHONLIN2508004316</t>
  </si>
  <si>
    <t>บริษัท ดีเวย์ ริชคอร์ป จำกัด(สำนักงานใหญ่)</t>
  </si>
  <si>
    <t>17.32น</t>
  </si>
  <si>
    <t>8/23/2025</t>
  </si>
  <si>
    <t>STHONLIN2508004458</t>
  </si>
  <si>
    <t>เบญญาภา พุฒิพรกุล</t>
  </si>
  <si>
    <t>13.50น</t>
  </si>
  <si>
    <t>STHONLIN2508004492</t>
  </si>
  <si>
    <t>Mr. PAUL MBOKE MUTIA</t>
  </si>
  <si>
    <t>16.04น</t>
  </si>
  <si>
    <t>STHONLIN2508004497</t>
  </si>
  <si>
    <t>Mr. ITITI BENEDICT NIMENDING</t>
  </si>
  <si>
    <t xml:space="preserve">              สรุปยอด บิลออนไลน์  จัดส่ง / นำเข้า DP ดึงตั้งแต่  24 สิงหาคม 2568</t>
  </si>
  <si>
    <t>STHONLIN2508004692</t>
  </si>
  <si>
    <t>นาย คณิศร กรีฑา</t>
  </si>
  <si>
    <t>9.50o</t>
  </si>
  <si>
    <t>STHONLIN2508004693</t>
  </si>
  <si>
    <t>นางสาว เบญญาภา พุฒิพรกุล</t>
  </si>
  <si>
    <t>10.29น</t>
  </si>
  <si>
    <t>รอมารับเอง</t>
  </si>
  <si>
    <t>STHONLIN2508004694</t>
  </si>
  <si>
    <t>นาย สุรัตน์  สุขเพ็ง</t>
  </si>
  <si>
    <t>13.31น</t>
  </si>
  <si>
    <t>STHONLIN2508004698</t>
  </si>
  <si>
    <t>14.54น</t>
  </si>
  <si>
    <t>รอมารับ DP</t>
  </si>
  <si>
    <t xml:space="preserve">              สรุปยอด บิลออนไลน์  จัดส่ง / นำเข้า DP ดึงตั้งแต่  25 สิงหาคม 2568</t>
  </si>
  <si>
    <t>STHONLIN2508004723</t>
  </si>
  <si>
    <t>นางสาว ปณาลี ปรากริม</t>
  </si>
  <si>
    <t>20.19น</t>
  </si>
  <si>
    <t>STHONLIN2508004729</t>
  </si>
  <si>
    <t>Mr. Muhammed Musa</t>
  </si>
  <si>
    <t>21.19น</t>
  </si>
  <si>
    <t>รอมารับเอง กทม</t>
  </si>
  <si>
    <t>STHONLIN2508004863</t>
  </si>
  <si>
    <t>นางสาว พรนิภา คงชยณัฐ</t>
  </si>
  <si>
    <t>11.05น</t>
  </si>
  <si>
    <t>STHONLIN2508004864</t>
  </si>
  <si>
    <t>11.24น</t>
  </si>
  <si>
    <t>STHONLIN2508004867</t>
  </si>
  <si>
    <t>11.31น</t>
  </si>
  <si>
    <t>STHONLIN2508004869</t>
  </si>
  <si>
    <t>นายรุ่งเรือง แซ่เยี่ยง</t>
  </si>
  <si>
    <t>12.26น</t>
  </si>
  <si>
    <t xml:space="preserve">              สรุปยอด บิลออนไลน์  จัดส่ง / นำเข้า DP ดึงตั้งแต่  26 สิงหาคม 2568</t>
  </si>
  <si>
    <t>STHONLIN2508005149</t>
  </si>
  <si>
    <t>12.42น</t>
  </si>
  <si>
    <t>STHONLIN2508005151</t>
  </si>
  <si>
    <t>STHONLIN2508005152</t>
  </si>
  <si>
    <t>13.29o</t>
  </si>
  <si>
    <t xml:space="preserve">              สรุปยอด บิลออนไลน์  จัดส่ง / นำเข้า DP ดึงตั้งแต่  27 สิงหาคม 2568</t>
  </si>
  <si>
    <t>8/26/2025</t>
  </si>
  <si>
    <t>STHONLIN2508005189</t>
  </si>
  <si>
    <t>18.51น</t>
  </si>
  <si>
    <t>STHONLIN2508005204</t>
  </si>
  <si>
    <t>19.49น</t>
  </si>
  <si>
    <t>8/27/2025</t>
  </si>
  <si>
    <t>STHONLIN2508005403</t>
  </si>
  <si>
    <t>11.38น.</t>
  </si>
  <si>
    <t xml:space="preserve">              สรุปยอด บิลออนไลน์  จัดส่ง / นำเข้า DP ดึงตั้งแต่  28 สิงหาคม 2568</t>
  </si>
  <si>
    <t>STHONLIN2508005487</t>
  </si>
  <si>
    <t>นาย ธนบูลย์ แสงฐิตาพันธุ์</t>
  </si>
  <si>
    <t>22.36น</t>
  </si>
  <si>
    <t>STHONLIN2508005652</t>
  </si>
  <si>
    <t>STHONLIN2508005653</t>
  </si>
  <si>
    <t>11.09น</t>
  </si>
  <si>
    <t>STHONLIN2508005654</t>
  </si>
  <si>
    <t>11.51น</t>
  </si>
  <si>
    <t>STHONLIN2508005668</t>
  </si>
  <si>
    <t>นาย ปริญพัชร์ ศรีศุภณัฐธนากุล</t>
  </si>
  <si>
    <t>15.27น</t>
  </si>
  <si>
    <t xml:space="preserve">              สรุปยอด บิลออนไลน์  จัดส่ง / นำเข้า DP ดึงตั้งแต่  29 สิงหาคม 2568</t>
  </si>
  <si>
    <t>STHONLIN2508005986</t>
  </si>
  <si>
    <t>11.02น</t>
  </si>
  <si>
    <t>STHONLIN2508005987</t>
  </si>
  <si>
    <t>นาย อนันต์กฤช เต็มศิริพันธุ์</t>
  </si>
  <si>
    <t>STHONLIN2508005989</t>
  </si>
  <si>
    <t>นาง ทัศนา เลื่อมสำราญ</t>
  </si>
  <si>
    <t>BKK02</t>
  </si>
  <si>
    <t>11.08น</t>
  </si>
  <si>
    <t>STHONLIN2508005990</t>
  </si>
  <si>
    <t>BKK03</t>
  </si>
  <si>
    <t>11.10น</t>
  </si>
  <si>
    <t>STHONLIN2508006024</t>
  </si>
  <si>
    <t>นาย นายรุ่งเรือง แซ่เยี่ยง</t>
  </si>
  <si>
    <t xml:space="preserve">              สรุปยอด บิลออนไลน์  จัดส่ง / นำเข้า DP ดึงตั้งแต่  30 สิงหาคม 2568</t>
  </si>
  <si>
    <t>8/29/2025</t>
  </si>
  <si>
    <t>STHONLIN2508006082</t>
  </si>
  <si>
    <t>20.31น</t>
  </si>
  <si>
    <t>8/30/2025</t>
  </si>
  <si>
    <t>STHONLIN2508006345</t>
  </si>
  <si>
    <t>09.40น</t>
  </si>
  <si>
    <t>STHONLIN2508006360</t>
  </si>
  <si>
    <t>11.38น</t>
  </si>
  <si>
    <t>STHONLIN2508006368</t>
  </si>
  <si>
    <t>13.00น</t>
  </si>
  <si>
    <t xml:space="preserve">              สรุปยอด บิลออนไลน์  จัดส่ง / นำเข้า DP ดึงตั้งแต่  31 สิงหาคม 2568</t>
  </si>
  <si>
    <t>STHONLIN2508006594</t>
  </si>
  <si>
    <t>7.14น</t>
  </si>
  <si>
    <t>STHONLIN2508006596</t>
  </si>
  <si>
    <t>7.21น</t>
  </si>
  <si>
    <t>STHONLIN2508006611</t>
  </si>
  <si>
    <t>STHONLIN2508006612</t>
  </si>
  <si>
    <t>10.41น</t>
  </si>
  <si>
    <t>STHONLIN2508006615</t>
  </si>
  <si>
    <t>11.06น</t>
  </si>
  <si>
    <t>STHONLIN2508006619</t>
  </si>
  <si>
    <t>14.53น</t>
  </si>
  <si>
    <t>STHONLIN2508006660</t>
  </si>
  <si>
    <t>15.09น</t>
  </si>
  <si>
    <t>STHONLIN2508006663</t>
  </si>
  <si>
    <t>15.25น</t>
  </si>
  <si>
    <t>STHONLIN2508006666</t>
  </si>
  <si>
    <t>Mr. MEITE  IBRAHIMA</t>
  </si>
  <si>
    <t>17.46น</t>
  </si>
  <si>
    <t>STHONLIN2508006689</t>
  </si>
  <si>
    <t>นาย ดำรงค์ ปฏิสังข์</t>
  </si>
  <si>
    <t>16.59น</t>
  </si>
  <si>
    <t>STHONLIN2508006690</t>
  </si>
  <si>
    <t>17.02น</t>
  </si>
  <si>
    <t>STHONLIN2508006710</t>
  </si>
  <si>
    <t>17.31น</t>
  </si>
  <si>
    <t>STHONLIN2508006715</t>
  </si>
  <si>
    <t>นาง กานต์ดาวศี แสงกุล</t>
  </si>
  <si>
    <t>STHONLIN2508006719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</si>
</sst>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d/m/yyyy"/>
  </numFmts>
  <fonts count="29">
    <font>
      <sz val="11.0"/>
      <color theme="1"/>
      <name val="Aptos Narrow"/>
      <scheme val="minor"/>
    </font>
    <font>
      <b/>
      <sz val="36.0"/>
      <color theme="1"/>
      <name val="Aptos Narrow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29.0"/>
      <color rgb="FF000000"/>
      <name val="Angsana New"/>
    </font>
    <font>
      <b/>
      <sz val="18.0"/>
      <color theme="1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23.0"/>
      <color theme="1"/>
      <name val="Aptos Narrow"/>
    </font>
    <font>
      <b/>
      <sz val="26.0"/>
      <color rgb="FF000000"/>
      <name val="Arial"/>
    </font>
    <font>
      <b/>
      <sz val="29.0"/>
      <color rgb="FFFF0000"/>
      <name val="Arial"/>
    </font>
    <font>
      <b/>
      <sz val="22.0"/>
      <color rgb="FF000000"/>
      <name val="Arial"/>
    </font>
    <font>
      <sz val="29.0"/>
      <color theme="1"/>
      <name val="Aptos Narrow"/>
    </font>
    <font>
      <sz val="21.0"/>
      <color theme="1"/>
      <name val="Arial"/>
    </font>
    <font>
      <b/>
      <sz val="21.0"/>
      <color theme="1"/>
      <name val="Arial"/>
    </font>
    <font>
      <b/>
      <sz val="23.0"/>
      <color theme="1"/>
      <name val="Arial"/>
    </font>
    <font>
      <b/>
      <sz val="26.0"/>
      <color rgb="FF000000"/>
      <name val="Aptos Narrow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b/>
      <sz val="36.0"/>
      <color theme="1"/>
      <name val="Arial"/>
    </font>
    <font>
      <color theme="1"/>
      <name val="Arial"/>
    </font>
    <font>
      <sz val="27.0"/>
      <color theme="1"/>
      <name val="Arial"/>
    </font>
    <font>
      <b/>
      <sz val="22.0"/>
      <color theme="1"/>
      <name val="Arial"/>
    </font>
    <font>
      <sz val="25.0"/>
      <color theme="1"/>
      <name val="Arial"/>
    </font>
    <font>
      <sz val="26.0"/>
      <color theme="1"/>
      <name val="Arial"/>
    </font>
    <font>
      <sz val="2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3" fillId="0" fontId="2" numFmtId="0" xfId="0" applyBorder="1" applyFont="1"/>
    <xf borderId="12" fillId="4" fontId="5" numFmtId="49" xfId="0" applyAlignment="1" applyBorder="1" applyFill="1" applyFont="1" applyNumberFormat="1">
      <alignment horizontal="center" shrinkToFit="0" vertical="center" wrapText="0"/>
    </xf>
    <xf borderId="13" fillId="4" fontId="6" numFmtId="164" xfId="0" applyAlignment="1" applyBorder="1" applyFont="1" applyNumberFormat="1">
      <alignment horizontal="center" vertical="bottom"/>
    </xf>
    <xf borderId="13" fillId="4" fontId="6" numFmtId="4" xfId="0" applyAlignment="1" applyBorder="1" applyFont="1" applyNumberFormat="1">
      <alignment vertical="bottom"/>
    </xf>
    <xf borderId="13" fillId="4" fontId="6" numFmtId="1" xfId="0" applyAlignment="1" applyBorder="1" applyFont="1" applyNumberFormat="1">
      <alignment horizontal="center" vertical="bottom"/>
    </xf>
    <xf borderId="13" fillId="4" fontId="6" numFmtId="0" xfId="0" applyAlignment="1" applyBorder="1" applyFont="1">
      <alignment vertical="bottom"/>
    </xf>
    <xf borderId="12" fillId="4" fontId="7" numFmtId="38" xfId="0" applyAlignment="1" applyBorder="1" applyFont="1" applyNumberFormat="1">
      <alignment horizontal="right" vertical="bottom"/>
    </xf>
    <xf borderId="12" fillId="4" fontId="6" numFmtId="38" xfId="0" applyAlignment="1" applyBorder="1" applyFont="1" applyNumberFormat="1">
      <alignment horizontal="right" readingOrder="0" vertical="bottom"/>
    </xf>
    <xf borderId="12" fillId="4" fontId="7" numFmtId="38" xfId="0" applyAlignment="1" applyBorder="1" applyFont="1" applyNumberFormat="1">
      <alignment vertical="bottom"/>
    </xf>
    <xf borderId="12" fillId="4" fontId="8" numFmtId="0" xfId="0" applyAlignment="1" applyBorder="1" applyFont="1">
      <alignment horizontal="center" shrinkToFit="0" vertical="center" wrapText="1"/>
    </xf>
    <xf borderId="12" fillId="4" fontId="9" numFmtId="3" xfId="0" applyAlignment="1" applyBorder="1" applyFont="1" applyNumberFormat="1">
      <alignment horizontal="center" shrinkToFit="0" vertical="center" wrapText="1"/>
    </xf>
    <xf borderId="10" fillId="4" fontId="10" numFmtId="0" xfId="0" applyAlignment="1" applyBorder="1" applyFont="1">
      <alignment horizontal="center" readingOrder="0" vertical="center"/>
    </xf>
    <xf borderId="12" fillId="4" fontId="11" numFmtId="0" xfId="0" applyAlignment="1" applyBorder="1" applyFont="1">
      <alignment horizontal="center" readingOrder="0" vertical="center"/>
    </xf>
    <xf borderId="10" fillId="4" fontId="12" numFmtId="0" xfId="0" applyAlignment="1" applyBorder="1" applyFont="1">
      <alignment horizontal="center" readingOrder="0" vertical="center"/>
    </xf>
    <xf borderId="0" fillId="0" fontId="13" numFmtId="0" xfId="0" applyFont="1"/>
    <xf borderId="13" fillId="4" fontId="7" numFmtId="38" xfId="0" applyAlignment="1" applyBorder="1" applyFont="1" applyNumberFormat="1">
      <alignment horizontal="right" vertical="bottom"/>
    </xf>
    <xf borderId="13" fillId="4" fontId="6" numFmtId="38" xfId="0" applyAlignment="1" applyBorder="1" applyFont="1" applyNumberFormat="1">
      <alignment horizontal="right" readingOrder="0" vertical="bottom"/>
    </xf>
    <xf borderId="13" fillId="4" fontId="7" numFmtId="38" xfId="0" applyAlignment="1" applyBorder="1" applyFont="1" applyNumberFormat="1">
      <alignment vertical="bottom"/>
    </xf>
    <xf borderId="14" fillId="4" fontId="9" numFmtId="3" xfId="0" applyAlignment="1" applyBorder="1" applyFont="1" applyNumberFormat="1">
      <alignment horizontal="center" shrinkToFit="0" vertical="center" wrapText="1"/>
    </xf>
    <xf borderId="13" fillId="5" fontId="14" numFmtId="38" xfId="0" applyAlignment="1" applyBorder="1" applyFill="1" applyFont="1" applyNumberFormat="1">
      <alignment vertical="bottom"/>
    </xf>
    <xf borderId="13" fillId="5" fontId="14" numFmtId="38" xfId="0" applyAlignment="1" applyBorder="1" applyFont="1" applyNumberFormat="1">
      <alignment readingOrder="0" vertical="bottom"/>
    </xf>
    <xf borderId="13" fillId="5" fontId="15" numFmtId="38" xfId="0" applyAlignment="1" applyBorder="1" applyFont="1" applyNumberFormat="1">
      <alignment horizontal="right" vertical="bottom"/>
    </xf>
    <xf borderId="12" fillId="4" fontId="9" numFmtId="0" xfId="0" applyAlignment="1" applyBorder="1" applyFont="1">
      <alignment horizontal="center" shrinkToFit="0" vertical="center" wrapText="1"/>
    </xf>
    <xf borderId="14" fillId="4" fontId="16" numFmtId="3" xfId="0" applyAlignment="1" applyBorder="1" applyFont="1" applyNumberFormat="1">
      <alignment horizontal="center" shrinkToFit="0" vertical="center" wrapText="1"/>
    </xf>
    <xf borderId="13" fillId="5" fontId="6" numFmtId="165" xfId="0" applyAlignment="1" applyBorder="1" applyFont="1" applyNumberFormat="1">
      <alignment horizontal="center" vertical="bottom"/>
    </xf>
    <xf borderId="13" fillId="5" fontId="6" numFmtId="4" xfId="0" applyAlignment="1" applyBorder="1" applyFont="1" applyNumberFormat="1">
      <alignment vertical="bottom"/>
    </xf>
    <xf borderId="13" fillId="5" fontId="6" numFmtId="1" xfId="0" applyAlignment="1" applyBorder="1" applyFont="1" applyNumberFormat="1">
      <alignment horizontal="center" vertical="bottom"/>
    </xf>
    <xf borderId="13" fillId="5" fontId="6" numFmtId="0" xfId="0" applyAlignment="1" applyBorder="1" applyFont="1">
      <alignment vertical="bottom"/>
    </xf>
    <xf borderId="12" fillId="5" fontId="14" numFmtId="38" xfId="0" applyAlignment="1" applyBorder="1" applyFont="1" applyNumberFormat="1">
      <alignment vertical="bottom"/>
    </xf>
    <xf borderId="12" fillId="5" fontId="15" numFmtId="38" xfId="0" applyAlignment="1" applyBorder="1" applyFont="1" applyNumberFormat="1">
      <alignment horizontal="right" vertical="bottom"/>
    </xf>
    <xf borderId="12" fillId="4" fontId="16" numFmtId="3" xfId="0" applyAlignment="1" applyBorder="1" applyFont="1" applyNumberFormat="1">
      <alignment horizontal="center" shrinkToFit="0" vertical="center" wrapText="1"/>
    </xf>
    <xf borderId="10" fillId="4" fontId="10" numFmtId="0" xfId="0" applyAlignment="1" applyBorder="1" applyFont="1">
      <alignment horizontal="center" vertical="center"/>
    </xf>
    <xf borderId="12" fillId="4" fontId="11" numFmtId="0" xfId="0" applyAlignment="1" applyBorder="1" applyFont="1">
      <alignment horizontal="center" vertical="center"/>
    </xf>
    <xf borderId="10" fillId="4" fontId="12" numFmtId="0" xfId="0" applyAlignment="1" applyBorder="1" applyFont="1">
      <alignment horizontal="center" vertical="center"/>
    </xf>
    <xf borderId="12" fillId="5" fontId="5" numFmtId="49" xfId="0" applyAlignment="1" applyBorder="1" applyFont="1" applyNumberFormat="1">
      <alignment horizontal="center" shrinkToFit="0" vertical="center" wrapText="0"/>
    </xf>
    <xf borderId="12" fillId="4" fontId="17" numFmtId="0" xfId="0" applyAlignment="1" applyBorder="1" applyFont="1">
      <alignment horizontal="center" vertical="center"/>
    </xf>
    <xf borderId="1" fillId="6" fontId="18" numFmtId="0" xfId="0" applyAlignment="1" applyBorder="1" applyFill="1" applyFont="1">
      <alignment horizontal="center"/>
    </xf>
    <xf borderId="15" fillId="6" fontId="19" numFmtId="3" xfId="0" applyAlignment="1" applyBorder="1" applyFont="1" applyNumberFormat="1">
      <alignment horizontal="center"/>
    </xf>
    <xf borderId="12" fillId="6" fontId="20" numFmtId="3" xfId="0" applyAlignment="1" applyBorder="1" applyFont="1" applyNumberFormat="1">
      <alignment horizontal="center"/>
    </xf>
    <xf borderId="12" fillId="6" fontId="21" numFmtId="3" xfId="0" applyAlignment="1" applyBorder="1" applyFont="1" applyNumberFormat="1">
      <alignment horizontal="right"/>
    </xf>
    <xf borderId="1" fillId="7" fontId="19" numFmtId="3" xfId="0" applyAlignment="1" applyBorder="1" applyFill="1" applyFont="1" applyNumberFormat="1">
      <alignment horizontal="center" vertical="top"/>
    </xf>
    <xf borderId="13" fillId="4" fontId="6" numFmtId="164" xfId="0" applyAlignment="1" applyBorder="1" applyFont="1" applyNumberFormat="1">
      <alignment horizontal="center" readingOrder="0" vertical="bottom"/>
    </xf>
    <xf borderId="13" fillId="4" fontId="6" numFmtId="4" xfId="0" applyAlignment="1" applyBorder="1" applyFont="1" applyNumberFormat="1">
      <alignment readingOrder="0" vertical="bottom"/>
    </xf>
    <xf borderId="13" fillId="4" fontId="6" numFmtId="1" xfId="0" applyAlignment="1" applyBorder="1" applyFont="1" applyNumberFormat="1">
      <alignment horizontal="center" readingOrder="0" vertical="bottom"/>
    </xf>
    <xf borderId="13" fillId="4" fontId="6" numFmtId="0" xfId="0" applyAlignment="1" applyBorder="1" applyFont="1">
      <alignment readingOrder="0" vertical="bottom"/>
    </xf>
    <xf borderId="12" fillId="4" fontId="5" numFmtId="49" xfId="0" applyAlignment="1" applyBorder="1" applyFont="1" applyNumberFormat="1">
      <alignment horizontal="center" readingOrder="0" shrinkToFit="0" vertical="center" wrapText="0"/>
    </xf>
    <xf borderId="2" fillId="4" fontId="9" numFmtId="3" xfId="0" applyAlignment="1" applyBorder="1" applyFont="1" applyNumberFormat="1">
      <alignment horizontal="center" shrinkToFit="0" vertical="center" wrapText="1"/>
    </xf>
    <xf borderId="2" fillId="4" fontId="16" numFmtId="3" xfId="0" applyAlignment="1" applyBorder="1" applyFont="1" applyNumberFormat="1">
      <alignment horizontal="center" readingOrder="0" shrinkToFit="0" vertical="center" wrapText="1"/>
    </xf>
    <xf borderId="13" fillId="5" fontId="6" numFmtId="165" xfId="0" applyAlignment="1" applyBorder="1" applyFont="1" applyNumberFormat="1">
      <alignment horizontal="center" readingOrder="0" vertical="bottom"/>
    </xf>
    <xf borderId="13" fillId="5" fontId="6" numFmtId="4" xfId="0" applyAlignment="1" applyBorder="1" applyFont="1" applyNumberFormat="1">
      <alignment readingOrder="0" vertical="bottom"/>
    </xf>
    <xf borderId="13" fillId="5" fontId="6" numFmtId="1" xfId="0" applyAlignment="1" applyBorder="1" applyFont="1" applyNumberFormat="1">
      <alignment horizontal="center" readingOrder="0" vertical="bottom"/>
    </xf>
    <xf borderId="13" fillId="5" fontId="6" numFmtId="0" xfId="0" applyAlignment="1" applyBorder="1" applyFont="1">
      <alignment readingOrder="0" vertical="bottom"/>
    </xf>
    <xf borderId="12" fillId="5" fontId="14" numFmtId="38" xfId="0" applyAlignment="1" applyBorder="1" applyFont="1" applyNumberFormat="1">
      <alignment readingOrder="0" vertical="bottom"/>
    </xf>
    <xf borderId="13" fillId="4" fontId="7" numFmtId="38" xfId="0" applyAlignment="1" applyBorder="1" applyFont="1" applyNumberFormat="1">
      <alignment horizontal="right" readingOrder="0" vertical="bottom"/>
    </xf>
    <xf borderId="12" fillId="4" fontId="7" numFmtId="38" xfId="0" applyAlignment="1" applyBorder="1" applyFont="1" applyNumberFormat="1">
      <alignment readingOrder="0" vertical="bottom"/>
    </xf>
    <xf borderId="12" fillId="4" fontId="7" numFmtId="38" xfId="0" applyAlignment="1" applyBorder="1" applyFont="1" applyNumberFormat="1">
      <alignment horizontal="right" readingOrder="0" vertical="bottom"/>
    </xf>
    <xf borderId="13" fillId="5" fontId="6" numFmtId="0" xfId="0" applyAlignment="1" applyBorder="1" applyFont="1">
      <alignment vertical="bottom"/>
    </xf>
    <xf borderId="12" fillId="4" fontId="16" numFmtId="3" xfId="0" applyAlignment="1" applyBorder="1" applyFont="1" applyNumberFormat="1">
      <alignment horizontal="center" readingOrder="0" shrinkToFit="0" vertical="center" wrapText="1"/>
    </xf>
    <xf borderId="13" fillId="5" fontId="4" numFmtId="165" xfId="0" applyAlignment="1" applyBorder="1" applyFont="1" applyNumberFormat="1">
      <alignment horizontal="center" vertical="bottom"/>
    </xf>
    <xf borderId="13" fillId="5" fontId="4" numFmtId="4" xfId="0" applyAlignment="1" applyBorder="1" applyFont="1" applyNumberFormat="1">
      <alignment vertical="bottom"/>
    </xf>
    <xf borderId="13" fillId="5" fontId="4" numFmtId="1" xfId="0" applyAlignment="1" applyBorder="1" applyFont="1" applyNumberFormat="1">
      <alignment horizontal="center" vertical="bottom"/>
    </xf>
    <xf borderId="13" fillId="5" fontId="4" numFmtId="0" xfId="0" applyAlignment="1" applyBorder="1" applyFont="1">
      <alignment vertical="bottom"/>
    </xf>
    <xf borderId="13" fillId="5" fontId="6" numFmtId="38" xfId="0" applyAlignment="1" applyBorder="1" applyFont="1" applyNumberFormat="1">
      <alignment horizontal="right" vertical="bottom"/>
    </xf>
    <xf borderId="13" fillId="5" fontId="4" numFmtId="165" xfId="0" applyAlignment="1" applyBorder="1" applyFont="1" applyNumberFormat="1">
      <alignment horizontal="center" readingOrder="0" vertical="bottom"/>
    </xf>
    <xf borderId="13" fillId="5" fontId="4" numFmtId="4" xfId="0" applyAlignment="1" applyBorder="1" applyFont="1" applyNumberFormat="1">
      <alignment readingOrder="0" vertical="bottom"/>
    </xf>
    <xf borderId="13" fillId="5" fontId="4" numFmtId="1" xfId="0" applyAlignment="1" applyBorder="1" applyFont="1" applyNumberFormat="1">
      <alignment horizontal="center" readingOrder="0" vertical="bottom"/>
    </xf>
    <xf borderId="13" fillId="5" fontId="4" numFmtId="0" xfId="0" applyAlignment="1" applyBorder="1" applyFont="1">
      <alignment readingOrder="0" vertical="bottom"/>
    </xf>
    <xf borderId="13" fillId="5" fontId="6" numFmtId="38" xfId="0" applyAlignment="1" applyBorder="1" applyFont="1" applyNumberFormat="1">
      <alignment horizontal="right" readingOrder="0" vertical="bottom"/>
    </xf>
    <xf borderId="1" fillId="2" fontId="22" numFmtId="0" xfId="0" applyAlignment="1" applyBorder="1" applyFont="1">
      <alignment horizontal="center" readingOrder="0" vertical="center"/>
    </xf>
    <xf borderId="12" fillId="8" fontId="5" numFmtId="49" xfId="0" applyAlignment="1" applyBorder="1" applyFill="1" applyFont="1" applyNumberFormat="1">
      <alignment horizontal="center" shrinkToFit="0" vertical="center" wrapText="0"/>
    </xf>
    <xf borderId="13" fillId="8" fontId="4" numFmtId="165" xfId="0" applyAlignment="1" applyBorder="1" applyFont="1" applyNumberFormat="1">
      <alignment horizontal="center" readingOrder="0" vertical="bottom"/>
    </xf>
    <xf borderId="13" fillId="8" fontId="4" numFmtId="4" xfId="0" applyAlignment="1" applyBorder="1" applyFont="1" applyNumberFormat="1">
      <alignment readingOrder="0" vertical="bottom"/>
    </xf>
    <xf borderId="13" fillId="8" fontId="4" numFmtId="1" xfId="0" applyAlignment="1" applyBorder="1" applyFont="1" applyNumberFormat="1">
      <alignment horizontal="center" readingOrder="0" vertical="bottom"/>
    </xf>
    <xf borderId="13" fillId="8" fontId="4" numFmtId="0" xfId="0" applyAlignment="1" applyBorder="1" applyFont="1">
      <alignment readingOrder="0" vertical="bottom"/>
    </xf>
    <xf borderId="12" fillId="8" fontId="7" numFmtId="38" xfId="0" applyAlignment="1" applyBorder="1" applyFont="1" applyNumberFormat="1">
      <alignment horizontal="right" vertical="bottom"/>
    </xf>
    <xf borderId="13" fillId="8" fontId="6" numFmtId="38" xfId="0" applyAlignment="1" applyBorder="1" applyFont="1" applyNumberFormat="1">
      <alignment horizontal="right" readingOrder="0" vertical="bottom"/>
    </xf>
    <xf borderId="12" fillId="8" fontId="7" numFmtId="38" xfId="0" applyAlignment="1" applyBorder="1" applyFont="1" applyNumberFormat="1">
      <alignment readingOrder="0" vertical="bottom"/>
    </xf>
    <xf borderId="12" fillId="8" fontId="8" numFmtId="0" xfId="0" applyAlignment="1" applyBorder="1" applyFont="1">
      <alignment horizontal="center" shrinkToFit="0" vertical="center" wrapText="1"/>
    </xf>
    <xf borderId="12" fillId="8" fontId="9" numFmtId="3" xfId="0" applyAlignment="1" applyBorder="1" applyFont="1" applyNumberFormat="1">
      <alignment horizontal="center" shrinkToFit="0" vertical="center" wrapText="1"/>
    </xf>
    <xf borderId="10" fillId="8" fontId="10" numFmtId="0" xfId="0" applyAlignment="1" applyBorder="1" applyFont="1">
      <alignment horizontal="center" readingOrder="0" vertical="center"/>
    </xf>
    <xf borderId="12" fillId="8" fontId="11" numFmtId="0" xfId="0" applyAlignment="1" applyBorder="1" applyFont="1">
      <alignment horizontal="center" readingOrder="0" vertical="center"/>
    </xf>
    <xf borderId="10" fillId="8" fontId="12" numFmtId="0" xfId="0" applyAlignment="1" applyBorder="1" applyFont="1">
      <alignment horizontal="center" readingOrder="0" vertical="center"/>
    </xf>
    <xf borderId="12" fillId="8" fontId="5" numFmtId="49" xfId="0" applyAlignment="1" applyBorder="1" applyFont="1" applyNumberFormat="1">
      <alignment horizontal="center" readingOrder="0" shrinkToFit="0" vertical="center" wrapText="0"/>
    </xf>
    <xf borderId="12" fillId="8" fontId="7" numFmtId="38" xfId="0" applyAlignment="1" applyBorder="1" applyFont="1" applyNumberFormat="1">
      <alignment horizontal="right" readingOrder="0" vertical="bottom"/>
    </xf>
    <xf borderId="12" fillId="8" fontId="7" numFmtId="38" xfId="0" applyAlignment="1" applyBorder="1" applyFont="1" applyNumberFormat="1">
      <alignment vertical="bottom"/>
    </xf>
    <xf borderId="12" fillId="8" fontId="16" numFmtId="3" xfId="0" applyAlignment="1" applyBorder="1" applyFont="1" applyNumberFormat="1">
      <alignment horizontal="center" readingOrder="0" shrinkToFit="0" vertical="center" wrapText="1"/>
    </xf>
    <xf borderId="13" fillId="8" fontId="6" numFmtId="4" xfId="0" applyAlignment="1" applyBorder="1" applyFont="1" applyNumberFormat="1">
      <alignment readingOrder="0" vertical="bottom"/>
    </xf>
    <xf borderId="13" fillId="8" fontId="6" numFmtId="1" xfId="0" applyAlignment="1" applyBorder="1" applyFont="1" applyNumberFormat="1">
      <alignment horizontal="center" readingOrder="0" vertical="bottom"/>
    </xf>
    <xf borderId="13" fillId="8" fontId="6" numFmtId="0" xfId="0" applyAlignment="1" applyBorder="1" applyFont="1">
      <alignment readingOrder="0" vertical="bottom"/>
    </xf>
    <xf borderId="12" fillId="5" fontId="7" numFmtId="38" xfId="0" applyAlignment="1" applyBorder="1" applyFont="1" applyNumberFormat="1">
      <alignment horizontal="right" vertical="bottom"/>
    </xf>
    <xf borderId="12" fillId="5" fontId="7" numFmtId="38" xfId="0" applyAlignment="1" applyBorder="1" applyFont="1" applyNumberFormat="1">
      <alignment readingOrder="0" vertical="bottom"/>
    </xf>
    <xf borderId="12" fillId="5" fontId="8" numFmtId="0" xfId="0" applyAlignment="1" applyBorder="1" applyFont="1">
      <alignment horizontal="center" shrinkToFit="0" vertical="center" wrapText="1"/>
    </xf>
    <xf borderId="12" fillId="5" fontId="9" numFmtId="3" xfId="0" applyAlignment="1" applyBorder="1" applyFont="1" applyNumberFormat="1">
      <alignment horizontal="center" shrinkToFit="0" vertical="center" wrapText="1"/>
    </xf>
    <xf borderId="10" fillId="5" fontId="10" numFmtId="0" xfId="0" applyAlignment="1" applyBorder="1" applyFont="1">
      <alignment horizontal="center" readingOrder="0" vertical="center"/>
    </xf>
    <xf borderId="12" fillId="5" fontId="11" numFmtId="0" xfId="0" applyAlignment="1" applyBorder="1" applyFont="1">
      <alignment horizontal="center" readingOrder="0" vertical="center"/>
    </xf>
    <xf borderId="10" fillId="5" fontId="12" numFmtId="0" xfId="0" applyAlignment="1" applyBorder="1" applyFont="1">
      <alignment horizontal="center" readingOrder="0" vertical="center"/>
    </xf>
    <xf borderId="12" fillId="5" fontId="5" numFmtId="49" xfId="0" applyAlignment="1" applyBorder="1" applyFont="1" applyNumberFormat="1">
      <alignment horizontal="center" readingOrder="0" shrinkToFit="0" vertical="center" wrapText="0"/>
    </xf>
    <xf borderId="12" fillId="5" fontId="7" numFmtId="38" xfId="0" applyAlignment="1" applyBorder="1" applyFont="1" applyNumberFormat="1">
      <alignment horizontal="right" readingOrder="0" vertical="bottom"/>
    </xf>
    <xf borderId="12" fillId="5" fontId="7" numFmtId="38" xfId="0" applyAlignment="1" applyBorder="1" applyFont="1" applyNumberFormat="1">
      <alignment vertical="bottom"/>
    </xf>
    <xf borderId="12" fillId="5" fontId="16" numFmtId="3" xfId="0" applyAlignment="1" applyBorder="1" applyFont="1" applyNumberFormat="1">
      <alignment horizontal="center" readingOrder="0" shrinkToFit="0" vertical="center" wrapText="1"/>
    </xf>
    <xf borderId="12" fillId="5" fontId="9" numFmtId="3" xfId="0" applyAlignment="1" applyBorder="1" applyFont="1" applyNumberFormat="1">
      <alignment horizontal="center" readingOrder="0" shrinkToFit="0" vertical="center" wrapText="1"/>
    </xf>
    <xf borderId="13" fillId="5" fontId="23" numFmtId="38" xfId="0" applyAlignment="1" applyBorder="1" applyFont="1" applyNumberFormat="1">
      <alignment vertical="bottom"/>
    </xf>
    <xf borderId="13" fillId="5" fontId="4" numFmtId="0" xfId="0" applyAlignment="1" applyBorder="1" applyFont="1">
      <alignment horizontal="center" readingOrder="0" vertical="bottom"/>
    </xf>
    <xf borderId="13" fillId="5" fontId="4" numFmtId="166" xfId="0" applyAlignment="1" applyBorder="1" applyFont="1" applyNumberFormat="1">
      <alignment horizontal="center" readingOrder="0" vertical="bottom"/>
    </xf>
    <xf borderId="13" fillId="5" fontId="24" numFmtId="38" xfId="0" applyAlignment="1" applyBorder="1" applyFont="1" applyNumberFormat="1">
      <alignment readingOrder="0" vertical="bottom"/>
    </xf>
    <xf borderId="13" fillId="8" fontId="4" numFmtId="0" xfId="0" applyAlignment="1" applyBorder="1" applyFont="1">
      <alignment horizontal="center" readingOrder="0" vertical="bottom"/>
    </xf>
    <xf borderId="12" fillId="9" fontId="5" numFmtId="49" xfId="0" applyAlignment="1" applyBorder="1" applyFill="1" applyFont="1" applyNumberFormat="1">
      <alignment horizontal="center" readingOrder="0" shrinkToFit="0" vertical="center" wrapText="0"/>
    </xf>
    <xf borderId="13" fillId="9" fontId="4" numFmtId="164" xfId="0" applyAlignment="1" applyBorder="1" applyFont="1" applyNumberFormat="1">
      <alignment horizontal="center" readingOrder="0" vertical="bottom"/>
    </xf>
    <xf borderId="13" fillId="9" fontId="4" numFmtId="4" xfId="0" applyAlignment="1" applyBorder="1" applyFont="1" applyNumberFormat="1">
      <alignment readingOrder="0" vertical="bottom"/>
    </xf>
    <xf borderId="13" fillId="9" fontId="4" numFmtId="1" xfId="0" applyAlignment="1" applyBorder="1" applyFont="1" applyNumberFormat="1">
      <alignment horizontal="center" readingOrder="0" vertical="bottom"/>
    </xf>
    <xf borderId="13" fillId="9" fontId="4" numFmtId="0" xfId="0" applyAlignment="1" applyBorder="1" applyFont="1">
      <alignment readingOrder="0" vertical="bottom"/>
    </xf>
    <xf borderId="13" fillId="9" fontId="6" numFmtId="38" xfId="0" applyAlignment="1" applyBorder="1" applyFont="1" applyNumberFormat="1">
      <alignment horizontal="right" readingOrder="0" vertical="bottom"/>
    </xf>
    <xf borderId="12" fillId="9" fontId="7" numFmtId="38" xfId="0" applyAlignment="1" applyBorder="1" applyFont="1" applyNumberFormat="1">
      <alignment vertical="bottom"/>
    </xf>
    <xf borderId="12" fillId="9" fontId="8" numFmtId="0" xfId="0" applyAlignment="1" applyBorder="1" applyFont="1">
      <alignment horizontal="center" shrinkToFit="0" vertical="center" wrapText="1"/>
    </xf>
    <xf borderId="12" fillId="9" fontId="16" numFmtId="3" xfId="0" applyAlignment="1" applyBorder="1" applyFont="1" applyNumberFormat="1">
      <alignment horizontal="center" readingOrder="0" shrinkToFit="0" vertical="center" wrapText="1"/>
    </xf>
    <xf borderId="10" fillId="9" fontId="10" numFmtId="0" xfId="0" applyAlignment="1" applyBorder="1" applyFont="1">
      <alignment horizontal="center" readingOrder="0" vertical="center"/>
    </xf>
    <xf borderId="12" fillId="9" fontId="11" numFmtId="0" xfId="0" applyAlignment="1" applyBorder="1" applyFont="1">
      <alignment horizontal="center" readingOrder="0" vertical="center"/>
    </xf>
    <xf borderId="10" fillId="9" fontId="12" numFmtId="0" xfId="0" applyAlignment="1" applyBorder="1" applyFont="1">
      <alignment horizontal="center" readingOrder="0" vertical="center"/>
    </xf>
    <xf borderId="13" fillId="5" fontId="4" numFmtId="164" xfId="0" applyAlignment="1" applyBorder="1" applyFont="1" applyNumberFormat="1">
      <alignment horizontal="center" readingOrder="0" vertical="bottom"/>
    </xf>
    <xf borderId="13" fillId="5" fontId="15" numFmtId="38" xfId="0" applyAlignment="1" applyBorder="1" applyFont="1" applyNumberFormat="1">
      <alignment readingOrder="0" vertical="bottom"/>
    </xf>
    <xf borderId="13" fillId="8" fontId="25" numFmtId="0" xfId="0" applyAlignment="1" applyBorder="1" applyFont="1">
      <alignment horizontal="center" readingOrder="0" vertical="bottom"/>
    </xf>
    <xf borderId="13" fillId="8" fontId="25" numFmtId="1" xfId="0" applyAlignment="1" applyBorder="1" applyFont="1" applyNumberFormat="1">
      <alignment horizontal="center" readingOrder="0" vertical="bottom"/>
    </xf>
    <xf borderId="13" fillId="8" fontId="25" numFmtId="0" xfId="0" applyAlignment="1" applyBorder="1" applyFont="1">
      <alignment readingOrder="0" vertical="bottom"/>
    </xf>
    <xf borderId="13" fillId="8" fontId="16" numFmtId="38" xfId="0" applyAlignment="1" applyBorder="1" applyFont="1" applyNumberFormat="1">
      <alignment horizontal="right" readingOrder="0" vertical="bottom"/>
    </xf>
    <xf borderId="13" fillId="5" fontId="25" numFmtId="0" xfId="0" applyAlignment="1" applyBorder="1" applyFont="1">
      <alignment horizontal="center" readingOrder="0" vertical="bottom"/>
    </xf>
    <xf borderId="13" fillId="5" fontId="25" numFmtId="1" xfId="0" applyAlignment="1" applyBorder="1" applyFont="1" applyNumberFormat="1">
      <alignment horizontal="center" readingOrder="0" vertical="bottom"/>
    </xf>
    <xf borderId="13" fillId="5" fontId="25" numFmtId="0" xfId="0" applyAlignment="1" applyBorder="1" applyFont="1">
      <alignment readingOrder="0" vertical="bottom"/>
    </xf>
    <xf borderId="13" fillId="5" fontId="26" numFmtId="38" xfId="0" applyAlignment="1" applyBorder="1" applyFont="1" applyNumberFormat="1">
      <alignment readingOrder="0" vertical="bottom"/>
    </xf>
    <xf borderId="13" fillId="5" fontId="25" numFmtId="164" xfId="0" applyAlignment="1" applyBorder="1" applyFont="1" applyNumberFormat="1">
      <alignment horizontal="center" readingOrder="0" vertical="bottom"/>
    </xf>
    <xf borderId="13" fillId="5" fontId="16" numFmtId="38" xfId="0" applyAlignment="1" applyBorder="1" applyFont="1" applyNumberFormat="1">
      <alignment horizontal="right" readingOrder="0" vertical="bottom"/>
    </xf>
    <xf borderId="13" fillId="5" fontId="27" numFmtId="38" xfId="0" applyAlignment="1" applyBorder="1" applyFont="1" applyNumberFormat="1">
      <alignment readingOrder="0" vertical="bottom"/>
    </xf>
    <xf borderId="13" fillId="5" fontId="28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276225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45869.0</v>
      </c>
      <c r="C4" s="18" t="s">
        <v>16</v>
      </c>
      <c r="D4" s="19">
        <v>52686.0</v>
      </c>
      <c r="E4" s="20" t="s">
        <v>17</v>
      </c>
      <c r="F4" s="21"/>
      <c r="G4" s="22">
        <v>1200.0</v>
      </c>
      <c r="H4" s="23"/>
      <c r="I4" s="24"/>
      <c r="J4" s="25"/>
      <c r="K4" s="26" t="s">
        <v>18</v>
      </c>
      <c r="L4" s="27" t="s">
        <v>19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" t="s">
        <v>21</v>
      </c>
      <c r="B5" s="17">
        <v>45869.0</v>
      </c>
      <c r="C5" s="18" t="s">
        <v>22</v>
      </c>
      <c r="D5" s="19">
        <v>10684.0</v>
      </c>
      <c r="E5" s="20" t="s">
        <v>23</v>
      </c>
      <c r="F5" s="21"/>
      <c r="G5" s="22">
        <v>3600.0</v>
      </c>
      <c r="H5" s="23"/>
      <c r="I5" s="24"/>
      <c r="J5" s="25"/>
      <c r="K5" s="26" t="s">
        <v>18</v>
      </c>
      <c r="L5" s="27" t="s">
        <v>24</v>
      </c>
      <c r="M5" s="2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25</v>
      </c>
      <c r="B6" s="17">
        <v>45869.0</v>
      </c>
      <c r="C6" s="18" t="s">
        <v>26</v>
      </c>
      <c r="D6" s="19">
        <v>21971.0</v>
      </c>
      <c r="E6" s="20" t="s">
        <v>27</v>
      </c>
      <c r="F6" s="30"/>
      <c r="G6" s="31">
        <v>1450.0</v>
      </c>
      <c r="H6" s="32"/>
      <c r="I6" s="24"/>
      <c r="J6" s="33"/>
      <c r="K6" s="26" t="s">
        <v>18</v>
      </c>
      <c r="L6" s="27" t="s">
        <v>28</v>
      </c>
      <c r="M6" s="2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29</v>
      </c>
      <c r="B7" s="17">
        <v>45869.0</v>
      </c>
      <c r="C7" s="18" t="s">
        <v>30</v>
      </c>
      <c r="D7" s="19">
        <v>92257.0</v>
      </c>
      <c r="E7" s="20" t="s">
        <v>31</v>
      </c>
      <c r="F7" s="34"/>
      <c r="G7" s="35">
        <v>7000.0</v>
      </c>
      <c r="H7" s="36"/>
      <c r="I7" s="37"/>
      <c r="J7" s="38"/>
      <c r="K7" s="26" t="s">
        <v>18</v>
      </c>
      <c r="L7" s="27" t="s">
        <v>32</v>
      </c>
      <c r="M7" s="28" t="s">
        <v>33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34</v>
      </c>
      <c r="B8" s="17">
        <v>45869.0</v>
      </c>
      <c r="C8" s="18" t="s">
        <v>35</v>
      </c>
      <c r="D8" s="19">
        <v>78726.0</v>
      </c>
      <c r="E8" s="20" t="s">
        <v>36</v>
      </c>
      <c r="F8" s="34"/>
      <c r="G8" s="35">
        <v>5000.0</v>
      </c>
      <c r="H8" s="36"/>
      <c r="I8" s="37"/>
      <c r="J8" s="38"/>
      <c r="K8" s="26" t="s">
        <v>18</v>
      </c>
      <c r="L8" s="27" t="s">
        <v>37</v>
      </c>
      <c r="M8" s="28" t="s">
        <v>33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/>
      <c r="B9" s="39"/>
      <c r="C9" s="40"/>
      <c r="D9" s="41"/>
      <c r="E9" s="42"/>
      <c r="F9" s="43"/>
      <c r="G9" s="43"/>
      <c r="H9" s="44"/>
      <c r="I9" s="37"/>
      <c r="J9" s="45"/>
      <c r="K9" s="46"/>
      <c r="L9" s="47"/>
      <c r="M9" s="4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49"/>
      <c r="B10" s="39"/>
      <c r="C10" s="40"/>
      <c r="D10" s="41"/>
      <c r="E10" s="42"/>
      <c r="F10" s="43"/>
      <c r="G10" s="43"/>
      <c r="H10" s="44"/>
      <c r="I10" s="37"/>
      <c r="J10" s="45"/>
      <c r="K10" s="50"/>
      <c r="L10" s="47"/>
      <c r="M10" s="4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SUM(F4:F8)</f>
        <v>0</v>
      </c>
      <c r="G11" s="52">
        <f t="shared" si="1"/>
        <v>18250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18250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56">
        <v>45870.0</v>
      </c>
      <c r="C4" s="57" t="s">
        <v>39</v>
      </c>
      <c r="D4" s="58">
        <v>51017.0</v>
      </c>
      <c r="E4" s="59" t="s">
        <v>40</v>
      </c>
      <c r="F4" s="21"/>
      <c r="G4" s="22">
        <v>10000.0</v>
      </c>
      <c r="H4" s="23"/>
      <c r="I4" s="24"/>
      <c r="J4" s="25"/>
      <c r="K4" s="26" t="s">
        <v>18</v>
      </c>
      <c r="L4" s="27" t="s">
        <v>41</v>
      </c>
      <c r="M4" s="28" t="s">
        <v>42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" t="s">
        <v>21</v>
      </c>
      <c r="B5" s="56">
        <v>45871.0</v>
      </c>
      <c r="C5" s="57" t="s">
        <v>43</v>
      </c>
      <c r="D5" s="58">
        <v>10250.0</v>
      </c>
      <c r="E5" s="59" t="s">
        <v>44</v>
      </c>
      <c r="F5" s="21"/>
      <c r="G5" s="22">
        <v>21500.0</v>
      </c>
      <c r="H5" s="23"/>
      <c r="I5" s="24"/>
      <c r="J5" s="25"/>
      <c r="K5" s="26" t="s">
        <v>18</v>
      </c>
      <c r="L5" s="27" t="s">
        <v>45</v>
      </c>
      <c r="M5" s="28" t="s">
        <v>42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60" t="s">
        <v>25</v>
      </c>
      <c r="B6" s="56">
        <v>45871.0</v>
      </c>
      <c r="C6" s="57" t="s">
        <v>46</v>
      </c>
      <c r="D6" s="58">
        <v>52669.0</v>
      </c>
      <c r="E6" s="59" t="s">
        <v>47</v>
      </c>
      <c r="F6" s="30"/>
      <c r="G6" s="31">
        <v>29600.0</v>
      </c>
      <c r="H6" s="32"/>
      <c r="I6" s="24"/>
      <c r="J6" s="61"/>
      <c r="K6" s="26" t="s">
        <v>18</v>
      </c>
      <c r="L6" s="27" t="s">
        <v>48</v>
      </c>
      <c r="M6" s="28" t="s">
        <v>33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29</v>
      </c>
      <c r="B7" s="56">
        <v>45871.0</v>
      </c>
      <c r="C7" s="57" t="s">
        <v>49</v>
      </c>
      <c r="D7" s="58">
        <v>48854.0</v>
      </c>
      <c r="E7" s="59" t="s">
        <v>50</v>
      </c>
      <c r="F7" s="30"/>
      <c r="G7" s="31"/>
      <c r="H7" s="32"/>
      <c r="I7" s="24"/>
      <c r="J7" s="62">
        <v>35.0</v>
      </c>
      <c r="K7" s="26" t="s">
        <v>18</v>
      </c>
      <c r="L7" s="27" t="s">
        <v>51</v>
      </c>
      <c r="M7" s="28" t="s">
        <v>42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34</v>
      </c>
      <c r="B8" s="56">
        <v>45871.0</v>
      </c>
      <c r="C8" s="57" t="s">
        <v>52</v>
      </c>
      <c r="D8" s="58">
        <v>56257.0</v>
      </c>
      <c r="E8" s="59" t="s">
        <v>53</v>
      </c>
      <c r="F8" s="30"/>
      <c r="G8" s="31"/>
      <c r="H8" s="32"/>
      <c r="I8" s="24"/>
      <c r="J8" s="62">
        <v>35.0</v>
      </c>
      <c r="K8" s="26" t="s">
        <v>18</v>
      </c>
      <c r="L8" s="27" t="s">
        <v>54</v>
      </c>
      <c r="M8" s="28" t="s">
        <v>42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 t="s">
        <v>55</v>
      </c>
      <c r="B9" s="56">
        <v>45871.0</v>
      </c>
      <c r="C9" s="57" t="s">
        <v>56</v>
      </c>
      <c r="D9" s="58">
        <v>44395.0</v>
      </c>
      <c r="E9" s="59" t="s">
        <v>57</v>
      </c>
      <c r="F9" s="30"/>
      <c r="G9" s="31"/>
      <c r="H9" s="32"/>
      <c r="I9" s="24"/>
      <c r="J9" s="62">
        <v>35.0</v>
      </c>
      <c r="K9" s="26" t="s">
        <v>18</v>
      </c>
      <c r="L9" s="27" t="s">
        <v>58</v>
      </c>
      <c r="M9" s="28" t="s">
        <v>42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59</v>
      </c>
      <c r="B10" s="56">
        <v>45871.0</v>
      </c>
      <c r="C10" s="57" t="s">
        <v>60</v>
      </c>
      <c r="D10" s="58">
        <v>77658.0</v>
      </c>
      <c r="E10" s="59" t="s">
        <v>61</v>
      </c>
      <c r="F10" s="30"/>
      <c r="G10" s="31"/>
      <c r="H10" s="32"/>
      <c r="I10" s="24"/>
      <c r="J10" s="62">
        <v>35.0</v>
      </c>
      <c r="K10" s="26" t="s">
        <v>18</v>
      </c>
      <c r="L10" s="27" t="s">
        <v>62</v>
      </c>
      <c r="M10" s="28" t="s">
        <v>42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63</v>
      </c>
      <c r="B11" s="56">
        <v>45871.0</v>
      </c>
      <c r="C11" s="57" t="s">
        <v>64</v>
      </c>
      <c r="D11" s="58">
        <v>43380.0</v>
      </c>
      <c r="E11" s="59" t="s">
        <v>65</v>
      </c>
      <c r="F11" s="30"/>
      <c r="G11" s="31"/>
      <c r="H11" s="32"/>
      <c r="I11" s="24"/>
      <c r="J11" s="62">
        <v>35.0</v>
      </c>
      <c r="K11" s="26" t="s">
        <v>18</v>
      </c>
      <c r="L11" s="27" t="s">
        <v>66</v>
      </c>
      <c r="M11" s="28" t="s">
        <v>42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60" t="s">
        <v>67</v>
      </c>
      <c r="B12" s="56">
        <v>45871.0</v>
      </c>
      <c r="C12" s="57" t="s">
        <v>68</v>
      </c>
      <c r="D12" s="58">
        <v>43380.0</v>
      </c>
      <c r="E12" s="59" t="s">
        <v>65</v>
      </c>
      <c r="F12" s="34"/>
      <c r="G12" s="35"/>
      <c r="H12" s="36"/>
      <c r="I12" s="37"/>
      <c r="J12" s="62">
        <v>35.0</v>
      </c>
      <c r="K12" s="26" t="s">
        <v>18</v>
      </c>
      <c r="L12" s="27" t="s">
        <v>66</v>
      </c>
      <c r="M12" s="28" t="s">
        <v>42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6" t="s">
        <v>69</v>
      </c>
      <c r="B13" s="56">
        <v>45871.0</v>
      </c>
      <c r="C13" s="57" t="s">
        <v>70</v>
      </c>
      <c r="D13" s="58">
        <v>45227.0</v>
      </c>
      <c r="E13" s="59" t="s">
        <v>71</v>
      </c>
      <c r="F13" s="34"/>
      <c r="G13" s="35">
        <v>5100.0</v>
      </c>
      <c r="H13" s="36"/>
      <c r="I13" s="37"/>
      <c r="J13" s="38"/>
      <c r="K13" s="26" t="s">
        <v>18</v>
      </c>
      <c r="L13" s="27" t="s">
        <v>72</v>
      </c>
      <c r="M13" s="28" t="s">
        <v>33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6" t="s">
        <v>73</v>
      </c>
      <c r="B14" s="63">
        <v>45871.0</v>
      </c>
      <c r="C14" s="64" t="s">
        <v>74</v>
      </c>
      <c r="D14" s="65">
        <v>43380.0</v>
      </c>
      <c r="E14" s="66" t="s">
        <v>65</v>
      </c>
      <c r="F14" s="43"/>
      <c r="G14" s="67">
        <v>9000.0</v>
      </c>
      <c r="H14" s="44"/>
      <c r="I14" s="37"/>
      <c r="J14" s="45"/>
      <c r="K14" s="26" t="s">
        <v>18</v>
      </c>
      <c r="L14" s="27" t="s">
        <v>75</v>
      </c>
      <c r="M14" s="28" t="s">
        <v>33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49"/>
      <c r="B15" s="39"/>
      <c r="C15" s="40"/>
      <c r="D15" s="41"/>
      <c r="E15" s="42"/>
      <c r="F15" s="43"/>
      <c r="G15" s="43"/>
      <c r="H15" s="44"/>
      <c r="I15" s="37"/>
      <c r="J15" s="45"/>
      <c r="K15" s="50"/>
      <c r="L15" s="47"/>
      <c r="M15" s="4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51"/>
      <c r="B16" s="2"/>
      <c r="C16" s="2"/>
      <c r="D16" s="2"/>
      <c r="E16" s="3"/>
      <c r="F16" s="52">
        <f t="shared" ref="F16:J16" si="1">SUM(F4:F13)</f>
        <v>0</v>
      </c>
      <c r="G16" s="52">
        <f t="shared" si="1"/>
        <v>66200</v>
      </c>
      <c r="H16" s="52">
        <f t="shared" si="1"/>
        <v>0</v>
      </c>
      <c r="I16" s="52">
        <f t="shared" si="1"/>
        <v>0</v>
      </c>
      <c r="J16" s="52">
        <f t="shared" si="1"/>
        <v>210</v>
      </c>
      <c r="K16" s="53"/>
      <c r="L16" s="53"/>
      <c r="M16" s="54"/>
    </row>
    <row r="17" ht="48.0" customHeight="1">
      <c r="F17" s="55">
        <f>F16+G16+H16+I16+J16</f>
        <v>66410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56">
        <v>45724.0</v>
      </c>
      <c r="C4" s="57" t="s">
        <v>77</v>
      </c>
      <c r="D4" s="58">
        <v>50595.0</v>
      </c>
      <c r="E4" s="59" t="s">
        <v>78</v>
      </c>
      <c r="F4" s="21"/>
      <c r="G4" s="22">
        <v>6800.0</v>
      </c>
      <c r="H4" s="23"/>
      <c r="I4" s="24"/>
      <c r="J4" s="25"/>
      <c r="K4" s="26" t="s">
        <v>18</v>
      </c>
      <c r="L4" s="27" t="s">
        <v>79</v>
      </c>
      <c r="M4" s="28" t="s">
        <v>80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" t="s">
        <v>21</v>
      </c>
      <c r="B5" s="56">
        <v>45724.0</v>
      </c>
      <c r="C5" s="57" t="s">
        <v>81</v>
      </c>
      <c r="D5" s="58">
        <v>50342.0</v>
      </c>
      <c r="E5" s="59" t="s">
        <v>82</v>
      </c>
      <c r="F5" s="21"/>
      <c r="G5" s="22">
        <v>3400.0</v>
      </c>
      <c r="H5" s="23"/>
      <c r="I5" s="24"/>
      <c r="J5" s="25"/>
      <c r="K5" s="26" t="s">
        <v>83</v>
      </c>
      <c r="L5" s="27" t="s">
        <v>84</v>
      </c>
      <c r="M5" s="28" t="s">
        <v>85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60" t="s">
        <v>25</v>
      </c>
      <c r="B6" s="56">
        <v>45872.0</v>
      </c>
      <c r="C6" s="57" t="s">
        <v>86</v>
      </c>
      <c r="D6" s="58">
        <v>92520.0</v>
      </c>
      <c r="E6" s="59" t="s">
        <v>87</v>
      </c>
      <c r="F6" s="68">
        <v>300.0</v>
      </c>
      <c r="G6" s="31"/>
      <c r="H6" s="32"/>
      <c r="I6" s="24"/>
      <c r="J6" s="61"/>
      <c r="K6" s="26" t="s">
        <v>18</v>
      </c>
      <c r="L6" s="27" t="s">
        <v>88</v>
      </c>
      <c r="M6" s="28" t="s">
        <v>89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29</v>
      </c>
      <c r="B7" s="56">
        <v>45724.0</v>
      </c>
      <c r="C7" s="57" t="s">
        <v>90</v>
      </c>
      <c r="D7" s="58">
        <v>51017.0</v>
      </c>
      <c r="E7" s="59" t="s">
        <v>40</v>
      </c>
      <c r="F7" s="30"/>
      <c r="G7" s="31">
        <v>10000.0</v>
      </c>
      <c r="H7" s="32"/>
      <c r="I7" s="24"/>
      <c r="J7" s="62"/>
      <c r="K7" s="26" t="s">
        <v>18</v>
      </c>
      <c r="L7" s="27" t="s">
        <v>91</v>
      </c>
      <c r="M7" s="28" t="s">
        <v>80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34</v>
      </c>
      <c r="B8" s="56">
        <v>45872.0</v>
      </c>
      <c r="C8" s="57" t="s">
        <v>92</v>
      </c>
      <c r="D8" s="58">
        <v>68939.0</v>
      </c>
      <c r="E8" s="59" t="s">
        <v>93</v>
      </c>
      <c r="F8" s="30"/>
      <c r="G8" s="31"/>
      <c r="H8" s="32"/>
      <c r="I8" s="24"/>
      <c r="J8" s="62">
        <v>245.0</v>
      </c>
      <c r="K8" s="26" t="s">
        <v>18</v>
      </c>
      <c r="L8" s="27" t="s">
        <v>94</v>
      </c>
      <c r="M8" s="28" t="s">
        <v>95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49"/>
      <c r="B9" s="39"/>
      <c r="C9" s="40"/>
      <c r="D9" s="41"/>
      <c r="E9" s="42"/>
      <c r="F9" s="43"/>
      <c r="G9" s="43"/>
      <c r="H9" s="44"/>
      <c r="I9" s="37"/>
      <c r="J9" s="45"/>
      <c r="K9" s="50"/>
      <c r="L9" s="47"/>
      <c r="M9" s="4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1"/>
      <c r="B10" s="2"/>
      <c r="C10" s="2"/>
      <c r="D10" s="2"/>
      <c r="E10" s="3"/>
      <c r="F10" s="52">
        <f t="shared" ref="F10:J10" si="1">SUM(F4:F8)</f>
        <v>300</v>
      </c>
      <c r="G10" s="52">
        <f t="shared" si="1"/>
        <v>20200</v>
      </c>
      <c r="H10" s="52">
        <f t="shared" si="1"/>
        <v>0</v>
      </c>
      <c r="I10" s="52">
        <f t="shared" si="1"/>
        <v>0</v>
      </c>
      <c r="J10" s="52">
        <f t="shared" si="1"/>
        <v>245</v>
      </c>
      <c r="K10" s="53"/>
      <c r="L10" s="53"/>
      <c r="M10" s="54"/>
    </row>
    <row r="11" ht="48.0" customHeight="1">
      <c r="F11" s="55">
        <f>F10+G10+H10+I10+J10</f>
        <v>20745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56">
        <v>45755.0</v>
      </c>
      <c r="C4" s="57" t="s">
        <v>97</v>
      </c>
      <c r="D4" s="58">
        <v>10008.0</v>
      </c>
      <c r="E4" s="59" t="s">
        <v>98</v>
      </c>
      <c r="F4" s="21"/>
      <c r="G4" s="22"/>
      <c r="H4" s="69">
        <v>600.0</v>
      </c>
      <c r="I4" s="24"/>
      <c r="J4" s="25"/>
      <c r="K4" s="26" t="s">
        <v>18</v>
      </c>
      <c r="L4" s="27" t="s">
        <v>99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60" t="s">
        <v>21</v>
      </c>
      <c r="B5" s="56">
        <v>45755.0</v>
      </c>
      <c r="C5" s="57" t="s">
        <v>100</v>
      </c>
      <c r="D5" s="58">
        <v>49918.0</v>
      </c>
      <c r="E5" s="59" t="s">
        <v>101</v>
      </c>
      <c r="F5" s="70">
        <v>1250.0</v>
      </c>
      <c r="G5" s="22"/>
      <c r="H5" s="23"/>
      <c r="I5" s="24"/>
      <c r="J5" s="25"/>
      <c r="K5" s="26" t="s">
        <v>83</v>
      </c>
      <c r="L5" s="27" t="s">
        <v>102</v>
      </c>
      <c r="M5" s="28" t="s">
        <v>85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60" t="s">
        <v>25</v>
      </c>
      <c r="B6" s="56">
        <v>45755.0</v>
      </c>
      <c r="C6" s="40" t="s">
        <v>103</v>
      </c>
      <c r="D6" s="41">
        <v>52247.0</v>
      </c>
      <c r="E6" s="71" t="s">
        <v>104</v>
      </c>
      <c r="F6" s="70"/>
      <c r="G6" s="22"/>
      <c r="H6" s="23"/>
      <c r="I6" s="24"/>
      <c r="J6" s="72">
        <v>179.0</v>
      </c>
      <c r="K6" s="26" t="s">
        <v>18</v>
      </c>
      <c r="L6" s="27" t="s">
        <v>105</v>
      </c>
      <c r="M6" s="28" t="s">
        <v>106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60" t="s">
        <v>29</v>
      </c>
      <c r="B7" s="56">
        <v>45755.0</v>
      </c>
      <c r="C7" s="40" t="s">
        <v>107</v>
      </c>
      <c r="D7" s="41">
        <v>52247.0</v>
      </c>
      <c r="E7" s="71" t="s">
        <v>104</v>
      </c>
      <c r="F7" s="21"/>
      <c r="G7" s="22"/>
      <c r="H7" s="23"/>
      <c r="I7" s="24"/>
      <c r="J7" s="72">
        <v>70.0</v>
      </c>
      <c r="K7" s="26" t="s">
        <v>18</v>
      </c>
      <c r="L7" s="27" t="s">
        <v>108</v>
      </c>
      <c r="M7" s="28" t="s">
        <v>106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9"/>
      <c r="B8" s="39"/>
      <c r="C8" s="40"/>
      <c r="D8" s="41"/>
      <c r="E8" s="42"/>
      <c r="F8" s="43"/>
      <c r="G8" s="43"/>
      <c r="H8" s="44"/>
      <c r="I8" s="37"/>
      <c r="J8" s="45"/>
      <c r="K8" s="50"/>
      <c r="L8" s="47"/>
      <c r="M8" s="4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1"/>
      <c r="B9" s="2"/>
      <c r="C9" s="2"/>
      <c r="D9" s="2"/>
      <c r="E9" s="3"/>
      <c r="F9" s="52">
        <f t="shared" ref="F9:J9" si="1">SUM(F4:F7)</f>
        <v>1250</v>
      </c>
      <c r="G9" s="52">
        <f t="shared" si="1"/>
        <v>0</v>
      </c>
      <c r="H9" s="52">
        <f t="shared" si="1"/>
        <v>600</v>
      </c>
      <c r="I9" s="52">
        <f t="shared" si="1"/>
        <v>0</v>
      </c>
      <c r="J9" s="52">
        <f t="shared" si="1"/>
        <v>249</v>
      </c>
      <c r="K9" s="53"/>
      <c r="L9" s="53"/>
      <c r="M9" s="54"/>
    </row>
    <row r="10" ht="48.0" customHeight="1">
      <c r="F10" s="55">
        <f>F9+G9+H9+I9+J9</f>
        <v>2099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73">
        <v>45874.0</v>
      </c>
      <c r="C4" s="74" t="s">
        <v>110</v>
      </c>
      <c r="D4" s="75">
        <v>59793.0</v>
      </c>
      <c r="E4" s="76" t="s">
        <v>111</v>
      </c>
      <c r="F4" s="21"/>
      <c r="G4" s="77">
        <v>25300.0</v>
      </c>
      <c r="H4" s="69"/>
      <c r="I4" s="24"/>
      <c r="J4" s="25"/>
      <c r="K4" s="26" t="s">
        <v>18</v>
      </c>
      <c r="L4" s="27" t="s">
        <v>99</v>
      </c>
      <c r="M4" s="28" t="s">
        <v>106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60" t="s">
        <v>21</v>
      </c>
      <c r="B5" s="73">
        <v>45874.0</v>
      </c>
      <c r="C5" s="74" t="s">
        <v>112</v>
      </c>
      <c r="D5" s="75">
        <v>50595.0</v>
      </c>
      <c r="E5" s="76" t="s">
        <v>78</v>
      </c>
      <c r="F5" s="70"/>
      <c r="G5" s="77">
        <v>5000.0</v>
      </c>
      <c r="H5" s="23"/>
      <c r="I5" s="24"/>
      <c r="J5" s="25"/>
      <c r="K5" s="26" t="s">
        <v>18</v>
      </c>
      <c r="L5" s="27" t="s">
        <v>102</v>
      </c>
      <c r="M5" s="28" t="s">
        <v>80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60"/>
      <c r="B6" s="56"/>
      <c r="C6" s="40"/>
      <c r="D6" s="41"/>
      <c r="E6" s="71"/>
      <c r="F6" s="70"/>
      <c r="G6" s="22"/>
      <c r="H6" s="23"/>
      <c r="I6" s="24"/>
      <c r="J6" s="72"/>
      <c r="K6" s="26"/>
      <c r="L6" s="27"/>
      <c r="M6" s="2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60"/>
      <c r="B7" s="56"/>
      <c r="C7" s="40"/>
      <c r="D7" s="41"/>
      <c r="E7" s="71"/>
      <c r="F7" s="21"/>
      <c r="G7" s="22"/>
      <c r="H7" s="23"/>
      <c r="I7" s="24"/>
      <c r="J7" s="72"/>
      <c r="K7" s="26"/>
      <c r="L7" s="27"/>
      <c r="M7" s="2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9"/>
      <c r="B8" s="39"/>
      <c r="C8" s="40"/>
      <c r="D8" s="41"/>
      <c r="E8" s="42"/>
      <c r="F8" s="43"/>
      <c r="G8" s="43"/>
      <c r="H8" s="44"/>
      <c r="I8" s="37"/>
      <c r="J8" s="45"/>
      <c r="K8" s="50"/>
      <c r="L8" s="47"/>
      <c r="M8" s="4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1"/>
      <c r="B9" s="2"/>
      <c r="C9" s="2"/>
      <c r="D9" s="2"/>
      <c r="E9" s="3"/>
      <c r="F9" s="52">
        <f t="shared" ref="F9:J9" si="1">SUM(F4:F7)</f>
        <v>0</v>
      </c>
      <c r="G9" s="52">
        <f t="shared" si="1"/>
        <v>30300</v>
      </c>
      <c r="H9" s="52">
        <f t="shared" si="1"/>
        <v>0</v>
      </c>
      <c r="I9" s="52">
        <f t="shared" si="1"/>
        <v>0</v>
      </c>
      <c r="J9" s="52">
        <f t="shared" si="1"/>
        <v>0</v>
      </c>
      <c r="K9" s="53"/>
      <c r="L9" s="53"/>
      <c r="M9" s="54"/>
    </row>
    <row r="10" ht="48.0" customHeight="1">
      <c r="F10" s="55">
        <f>F9+G9+H9+I9+J9</f>
        <v>30300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78">
        <v>45875.0</v>
      </c>
      <c r="C4" s="79" t="s">
        <v>114</v>
      </c>
      <c r="D4" s="80">
        <v>52669.0</v>
      </c>
      <c r="E4" s="81" t="s">
        <v>47</v>
      </c>
      <c r="F4" s="21"/>
      <c r="G4" s="82">
        <v>25200.0</v>
      </c>
      <c r="H4" s="69"/>
      <c r="I4" s="24"/>
      <c r="J4" s="25"/>
      <c r="K4" s="26" t="s">
        <v>18</v>
      </c>
      <c r="L4" s="27" t="s">
        <v>115</v>
      </c>
      <c r="M4" s="28" t="s">
        <v>80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60" t="s">
        <v>21</v>
      </c>
      <c r="B5" s="78">
        <v>45875.0</v>
      </c>
      <c r="C5" s="79" t="s">
        <v>116</v>
      </c>
      <c r="D5" s="80">
        <v>69620.0</v>
      </c>
      <c r="E5" s="81" t="s">
        <v>117</v>
      </c>
      <c r="F5" s="70"/>
      <c r="G5" s="77"/>
      <c r="H5" s="23"/>
      <c r="I5" s="24"/>
      <c r="J5" s="72">
        <v>70.0</v>
      </c>
      <c r="K5" s="26" t="s">
        <v>18</v>
      </c>
      <c r="L5" s="27" t="s">
        <v>118</v>
      </c>
      <c r="M5" s="28" t="s">
        <v>33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60" t="s">
        <v>25</v>
      </c>
      <c r="B6" s="78">
        <v>45875.0</v>
      </c>
      <c r="C6" s="64" t="s">
        <v>119</v>
      </c>
      <c r="D6" s="65">
        <v>92803.0</v>
      </c>
      <c r="E6" s="66" t="s">
        <v>120</v>
      </c>
      <c r="F6" s="70">
        <v>300.0</v>
      </c>
      <c r="G6" s="31"/>
      <c r="H6" s="23"/>
      <c r="I6" s="24"/>
      <c r="J6" s="72"/>
      <c r="K6" s="26" t="s">
        <v>18</v>
      </c>
      <c r="L6" s="27" t="s">
        <v>121</v>
      </c>
      <c r="M6" s="2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60" t="s">
        <v>29</v>
      </c>
      <c r="B7" s="78">
        <v>45875.0</v>
      </c>
      <c r="C7" s="64" t="s">
        <v>122</v>
      </c>
      <c r="D7" s="65">
        <v>92807.0</v>
      </c>
      <c r="E7" s="66" t="s">
        <v>123</v>
      </c>
      <c r="F7" s="70"/>
      <c r="G7" s="31">
        <v>7000.0</v>
      </c>
      <c r="H7" s="23"/>
      <c r="I7" s="24"/>
      <c r="J7" s="72"/>
      <c r="K7" s="26" t="s">
        <v>18</v>
      </c>
      <c r="L7" s="27" t="s">
        <v>124</v>
      </c>
      <c r="M7" s="28" t="s">
        <v>125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60"/>
      <c r="B8" s="56"/>
      <c r="C8" s="40"/>
      <c r="D8" s="41"/>
      <c r="E8" s="71"/>
      <c r="F8" s="21"/>
      <c r="G8" s="22"/>
      <c r="H8" s="23"/>
      <c r="I8" s="24"/>
      <c r="J8" s="72"/>
      <c r="K8" s="26"/>
      <c r="L8" s="27"/>
      <c r="M8" s="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49"/>
      <c r="B9" s="39"/>
      <c r="C9" s="40"/>
      <c r="D9" s="41"/>
      <c r="E9" s="42"/>
      <c r="F9" s="43"/>
      <c r="G9" s="43"/>
      <c r="H9" s="44"/>
      <c r="I9" s="37"/>
      <c r="J9" s="45"/>
      <c r="K9" s="50"/>
      <c r="L9" s="47"/>
      <c r="M9" s="4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1"/>
      <c r="B10" s="2"/>
      <c r="C10" s="2"/>
      <c r="D10" s="2"/>
      <c r="E10" s="3"/>
      <c r="F10" s="52">
        <f t="shared" ref="F10:J10" si="1">SUM(F4:F8)</f>
        <v>300</v>
      </c>
      <c r="G10" s="52">
        <f t="shared" si="1"/>
        <v>32200</v>
      </c>
      <c r="H10" s="52">
        <f t="shared" si="1"/>
        <v>0</v>
      </c>
      <c r="I10" s="52">
        <f t="shared" si="1"/>
        <v>0</v>
      </c>
      <c r="J10" s="52">
        <f t="shared" si="1"/>
        <v>70</v>
      </c>
      <c r="K10" s="53"/>
      <c r="L10" s="53"/>
      <c r="M10" s="54"/>
    </row>
    <row r="11" ht="48.0" customHeight="1">
      <c r="F11" s="55">
        <f>F10+G10+H10+I10+J10</f>
        <v>32570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4" t="s">
        <v>15</v>
      </c>
      <c r="B4" s="85">
        <v>45875.0</v>
      </c>
      <c r="C4" s="86" t="s">
        <v>127</v>
      </c>
      <c r="D4" s="87">
        <v>51017.0</v>
      </c>
      <c r="E4" s="88" t="s">
        <v>40</v>
      </c>
      <c r="F4" s="89"/>
      <c r="G4" s="90">
        <v>10000.0</v>
      </c>
      <c r="H4" s="91"/>
      <c r="I4" s="92"/>
      <c r="J4" s="93"/>
      <c r="K4" s="94" t="s">
        <v>18</v>
      </c>
      <c r="L4" s="95">
        <v>20.27</v>
      </c>
      <c r="M4" s="96" t="s">
        <v>42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97" t="s">
        <v>21</v>
      </c>
      <c r="B5" s="85">
        <v>45875.0</v>
      </c>
      <c r="C5" s="86" t="s">
        <v>128</v>
      </c>
      <c r="D5" s="87">
        <v>92833.0</v>
      </c>
      <c r="E5" s="88" t="s">
        <v>129</v>
      </c>
      <c r="F5" s="98">
        <v>300.0</v>
      </c>
      <c r="G5" s="90"/>
      <c r="H5" s="99"/>
      <c r="I5" s="92"/>
      <c r="J5" s="100"/>
      <c r="K5" s="94" t="s">
        <v>18</v>
      </c>
      <c r="L5" s="95" t="s">
        <v>130</v>
      </c>
      <c r="M5" s="96" t="s">
        <v>42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97" t="s">
        <v>25</v>
      </c>
      <c r="B6" s="85">
        <v>45876.0</v>
      </c>
      <c r="C6" s="101" t="s">
        <v>131</v>
      </c>
      <c r="D6" s="102">
        <v>69143.0</v>
      </c>
      <c r="E6" s="103" t="s">
        <v>132</v>
      </c>
      <c r="F6" s="98">
        <v>1100.0</v>
      </c>
      <c r="G6" s="90"/>
      <c r="H6" s="99"/>
      <c r="I6" s="92"/>
      <c r="J6" s="100"/>
      <c r="K6" s="94" t="s">
        <v>18</v>
      </c>
      <c r="L6" s="95" t="s">
        <v>133</v>
      </c>
      <c r="M6" s="96" t="s">
        <v>134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4" t="s">
        <v>29</v>
      </c>
      <c r="B7" s="85">
        <v>45877.0</v>
      </c>
      <c r="C7" s="101" t="s">
        <v>135</v>
      </c>
      <c r="D7" s="102">
        <v>69554.0</v>
      </c>
      <c r="E7" s="103" t="s">
        <v>136</v>
      </c>
      <c r="F7" s="98">
        <v>2500.0</v>
      </c>
      <c r="G7" s="90"/>
      <c r="H7" s="99"/>
      <c r="I7" s="92"/>
      <c r="J7" s="100"/>
      <c r="K7" s="94" t="s">
        <v>137</v>
      </c>
      <c r="L7" s="95" t="s">
        <v>138</v>
      </c>
      <c r="M7" s="96" t="s">
        <v>139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4" t="s">
        <v>34</v>
      </c>
      <c r="B8" s="85">
        <v>45877.0</v>
      </c>
      <c r="C8" s="101" t="s">
        <v>140</v>
      </c>
      <c r="D8" s="102">
        <v>51017.0</v>
      </c>
      <c r="E8" s="103" t="s">
        <v>40</v>
      </c>
      <c r="F8" s="98"/>
      <c r="G8" s="90">
        <v>7500.0</v>
      </c>
      <c r="H8" s="99"/>
      <c r="I8" s="92"/>
      <c r="J8" s="100"/>
      <c r="K8" s="94" t="s">
        <v>18</v>
      </c>
      <c r="L8" s="95" t="s">
        <v>141</v>
      </c>
      <c r="M8" s="96" t="s">
        <v>42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 t="s">
        <v>55</v>
      </c>
      <c r="B9" s="78">
        <v>45878.0</v>
      </c>
      <c r="C9" s="64" t="s">
        <v>142</v>
      </c>
      <c r="D9" s="65">
        <v>42095.0</v>
      </c>
      <c r="E9" s="66" t="s">
        <v>143</v>
      </c>
      <c r="F9" s="70">
        <v>6750.0</v>
      </c>
      <c r="G9" s="31"/>
      <c r="H9" s="23"/>
      <c r="I9" s="24"/>
      <c r="J9" s="72"/>
      <c r="K9" s="26" t="s">
        <v>18</v>
      </c>
      <c r="L9" s="27" t="s">
        <v>144</v>
      </c>
      <c r="M9" s="28" t="s">
        <v>42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0" t="s">
        <v>59</v>
      </c>
      <c r="B10" s="78">
        <v>45878.0</v>
      </c>
      <c r="C10" s="64" t="s">
        <v>145</v>
      </c>
      <c r="D10" s="65">
        <v>59137.0</v>
      </c>
      <c r="E10" s="66" t="s">
        <v>146</v>
      </c>
      <c r="F10" s="70"/>
      <c r="G10" s="31">
        <v>13200.0</v>
      </c>
      <c r="H10" s="23"/>
      <c r="I10" s="24"/>
      <c r="J10" s="72"/>
      <c r="K10" s="26" t="s">
        <v>18</v>
      </c>
      <c r="L10" s="27" t="s">
        <v>147</v>
      </c>
      <c r="M10" s="28" t="s">
        <v>134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63</v>
      </c>
      <c r="B11" s="78">
        <v>45878.0</v>
      </c>
      <c r="C11" s="64" t="s">
        <v>148</v>
      </c>
      <c r="D11" s="65">
        <v>43380.0</v>
      </c>
      <c r="E11" s="66" t="s">
        <v>65</v>
      </c>
      <c r="F11" s="70"/>
      <c r="G11" s="31">
        <v>25000.0</v>
      </c>
      <c r="H11" s="23"/>
      <c r="I11" s="24"/>
      <c r="J11" s="72"/>
      <c r="K11" s="26" t="s">
        <v>18</v>
      </c>
      <c r="L11" s="27" t="s">
        <v>149</v>
      </c>
      <c r="M11" s="28" t="s">
        <v>134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 t="s">
        <v>67</v>
      </c>
      <c r="B12" s="78">
        <v>45878.0</v>
      </c>
      <c r="C12" s="64" t="s">
        <v>150</v>
      </c>
      <c r="D12" s="65">
        <v>50342.0</v>
      </c>
      <c r="E12" s="66" t="s">
        <v>82</v>
      </c>
      <c r="F12" s="70"/>
      <c r="G12" s="31"/>
      <c r="H12" s="69">
        <v>5000.0</v>
      </c>
      <c r="I12" s="24"/>
      <c r="J12" s="72"/>
      <c r="K12" s="26" t="s">
        <v>137</v>
      </c>
      <c r="L12" s="27" t="s">
        <v>151</v>
      </c>
      <c r="M12" s="28" t="s">
        <v>139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0" t="s">
        <v>69</v>
      </c>
      <c r="B13" s="78">
        <v>45878.0</v>
      </c>
      <c r="C13" s="64" t="s">
        <v>152</v>
      </c>
      <c r="D13" s="65">
        <v>68284.0</v>
      </c>
      <c r="E13" s="66" t="s">
        <v>153</v>
      </c>
      <c r="F13" s="70"/>
      <c r="G13" s="31">
        <v>9040.0</v>
      </c>
      <c r="H13" s="23"/>
      <c r="I13" s="24"/>
      <c r="J13" s="72"/>
      <c r="K13" s="26" t="s">
        <v>18</v>
      </c>
      <c r="L13" s="27" t="s">
        <v>154</v>
      </c>
      <c r="M13" s="28" t="s">
        <v>134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60" t="s">
        <v>73</v>
      </c>
      <c r="B14" s="78">
        <v>45878.0</v>
      </c>
      <c r="C14" s="64" t="s">
        <v>155</v>
      </c>
      <c r="D14" s="65">
        <v>43380.0</v>
      </c>
      <c r="E14" s="66" t="s">
        <v>65</v>
      </c>
      <c r="F14" s="70"/>
      <c r="G14" s="31">
        <v>4600.0</v>
      </c>
      <c r="H14" s="23"/>
      <c r="I14" s="24"/>
      <c r="J14" s="72"/>
      <c r="K14" s="26" t="s">
        <v>18</v>
      </c>
      <c r="L14" s="27" t="s">
        <v>156</v>
      </c>
      <c r="M14" s="28" t="s">
        <v>134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16" t="s">
        <v>157</v>
      </c>
      <c r="B15" s="56"/>
      <c r="C15" s="40"/>
      <c r="D15" s="41"/>
      <c r="E15" s="71"/>
      <c r="F15" s="21"/>
      <c r="G15" s="22"/>
      <c r="H15" s="23"/>
      <c r="I15" s="24"/>
      <c r="J15" s="72"/>
      <c r="K15" s="26"/>
      <c r="L15" s="27"/>
      <c r="M15" s="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49"/>
      <c r="B16" s="39"/>
      <c r="C16" s="40"/>
      <c r="D16" s="41"/>
      <c r="E16" s="42"/>
      <c r="F16" s="43"/>
      <c r="G16" s="43"/>
      <c r="H16" s="44"/>
      <c r="I16" s="37"/>
      <c r="J16" s="45"/>
      <c r="K16" s="50"/>
      <c r="L16" s="47"/>
      <c r="M16" s="4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51"/>
      <c r="B17" s="2"/>
      <c r="C17" s="2"/>
      <c r="D17" s="2"/>
      <c r="E17" s="3"/>
      <c r="F17" s="52">
        <f t="shared" ref="F17:J17" si="1">SUM(F4:F15)</f>
        <v>10650</v>
      </c>
      <c r="G17" s="52">
        <f t="shared" si="1"/>
        <v>69340</v>
      </c>
      <c r="H17" s="52">
        <f t="shared" si="1"/>
        <v>5000</v>
      </c>
      <c r="I17" s="52">
        <f t="shared" si="1"/>
        <v>0</v>
      </c>
      <c r="J17" s="52">
        <f t="shared" si="1"/>
        <v>0</v>
      </c>
      <c r="K17" s="53"/>
      <c r="L17" s="53"/>
      <c r="M17" s="54"/>
    </row>
    <row r="18" ht="48.0" customHeight="1">
      <c r="F18" s="55">
        <f>F17+G17+H17+I17+J17</f>
        <v>84990</v>
      </c>
      <c r="G18" s="2"/>
      <c r="H18" s="2"/>
      <c r="I18" s="2"/>
      <c r="J1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2">
    <mergeCell ref="K2:K3"/>
    <mergeCell ref="L2:L3"/>
    <mergeCell ref="E2:E3"/>
    <mergeCell ref="A17:E17"/>
    <mergeCell ref="F18:J1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49" t="s">
        <v>15</v>
      </c>
      <c r="B4" s="78">
        <v>45879.0</v>
      </c>
      <c r="C4" s="79" t="s">
        <v>159</v>
      </c>
      <c r="D4" s="80">
        <v>30909.0</v>
      </c>
      <c r="E4" s="81" t="s">
        <v>160</v>
      </c>
      <c r="F4" s="104"/>
      <c r="G4" s="82">
        <v>9000.0</v>
      </c>
      <c r="H4" s="105"/>
      <c r="I4" s="106"/>
      <c r="J4" s="107"/>
      <c r="K4" s="108" t="s">
        <v>18</v>
      </c>
      <c r="L4" s="109" t="s">
        <v>161</v>
      </c>
      <c r="M4" s="110" t="s">
        <v>134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78">
        <v>45879.0</v>
      </c>
      <c r="C5" s="79" t="s">
        <v>162</v>
      </c>
      <c r="D5" s="80">
        <v>36555.0</v>
      </c>
      <c r="E5" s="81" t="s">
        <v>163</v>
      </c>
      <c r="F5" s="112"/>
      <c r="G5" s="82">
        <v>4500.0</v>
      </c>
      <c r="H5" s="113"/>
      <c r="I5" s="106"/>
      <c r="J5" s="114"/>
      <c r="K5" s="108" t="s">
        <v>18</v>
      </c>
      <c r="L5" s="109" t="s">
        <v>164</v>
      </c>
      <c r="M5" s="110" t="s">
        <v>42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78">
        <v>45879.0</v>
      </c>
      <c r="C6" s="64" t="s">
        <v>165</v>
      </c>
      <c r="D6" s="65">
        <v>10281.0</v>
      </c>
      <c r="E6" s="66" t="s">
        <v>166</v>
      </c>
      <c r="F6" s="112">
        <v>300.0</v>
      </c>
      <c r="G6" s="82"/>
      <c r="H6" s="113"/>
      <c r="I6" s="106"/>
      <c r="J6" s="114"/>
      <c r="K6" s="108" t="s">
        <v>18</v>
      </c>
      <c r="L6" s="109" t="s">
        <v>167</v>
      </c>
      <c r="M6" s="110" t="s">
        <v>42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9" t="s">
        <v>29</v>
      </c>
      <c r="B7" s="78">
        <v>45879.0</v>
      </c>
      <c r="C7" s="64" t="s">
        <v>168</v>
      </c>
      <c r="D7" s="65">
        <v>43380.0</v>
      </c>
      <c r="E7" s="66" t="s">
        <v>65</v>
      </c>
      <c r="F7" s="112"/>
      <c r="G7" s="82">
        <v>10000.0</v>
      </c>
      <c r="H7" s="113"/>
      <c r="I7" s="106"/>
      <c r="J7" s="114"/>
      <c r="K7" s="108" t="s">
        <v>18</v>
      </c>
      <c r="L7" s="109" t="s">
        <v>169</v>
      </c>
      <c r="M7" s="110" t="s">
        <v>134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9" t="s">
        <v>34</v>
      </c>
      <c r="B8" s="78"/>
      <c r="C8" s="64"/>
      <c r="D8" s="65"/>
      <c r="E8" s="66"/>
      <c r="F8" s="112"/>
      <c r="G8" s="82"/>
      <c r="H8" s="113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 t="s">
        <v>55</v>
      </c>
      <c r="B9" s="78"/>
      <c r="C9" s="64"/>
      <c r="D9" s="65"/>
      <c r="E9" s="66"/>
      <c r="F9" s="70"/>
      <c r="G9" s="31"/>
      <c r="H9" s="23"/>
      <c r="I9" s="24"/>
      <c r="J9" s="72"/>
      <c r="K9" s="26"/>
      <c r="L9" s="27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49"/>
      <c r="B10" s="39"/>
      <c r="C10" s="40"/>
      <c r="D10" s="41"/>
      <c r="E10" s="42"/>
      <c r="F10" s="43"/>
      <c r="G10" s="43"/>
      <c r="H10" s="44"/>
      <c r="I10" s="37"/>
      <c r="J10" s="45"/>
      <c r="K10" s="50"/>
      <c r="L10" s="47"/>
      <c r="M10" s="4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SUM(F4:F9)</f>
        <v>300</v>
      </c>
      <c r="G11" s="52">
        <f t="shared" si="1"/>
        <v>23500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23800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49" t="s">
        <v>15</v>
      </c>
      <c r="B4" s="78"/>
      <c r="C4" s="79"/>
      <c r="D4" s="80"/>
      <c r="E4" s="81"/>
      <c r="F4" s="104"/>
      <c r="G4" s="82"/>
      <c r="H4" s="105"/>
      <c r="I4" s="106"/>
      <c r="J4" s="107"/>
      <c r="K4" s="108" t="s">
        <v>18</v>
      </c>
      <c r="L4" s="109" t="s">
        <v>161</v>
      </c>
      <c r="M4" s="110" t="s">
        <v>134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78"/>
      <c r="C5" s="79"/>
      <c r="D5" s="80"/>
      <c r="E5" s="81"/>
      <c r="F5" s="112"/>
      <c r="G5" s="82"/>
      <c r="H5" s="113"/>
      <c r="I5" s="106"/>
      <c r="J5" s="114"/>
      <c r="K5" s="108" t="s">
        <v>18</v>
      </c>
      <c r="L5" s="109" t="s">
        <v>164</v>
      </c>
      <c r="M5" s="110" t="s">
        <v>42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78"/>
      <c r="C6" s="64"/>
      <c r="D6" s="65"/>
      <c r="E6" s="66"/>
      <c r="F6" s="112"/>
      <c r="G6" s="82"/>
      <c r="H6" s="113"/>
      <c r="I6" s="106"/>
      <c r="J6" s="114"/>
      <c r="K6" s="108" t="s">
        <v>18</v>
      </c>
      <c r="L6" s="109" t="s">
        <v>167</v>
      </c>
      <c r="M6" s="110" t="s">
        <v>42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9" t="s">
        <v>29</v>
      </c>
      <c r="B7" s="78"/>
      <c r="C7" s="64"/>
      <c r="D7" s="65"/>
      <c r="E7" s="66"/>
      <c r="F7" s="112"/>
      <c r="G7" s="82"/>
      <c r="H7" s="113"/>
      <c r="I7" s="106"/>
      <c r="J7" s="114"/>
      <c r="K7" s="108" t="s">
        <v>18</v>
      </c>
      <c r="L7" s="109" t="s">
        <v>169</v>
      </c>
      <c r="M7" s="110" t="s">
        <v>134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9" t="s">
        <v>34</v>
      </c>
      <c r="B8" s="78"/>
      <c r="C8" s="64"/>
      <c r="D8" s="65"/>
      <c r="E8" s="66"/>
      <c r="F8" s="112"/>
      <c r="G8" s="82"/>
      <c r="H8" s="113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 t="s">
        <v>55</v>
      </c>
      <c r="B9" s="78"/>
      <c r="C9" s="64"/>
      <c r="D9" s="65"/>
      <c r="E9" s="66"/>
      <c r="F9" s="70"/>
      <c r="G9" s="31"/>
      <c r="H9" s="23"/>
      <c r="I9" s="24"/>
      <c r="J9" s="72"/>
      <c r="K9" s="26"/>
      <c r="L9" s="27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49"/>
      <c r="B10" s="39"/>
      <c r="C10" s="40"/>
      <c r="D10" s="41"/>
      <c r="E10" s="42"/>
      <c r="F10" s="43"/>
      <c r="G10" s="43"/>
      <c r="H10" s="44"/>
      <c r="I10" s="37"/>
      <c r="J10" s="45"/>
      <c r="K10" s="50"/>
      <c r="L10" s="47"/>
      <c r="M10" s="4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SUM(F4:F9)</f>
        <v>0</v>
      </c>
      <c r="G11" s="52">
        <f t="shared" si="1"/>
        <v>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49" t="s">
        <v>15</v>
      </c>
      <c r="B4" s="78">
        <v>45999.0</v>
      </c>
      <c r="C4" s="79" t="s">
        <v>172</v>
      </c>
      <c r="D4" s="80">
        <v>50871.0</v>
      </c>
      <c r="E4" s="81" t="s">
        <v>173</v>
      </c>
      <c r="F4" s="104"/>
      <c r="G4" s="82"/>
      <c r="H4" s="105"/>
      <c r="I4" s="106"/>
      <c r="J4" s="115">
        <v>111.0</v>
      </c>
      <c r="K4" s="108" t="s">
        <v>18</v>
      </c>
      <c r="L4" s="109" t="s">
        <v>174</v>
      </c>
      <c r="M4" s="110" t="s">
        <v>80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78">
        <v>45999.0</v>
      </c>
      <c r="C5" s="79" t="s">
        <v>175</v>
      </c>
      <c r="D5" s="80">
        <v>51939.0</v>
      </c>
      <c r="E5" s="81" t="s">
        <v>176</v>
      </c>
      <c r="F5" s="112"/>
      <c r="G5" s="82"/>
      <c r="H5" s="113"/>
      <c r="I5" s="106"/>
      <c r="J5" s="114">
        <v>245.0</v>
      </c>
      <c r="K5" s="108" t="s">
        <v>18</v>
      </c>
      <c r="L5" s="109" t="s">
        <v>177</v>
      </c>
      <c r="M5" s="110" t="s">
        <v>80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78">
        <v>45999.0</v>
      </c>
      <c r="C6" s="64" t="s">
        <v>178</v>
      </c>
      <c r="D6" s="65">
        <v>52466.0</v>
      </c>
      <c r="E6" s="66" t="s">
        <v>179</v>
      </c>
      <c r="F6" s="112"/>
      <c r="G6" s="82"/>
      <c r="H6" s="113"/>
      <c r="I6" s="106"/>
      <c r="J6" s="114">
        <v>140.0</v>
      </c>
      <c r="K6" s="108" t="s">
        <v>18</v>
      </c>
      <c r="L6" s="109" t="s">
        <v>180</v>
      </c>
      <c r="M6" s="110" t="s">
        <v>80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9" t="s">
        <v>29</v>
      </c>
      <c r="B7" s="78">
        <v>45999.0</v>
      </c>
      <c r="C7" s="64" t="s">
        <v>181</v>
      </c>
      <c r="D7" s="65">
        <v>53189.0</v>
      </c>
      <c r="E7" s="66" t="s">
        <v>182</v>
      </c>
      <c r="F7" s="112"/>
      <c r="G7" s="82"/>
      <c r="H7" s="113"/>
      <c r="I7" s="106"/>
      <c r="J7" s="114">
        <v>175.0</v>
      </c>
      <c r="K7" s="108" t="s">
        <v>18</v>
      </c>
      <c r="L7" s="109" t="s">
        <v>183</v>
      </c>
      <c r="M7" s="110" t="s">
        <v>80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9" t="s">
        <v>34</v>
      </c>
      <c r="B8" s="78">
        <v>45999.0</v>
      </c>
      <c r="C8" s="64" t="s">
        <v>184</v>
      </c>
      <c r="D8" s="65">
        <v>53191.0</v>
      </c>
      <c r="E8" s="66" t="s">
        <v>185</v>
      </c>
      <c r="F8" s="112"/>
      <c r="G8" s="82"/>
      <c r="H8" s="113"/>
      <c r="I8" s="106"/>
      <c r="J8" s="114">
        <v>161.0</v>
      </c>
      <c r="K8" s="108" t="s">
        <v>18</v>
      </c>
      <c r="L8" s="109" t="s">
        <v>186</v>
      </c>
      <c r="M8" s="110" t="s">
        <v>80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49" t="s">
        <v>55</v>
      </c>
      <c r="B9" s="78">
        <v>45999.0</v>
      </c>
      <c r="C9" s="64" t="s">
        <v>187</v>
      </c>
      <c r="D9" s="65">
        <v>52476.0</v>
      </c>
      <c r="E9" s="66" t="s">
        <v>188</v>
      </c>
      <c r="F9" s="70"/>
      <c r="G9" s="31"/>
      <c r="H9" s="23"/>
      <c r="I9" s="24"/>
      <c r="J9" s="72">
        <v>70.0</v>
      </c>
      <c r="K9" s="108" t="s">
        <v>18</v>
      </c>
      <c r="L9" s="109" t="s">
        <v>189</v>
      </c>
      <c r="M9" s="110" t="s">
        <v>80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49" t="s">
        <v>59</v>
      </c>
      <c r="B10" s="78">
        <v>45999.0</v>
      </c>
      <c r="C10" s="64" t="s">
        <v>190</v>
      </c>
      <c r="D10" s="65">
        <v>52252.0</v>
      </c>
      <c r="E10" s="66" t="s">
        <v>191</v>
      </c>
      <c r="F10" s="70"/>
      <c r="G10" s="31"/>
      <c r="H10" s="23"/>
      <c r="I10" s="24"/>
      <c r="J10" s="72">
        <v>70.0</v>
      </c>
      <c r="K10" s="108" t="s">
        <v>18</v>
      </c>
      <c r="L10" s="109" t="s">
        <v>192</v>
      </c>
      <c r="M10" s="110" t="s">
        <v>80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49" t="s">
        <v>63</v>
      </c>
      <c r="B11" s="78">
        <v>45999.0</v>
      </c>
      <c r="C11" s="64" t="s">
        <v>193</v>
      </c>
      <c r="D11" s="65">
        <v>52482.0</v>
      </c>
      <c r="E11" s="66" t="s">
        <v>194</v>
      </c>
      <c r="F11" s="70"/>
      <c r="G11" s="31"/>
      <c r="H11" s="23"/>
      <c r="I11" s="24"/>
      <c r="J11" s="72">
        <v>70.0</v>
      </c>
      <c r="K11" s="108" t="s">
        <v>18</v>
      </c>
      <c r="L11" s="109" t="s">
        <v>195</v>
      </c>
      <c r="M11" s="110" t="s">
        <v>80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49" t="s">
        <v>67</v>
      </c>
      <c r="B12" s="78">
        <v>45999.0</v>
      </c>
      <c r="C12" s="64" t="s">
        <v>196</v>
      </c>
      <c r="D12" s="65">
        <v>52551.0</v>
      </c>
      <c r="E12" s="66" t="s">
        <v>197</v>
      </c>
      <c r="F12" s="70"/>
      <c r="G12" s="31"/>
      <c r="H12" s="23"/>
      <c r="I12" s="24"/>
      <c r="J12" s="72">
        <v>175.0</v>
      </c>
      <c r="K12" s="108" t="s">
        <v>18</v>
      </c>
      <c r="L12" s="109" t="s">
        <v>198</v>
      </c>
      <c r="M12" s="110" t="s">
        <v>80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49" t="s">
        <v>69</v>
      </c>
      <c r="B13" s="78">
        <v>45999.0</v>
      </c>
      <c r="C13" s="64" t="s">
        <v>199</v>
      </c>
      <c r="D13" s="65">
        <v>61885.0</v>
      </c>
      <c r="E13" s="66" t="s">
        <v>200</v>
      </c>
      <c r="F13" s="70"/>
      <c r="G13" s="31"/>
      <c r="H13" s="23"/>
      <c r="I13" s="24"/>
      <c r="J13" s="72">
        <v>46.0</v>
      </c>
      <c r="K13" s="108" t="s">
        <v>18</v>
      </c>
      <c r="L13" s="109" t="s">
        <v>201</v>
      </c>
      <c r="M13" s="110" t="s">
        <v>80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49" t="s">
        <v>73</v>
      </c>
      <c r="B14" s="78">
        <v>45999.0</v>
      </c>
      <c r="C14" s="40" t="s">
        <v>202</v>
      </c>
      <c r="D14" s="41">
        <v>10250.0</v>
      </c>
      <c r="E14" s="71" t="s">
        <v>44</v>
      </c>
      <c r="F14" s="116"/>
      <c r="G14" s="77">
        <v>24500.0</v>
      </c>
      <c r="H14" s="116"/>
      <c r="I14" s="24"/>
      <c r="J14" s="72"/>
      <c r="K14" s="108" t="s">
        <v>83</v>
      </c>
      <c r="L14" s="109" t="s">
        <v>203</v>
      </c>
      <c r="M14" s="28" t="s">
        <v>85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49" t="s">
        <v>157</v>
      </c>
      <c r="B15" s="78">
        <v>45999.0</v>
      </c>
      <c r="C15" s="40" t="s">
        <v>204</v>
      </c>
      <c r="D15" s="41">
        <v>79382.0</v>
      </c>
      <c r="E15" s="71" t="s">
        <v>205</v>
      </c>
      <c r="F15" s="77">
        <v>2600.0</v>
      </c>
      <c r="G15" s="116"/>
      <c r="H15" s="116"/>
      <c r="I15" s="24"/>
      <c r="J15" s="72"/>
      <c r="K15" s="108" t="s">
        <v>18</v>
      </c>
      <c r="L15" s="109" t="s">
        <v>206</v>
      </c>
      <c r="M15" s="28" t="s">
        <v>33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49" t="s">
        <v>207</v>
      </c>
      <c r="B16" s="117" t="s">
        <v>208</v>
      </c>
      <c r="C16" s="40" t="s">
        <v>209</v>
      </c>
      <c r="D16" s="41">
        <v>51017.0</v>
      </c>
      <c r="E16" s="71" t="s">
        <v>40</v>
      </c>
      <c r="F16" s="116"/>
      <c r="G16" s="77">
        <v>5000.0</v>
      </c>
      <c r="H16" s="116"/>
      <c r="I16" s="24"/>
      <c r="J16" s="72"/>
      <c r="K16" s="108" t="s">
        <v>18</v>
      </c>
      <c r="L16" s="109" t="s">
        <v>210</v>
      </c>
      <c r="M16" s="28" t="s">
        <v>211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49" t="s">
        <v>212</v>
      </c>
      <c r="B17" s="117" t="s">
        <v>208</v>
      </c>
      <c r="C17" s="40" t="s">
        <v>213</v>
      </c>
      <c r="D17" s="41">
        <v>68284.0</v>
      </c>
      <c r="E17" s="71" t="s">
        <v>153</v>
      </c>
      <c r="F17" s="116"/>
      <c r="G17" s="77">
        <v>8540.0</v>
      </c>
      <c r="H17" s="116"/>
      <c r="I17" s="24"/>
      <c r="J17" s="72"/>
      <c r="K17" s="108" t="s">
        <v>18</v>
      </c>
      <c r="L17" s="109" t="s">
        <v>214</v>
      </c>
      <c r="M17" s="28" t="s">
        <v>215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49" t="s">
        <v>216</v>
      </c>
      <c r="B18" s="117" t="s">
        <v>208</v>
      </c>
      <c r="C18" s="40" t="s">
        <v>217</v>
      </c>
      <c r="D18" s="41">
        <v>38299.0</v>
      </c>
      <c r="E18" s="71" t="s">
        <v>218</v>
      </c>
      <c r="F18" s="116"/>
      <c r="G18" s="116"/>
      <c r="H18" s="77">
        <v>4500.0</v>
      </c>
      <c r="I18" s="24"/>
      <c r="J18" s="72"/>
      <c r="K18" s="108" t="s">
        <v>18</v>
      </c>
      <c r="L18" s="109" t="s">
        <v>219</v>
      </c>
      <c r="M18" s="28" t="s">
        <v>33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60"/>
      <c r="B19" s="78"/>
      <c r="C19" s="64"/>
      <c r="D19" s="65"/>
      <c r="E19" s="66"/>
      <c r="F19" s="70"/>
      <c r="G19" s="31"/>
      <c r="H19" s="23"/>
      <c r="I19" s="24"/>
      <c r="J19" s="72"/>
      <c r="K19" s="26"/>
      <c r="L19" s="27"/>
      <c r="M19" s="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60"/>
      <c r="B20" s="78"/>
      <c r="C20" s="64"/>
      <c r="D20" s="65"/>
      <c r="E20" s="66"/>
      <c r="F20" s="70"/>
      <c r="G20" s="31"/>
      <c r="H20" s="23"/>
      <c r="I20" s="24"/>
      <c r="J20" s="72"/>
      <c r="K20" s="26"/>
      <c r="L20" s="27"/>
      <c r="M20" s="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49"/>
      <c r="B21" s="39"/>
      <c r="C21" s="40"/>
      <c r="D21" s="41"/>
      <c r="E21" s="42"/>
      <c r="F21" s="43"/>
      <c r="G21" s="43"/>
      <c r="H21" s="44"/>
      <c r="I21" s="37"/>
      <c r="J21" s="45"/>
      <c r="K21" s="50"/>
      <c r="L21" s="47"/>
      <c r="M21" s="47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51"/>
      <c r="B22" s="2"/>
      <c r="C22" s="2"/>
      <c r="D22" s="2"/>
      <c r="E22" s="3"/>
      <c r="F22" s="52">
        <f t="shared" ref="F22:J22" si="1">SUM(F4:F20)</f>
        <v>2600</v>
      </c>
      <c r="G22" s="52">
        <f t="shared" si="1"/>
        <v>38040</v>
      </c>
      <c r="H22" s="52">
        <f t="shared" si="1"/>
        <v>4500</v>
      </c>
      <c r="I22" s="52">
        <f t="shared" si="1"/>
        <v>0</v>
      </c>
      <c r="J22" s="52">
        <f t="shared" si="1"/>
        <v>1263</v>
      </c>
      <c r="K22" s="53"/>
      <c r="L22" s="53"/>
      <c r="M22" s="54"/>
    </row>
    <row r="23" ht="48.0" customHeight="1">
      <c r="F23" s="55">
        <f>F22+G22+H22+I22+J22</f>
        <v>46403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49" t="s">
        <v>15</v>
      </c>
      <c r="B4" s="78">
        <v>45883.0</v>
      </c>
      <c r="C4" s="79" t="s">
        <v>220</v>
      </c>
      <c r="D4" s="80">
        <v>10271.0</v>
      </c>
      <c r="E4" s="81" t="s">
        <v>221</v>
      </c>
      <c r="F4" s="104"/>
      <c r="G4" s="82">
        <v>4500.0</v>
      </c>
      <c r="H4" s="105"/>
      <c r="I4" s="106"/>
      <c r="J4" s="115"/>
      <c r="K4" s="108" t="s">
        <v>18</v>
      </c>
      <c r="L4" s="109" t="s">
        <v>222</v>
      </c>
      <c r="M4" s="110" t="s">
        <v>223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78"/>
      <c r="C5" s="79"/>
      <c r="D5" s="80"/>
      <c r="E5" s="81"/>
      <c r="F5" s="112"/>
      <c r="G5" s="82"/>
      <c r="H5" s="113"/>
      <c r="I5" s="106"/>
      <c r="J5" s="114"/>
      <c r="K5" s="108"/>
      <c r="L5" s="109"/>
      <c r="M5" s="11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78"/>
      <c r="C6" s="64"/>
      <c r="D6" s="65"/>
      <c r="E6" s="66"/>
      <c r="F6" s="112"/>
      <c r="G6" s="82"/>
      <c r="H6" s="113"/>
      <c r="I6" s="106"/>
      <c r="J6" s="114"/>
      <c r="K6" s="108"/>
      <c r="L6" s="109"/>
      <c r="M6" s="110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9" t="s">
        <v>29</v>
      </c>
      <c r="B7" s="78"/>
      <c r="C7" s="64"/>
      <c r="D7" s="65"/>
      <c r="E7" s="66"/>
      <c r="F7" s="112"/>
      <c r="G7" s="82"/>
      <c r="H7" s="113"/>
      <c r="I7" s="106"/>
      <c r="J7" s="114"/>
      <c r="K7" s="108"/>
      <c r="L7" s="109"/>
      <c r="M7" s="110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9"/>
      <c r="B8" s="39"/>
      <c r="C8" s="40"/>
      <c r="D8" s="41"/>
      <c r="E8" s="42"/>
      <c r="F8" s="43"/>
      <c r="G8" s="43"/>
      <c r="H8" s="44"/>
      <c r="I8" s="37"/>
      <c r="J8" s="45"/>
      <c r="K8" s="50"/>
      <c r="L8" s="47"/>
      <c r="M8" s="4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1"/>
      <c r="B9" s="2"/>
      <c r="C9" s="2"/>
      <c r="D9" s="2"/>
      <c r="E9" s="3"/>
      <c r="F9" s="52">
        <f t="shared" ref="F9:J9" si="1">SUM(F4:F7)</f>
        <v>0</v>
      </c>
      <c r="G9" s="52">
        <f t="shared" si="1"/>
        <v>4500</v>
      </c>
      <c r="H9" s="52">
        <f t="shared" si="1"/>
        <v>0</v>
      </c>
      <c r="I9" s="52">
        <f t="shared" si="1"/>
        <v>0</v>
      </c>
      <c r="J9" s="52">
        <f t="shared" si="1"/>
        <v>0</v>
      </c>
      <c r="K9" s="53"/>
      <c r="L9" s="53"/>
      <c r="M9" s="54"/>
    </row>
    <row r="10" ht="48.0" customHeight="1">
      <c r="F10" s="55">
        <f>F9+G9+H9+I9+J9</f>
        <v>4500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49" t="s">
        <v>15</v>
      </c>
      <c r="B4" s="78">
        <v>45884.0</v>
      </c>
      <c r="C4" s="79" t="s">
        <v>225</v>
      </c>
      <c r="D4" s="80">
        <v>93688.0</v>
      </c>
      <c r="E4" s="81" t="s">
        <v>226</v>
      </c>
      <c r="F4" s="112">
        <v>300.0</v>
      </c>
      <c r="G4" s="82"/>
      <c r="H4" s="105"/>
      <c r="I4" s="106"/>
      <c r="J4" s="115"/>
      <c r="K4" s="108" t="s">
        <v>18</v>
      </c>
      <c r="L4" s="109" t="s">
        <v>227</v>
      </c>
      <c r="M4" s="110" t="s">
        <v>223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78">
        <v>45884.0</v>
      </c>
      <c r="C5" s="79" t="s">
        <v>228</v>
      </c>
      <c r="D5" s="80">
        <v>47787.0</v>
      </c>
      <c r="E5" s="81" t="s">
        <v>229</v>
      </c>
      <c r="F5" s="112"/>
      <c r="G5" s="82">
        <v>5200.0</v>
      </c>
      <c r="H5" s="113"/>
      <c r="I5" s="106"/>
      <c r="J5" s="114"/>
      <c r="K5" s="108" t="s">
        <v>230</v>
      </c>
      <c r="L5" s="109" t="s">
        <v>231</v>
      </c>
      <c r="M5" s="110" t="s">
        <v>232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78">
        <v>45884.0</v>
      </c>
      <c r="C6" s="64" t="s">
        <v>233</v>
      </c>
      <c r="D6" s="65">
        <v>50342.0</v>
      </c>
      <c r="E6" s="66" t="s">
        <v>82</v>
      </c>
      <c r="F6" s="112"/>
      <c r="G6" s="82"/>
      <c r="H6" s="105">
        <v>2500.0</v>
      </c>
      <c r="I6" s="106"/>
      <c r="J6" s="114"/>
      <c r="K6" s="108" t="s">
        <v>230</v>
      </c>
      <c r="L6" s="109" t="s">
        <v>234</v>
      </c>
      <c r="M6" s="110" t="s">
        <v>232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9" t="s">
        <v>29</v>
      </c>
      <c r="B7" s="78">
        <v>45884.0</v>
      </c>
      <c r="C7" s="64" t="s">
        <v>235</v>
      </c>
      <c r="D7" s="65">
        <v>70684.0</v>
      </c>
      <c r="E7" s="66" t="s">
        <v>236</v>
      </c>
      <c r="F7" s="112"/>
      <c r="G7" s="82"/>
      <c r="H7" s="113"/>
      <c r="I7" s="106"/>
      <c r="J7" s="114">
        <v>6000.0</v>
      </c>
      <c r="K7" s="108" t="s">
        <v>18</v>
      </c>
      <c r="L7" s="109"/>
      <c r="M7" s="110" t="s">
        <v>223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9"/>
      <c r="B8" s="39"/>
      <c r="C8" s="40"/>
      <c r="D8" s="41"/>
      <c r="E8" s="42"/>
      <c r="F8" s="43"/>
      <c r="G8" s="43"/>
      <c r="H8" s="44"/>
      <c r="I8" s="37"/>
      <c r="J8" s="45"/>
      <c r="K8" s="50"/>
      <c r="L8" s="47"/>
      <c r="M8" s="4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1"/>
      <c r="B9" s="2"/>
      <c r="C9" s="2"/>
      <c r="D9" s="2"/>
      <c r="E9" s="3"/>
      <c r="F9" s="52">
        <f t="shared" ref="F9:J9" si="1">SUM(F4:F7)</f>
        <v>300</v>
      </c>
      <c r="G9" s="52">
        <f t="shared" si="1"/>
        <v>5200</v>
      </c>
      <c r="H9" s="52">
        <f t="shared" si="1"/>
        <v>2500</v>
      </c>
      <c r="I9" s="52">
        <f t="shared" si="1"/>
        <v>0</v>
      </c>
      <c r="J9" s="52">
        <f t="shared" si="1"/>
        <v>6000</v>
      </c>
      <c r="K9" s="53"/>
      <c r="L9" s="53"/>
      <c r="M9" s="54"/>
    </row>
    <row r="10" ht="48.0" customHeight="1">
      <c r="F10" s="55">
        <f>F9+G9+H9+I9+J9</f>
        <v>14000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17" t="s">
        <v>238</v>
      </c>
      <c r="C4" s="79" t="s">
        <v>239</v>
      </c>
      <c r="D4" s="80">
        <v>52669.0</v>
      </c>
      <c r="E4" s="81" t="s">
        <v>47</v>
      </c>
      <c r="F4" s="112"/>
      <c r="G4" s="82">
        <v>27500.0</v>
      </c>
      <c r="H4" s="113"/>
      <c r="I4" s="106"/>
      <c r="J4" s="114"/>
      <c r="K4" s="108" t="s">
        <v>18</v>
      </c>
      <c r="L4" s="109" t="s">
        <v>240</v>
      </c>
      <c r="M4" s="110" t="s">
        <v>241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78">
        <v>45885.0</v>
      </c>
      <c r="C5" s="79" t="s">
        <v>242</v>
      </c>
      <c r="D5" s="80">
        <v>51017.0</v>
      </c>
      <c r="E5" s="81" t="s">
        <v>40</v>
      </c>
      <c r="F5" s="112"/>
      <c r="G5" s="82">
        <v>10900.0</v>
      </c>
      <c r="H5" s="113"/>
      <c r="I5" s="106"/>
      <c r="J5" s="114"/>
      <c r="K5" s="108" t="s">
        <v>18</v>
      </c>
      <c r="L5" s="109" t="s">
        <v>243</v>
      </c>
      <c r="M5" s="110" t="s">
        <v>223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21</v>
      </c>
      <c r="B6" s="78">
        <v>45885.0</v>
      </c>
      <c r="C6" s="64" t="s">
        <v>244</v>
      </c>
      <c r="D6" s="65">
        <v>45227.0</v>
      </c>
      <c r="E6" s="66" t="s">
        <v>71</v>
      </c>
      <c r="F6" s="112"/>
      <c r="G6" s="82">
        <v>4600.0</v>
      </c>
      <c r="H6" s="105"/>
      <c r="I6" s="106"/>
      <c r="J6" s="114"/>
      <c r="K6" s="108" t="s">
        <v>18</v>
      </c>
      <c r="L6" s="109" t="s">
        <v>245</v>
      </c>
      <c r="M6" s="110" t="s">
        <v>246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25</v>
      </c>
      <c r="B7" s="78">
        <v>45885.0</v>
      </c>
      <c r="C7" s="64" t="s">
        <v>247</v>
      </c>
      <c r="D7" s="65">
        <v>50595.0</v>
      </c>
      <c r="E7" s="66" t="s">
        <v>78</v>
      </c>
      <c r="F7" s="112"/>
      <c r="G7" s="82">
        <v>5000.0</v>
      </c>
      <c r="H7" s="105"/>
      <c r="I7" s="106"/>
      <c r="J7" s="114"/>
      <c r="K7" s="108" t="s">
        <v>18</v>
      </c>
      <c r="L7" s="109" t="s">
        <v>248</v>
      </c>
      <c r="M7" s="110" t="s">
        <v>223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29</v>
      </c>
      <c r="B8" s="78">
        <v>45885.0</v>
      </c>
      <c r="C8" s="64" t="s">
        <v>249</v>
      </c>
      <c r="D8" s="65">
        <v>51660.0</v>
      </c>
      <c r="E8" s="66" t="s">
        <v>250</v>
      </c>
      <c r="F8" s="112"/>
      <c r="G8" s="82">
        <v>4500.0</v>
      </c>
      <c r="H8" s="105"/>
      <c r="I8" s="106"/>
      <c r="J8" s="114"/>
      <c r="K8" s="108" t="s">
        <v>18</v>
      </c>
      <c r="L8" s="109" t="s">
        <v>251</v>
      </c>
      <c r="M8" s="110" t="s">
        <v>223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 t="s">
        <v>34</v>
      </c>
      <c r="B9" s="78">
        <v>45885.0</v>
      </c>
      <c r="C9" s="64" t="s">
        <v>252</v>
      </c>
      <c r="D9" s="65">
        <v>51660.0</v>
      </c>
      <c r="E9" s="66" t="s">
        <v>250</v>
      </c>
      <c r="F9" s="112"/>
      <c r="G9" s="82">
        <v>2500.0</v>
      </c>
      <c r="H9" s="113"/>
      <c r="I9" s="106"/>
      <c r="J9" s="114"/>
      <c r="K9" s="108" t="s">
        <v>18</v>
      </c>
      <c r="L9" s="109" t="s">
        <v>253</v>
      </c>
      <c r="M9" s="110" t="s">
        <v>223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 t="s">
        <v>55</v>
      </c>
      <c r="B10" s="63">
        <v>45885.0</v>
      </c>
      <c r="C10" s="64" t="s">
        <v>254</v>
      </c>
      <c r="D10" s="65">
        <v>43380.0</v>
      </c>
      <c r="E10" s="66" t="s">
        <v>65</v>
      </c>
      <c r="F10" s="43"/>
      <c r="G10" s="67">
        <v>25000.0</v>
      </c>
      <c r="H10" s="44"/>
      <c r="I10" s="37"/>
      <c r="J10" s="45"/>
      <c r="K10" s="108" t="s">
        <v>18</v>
      </c>
      <c r="L10" s="27" t="s">
        <v>255</v>
      </c>
      <c r="M10" s="110" t="s">
        <v>246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>SUM(F4:F9)</f>
        <v>0</v>
      </c>
      <c r="G11" s="52">
        <f>SUM(G4:G10)</f>
        <v>80000</v>
      </c>
      <c r="H11" s="52">
        <f t="shared" ref="H11:J11" si="1">SUM(H4:H9)</f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80000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18">
        <v>45886.0</v>
      </c>
      <c r="C4" s="79" t="s">
        <v>257</v>
      </c>
      <c r="D4" s="80">
        <v>77283.0</v>
      </c>
      <c r="E4" s="81" t="s">
        <v>258</v>
      </c>
      <c r="F4" s="77">
        <v>10000.0</v>
      </c>
      <c r="G4" s="82"/>
      <c r="H4" s="113"/>
      <c r="I4" s="106"/>
      <c r="J4" s="114"/>
      <c r="K4" s="108" t="s">
        <v>18</v>
      </c>
      <c r="L4" s="109" t="s">
        <v>259</v>
      </c>
      <c r="M4" s="110" t="s">
        <v>246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18">
        <v>45886.0</v>
      </c>
      <c r="C5" s="79" t="s">
        <v>260</v>
      </c>
      <c r="D5" s="80">
        <v>51017.0</v>
      </c>
      <c r="E5" s="81" t="s">
        <v>40</v>
      </c>
      <c r="F5" s="116"/>
      <c r="G5" s="82">
        <v>5000.0</v>
      </c>
      <c r="H5" s="113"/>
      <c r="I5" s="106"/>
      <c r="J5" s="114"/>
      <c r="K5" s="108" t="s">
        <v>18</v>
      </c>
      <c r="L5" s="109" t="s">
        <v>261</v>
      </c>
      <c r="M5" s="110" t="s">
        <v>211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18">
        <v>45886.0</v>
      </c>
      <c r="C6" s="64" t="s">
        <v>262</v>
      </c>
      <c r="D6" s="65">
        <v>34941.0</v>
      </c>
      <c r="E6" s="66" t="s">
        <v>263</v>
      </c>
      <c r="F6" s="116"/>
      <c r="G6" s="82"/>
      <c r="H6" s="105">
        <v>900.0</v>
      </c>
      <c r="I6" s="106"/>
      <c r="J6" s="114"/>
      <c r="K6" s="108" t="s">
        <v>18</v>
      </c>
      <c r="L6" s="109" t="s">
        <v>264</v>
      </c>
      <c r="M6" s="110" t="s">
        <v>265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18">
        <v>45886.0</v>
      </c>
      <c r="C7" s="64" t="s">
        <v>266</v>
      </c>
      <c r="D7" s="65">
        <v>93928.0</v>
      </c>
      <c r="E7" s="66" t="s">
        <v>267</v>
      </c>
      <c r="F7" s="116"/>
      <c r="G7" s="82">
        <v>7300.0</v>
      </c>
      <c r="H7" s="105"/>
      <c r="I7" s="106"/>
      <c r="J7" s="114"/>
      <c r="K7" s="108" t="s">
        <v>18</v>
      </c>
      <c r="L7" s="109" t="s">
        <v>268</v>
      </c>
      <c r="M7" s="110" t="s">
        <v>246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/>
      <c r="B8" s="118"/>
      <c r="C8" s="64"/>
      <c r="D8" s="65"/>
      <c r="E8" s="66"/>
      <c r="F8" s="112"/>
      <c r="G8" s="82"/>
      <c r="H8" s="105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1"/>
      <c r="B9" s="2"/>
      <c r="C9" s="2"/>
      <c r="D9" s="2"/>
      <c r="E9" s="3"/>
      <c r="F9" s="52">
        <f t="shared" ref="F9:J9" si="1">SUM(F4:F8)</f>
        <v>10000</v>
      </c>
      <c r="G9" s="52">
        <f t="shared" si="1"/>
        <v>12300</v>
      </c>
      <c r="H9" s="52">
        <f t="shared" si="1"/>
        <v>900</v>
      </c>
      <c r="I9" s="52">
        <f t="shared" si="1"/>
        <v>0</v>
      </c>
      <c r="J9" s="52">
        <f t="shared" si="1"/>
        <v>0</v>
      </c>
      <c r="K9" s="53"/>
      <c r="L9" s="53"/>
      <c r="M9" s="54"/>
    </row>
    <row r="10" ht="48.0" customHeight="1">
      <c r="F10" s="55">
        <f>F9+G9+H9+I9+J9</f>
        <v>23200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18">
        <v>45887.0</v>
      </c>
      <c r="C4" s="79" t="s">
        <v>270</v>
      </c>
      <c r="D4" s="80">
        <v>79230.0</v>
      </c>
      <c r="E4" s="81" t="s">
        <v>271</v>
      </c>
      <c r="F4" s="82">
        <v>2600.0</v>
      </c>
      <c r="G4" s="82"/>
      <c r="H4" s="113"/>
      <c r="I4" s="106"/>
      <c r="J4" s="114"/>
      <c r="K4" s="108" t="s">
        <v>18</v>
      </c>
      <c r="L4" s="109" t="s">
        <v>272</v>
      </c>
      <c r="M4" s="110" t="s">
        <v>246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18">
        <v>45887.0</v>
      </c>
      <c r="C5" s="79" t="s">
        <v>273</v>
      </c>
      <c r="D5" s="80">
        <v>51166.0</v>
      </c>
      <c r="E5" s="81" t="s">
        <v>274</v>
      </c>
      <c r="F5" s="119">
        <v>300.0</v>
      </c>
      <c r="G5" s="82"/>
      <c r="H5" s="113"/>
      <c r="I5" s="106"/>
      <c r="J5" s="114"/>
      <c r="K5" s="108" t="s">
        <v>18</v>
      </c>
      <c r="L5" s="109" t="s">
        <v>275</v>
      </c>
      <c r="M5" s="110" t="s">
        <v>276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18">
        <v>45887.0</v>
      </c>
      <c r="C6" s="64" t="s">
        <v>277</v>
      </c>
      <c r="D6" s="65">
        <v>50595.0</v>
      </c>
      <c r="E6" s="66" t="s">
        <v>78</v>
      </c>
      <c r="F6" s="116"/>
      <c r="G6" s="82">
        <v>5000.0</v>
      </c>
      <c r="H6" s="105"/>
      <c r="I6" s="106"/>
      <c r="J6" s="114"/>
      <c r="K6" s="108" t="s">
        <v>18</v>
      </c>
      <c r="L6" s="109" t="s">
        <v>278</v>
      </c>
      <c r="M6" s="110" t="s">
        <v>223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18"/>
      <c r="C7" s="64"/>
      <c r="D7" s="65"/>
      <c r="E7" s="66"/>
      <c r="F7" s="116"/>
      <c r="G7" s="82"/>
      <c r="H7" s="105"/>
      <c r="I7" s="106"/>
      <c r="J7" s="114"/>
      <c r="K7" s="108" t="s">
        <v>18</v>
      </c>
      <c r="L7" s="109"/>
      <c r="M7" s="110" t="s">
        <v>246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/>
      <c r="B8" s="118"/>
      <c r="C8" s="64"/>
      <c r="D8" s="65"/>
      <c r="E8" s="66"/>
      <c r="F8" s="112"/>
      <c r="G8" s="82"/>
      <c r="H8" s="105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1"/>
      <c r="B9" s="2"/>
      <c r="C9" s="2"/>
      <c r="D9" s="2"/>
      <c r="E9" s="3"/>
      <c r="F9" s="52">
        <f t="shared" ref="F9:J9" si="1">SUM(F4:F8)</f>
        <v>2900</v>
      </c>
      <c r="G9" s="52">
        <f t="shared" si="1"/>
        <v>5000</v>
      </c>
      <c r="H9" s="52">
        <f t="shared" si="1"/>
        <v>0</v>
      </c>
      <c r="I9" s="52">
        <f t="shared" si="1"/>
        <v>0</v>
      </c>
      <c r="J9" s="52">
        <f t="shared" si="1"/>
        <v>0</v>
      </c>
      <c r="K9" s="53"/>
      <c r="L9" s="53"/>
      <c r="M9" s="54"/>
    </row>
    <row r="10" ht="48.0" customHeight="1">
      <c r="F10" s="55">
        <f>F9+G9+H9+I9+J9</f>
        <v>7900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97" t="s">
        <v>15</v>
      </c>
      <c r="B4" s="120" t="s">
        <v>280</v>
      </c>
      <c r="C4" s="86" t="s">
        <v>281</v>
      </c>
      <c r="D4" s="87">
        <v>87820.0</v>
      </c>
      <c r="E4" s="88" t="s">
        <v>282</v>
      </c>
      <c r="F4" s="90">
        <v>3300.0</v>
      </c>
      <c r="G4" s="90"/>
      <c r="H4" s="99"/>
      <c r="I4" s="92"/>
      <c r="J4" s="100"/>
      <c r="K4" s="94" t="s">
        <v>18</v>
      </c>
      <c r="L4" s="95" t="s">
        <v>283</v>
      </c>
      <c r="M4" s="96" t="s">
        <v>246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17" t="s">
        <v>284</v>
      </c>
      <c r="C5" s="79" t="s">
        <v>285</v>
      </c>
      <c r="D5" s="80">
        <v>52214.0</v>
      </c>
      <c r="E5" s="81" t="s">
        <v>286</v>
      </c>
      <c r="F5" s="119"/>
      <c r="G5" s="82">
        <v>2700.0</v>
      </c>
      <c r="H5" s="113"/>
      <c r="I5" s="106"/>
      <c r="J5" s="114"/>
      <c r="K5" s="108" t="s">
        <v>83</v>
      </c>
      <c r="L5" s="109" t="s">
        <v>287</v>
      </c>
      <c r="M5" s="110" t="s">
        <v>85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17" t="s">
        <v>284</v>
      </c>
      <c r="C6" s="64" t="s">
        <v>288</v>
      </c>
      <c r="D6" s="65">
        <v>43380.0</v>
      </c>
      <c r="E6" s="66" t="s">
        <v>65</v>
      </c>
      <c r="F6" s="116"/>
      <c r="G6" s="82">
        <v>10300.0</v>
      </c>
      <c r="H6" s="105"/>
      <c r="I6" s="106"/>
      <c r="J6" s="114"/>
      <c r="K6" s="108" t="s">
        <v>18</v>
      </c>
      <c r="L6" s="109" t="s">
        <v>289</v>
      </c>
      <c r="M6" s="110" t="s">
        <v>246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17" t="s">
        <v>284</v>
      </c>
      <c r="C7" s="64" t="s">
        <v>290</v>
      </c>
      <c r="D7" s="65">
        <v>50342.0</v>
      </c>
      <c r="E7" s="66" t="s">
        <v>82</v>
      </c>
      <c r="F7" s="116"/>
      <c r="G7" s="82">
        <v>2700.0</v>
      </c>
      <c r="H7" s="105"/>
      <c r="I7" s="106"/>
      <c r="J7" s="114"/>
      <c r="K7" s="108" t="s">
        <v>83</v>
      </c>
      <c r="L7" s="109" t="s">
        <v>291</v>
      </c>
      <c r="M7" s="110" t="s">
        <v>85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17" t="s">
        <v>284</v>
      </c>
      <c r="C8" s="64" t="s">
        <v>292</v>
      </c>
      <c r="D8" s="65">
        <v>47787.0</v>
      </c>
      <c r="E8" s="66" t="s">
        <v>229</v>
      </c>
      <c r="F8" s="116"/>
      <c r="G8" s="82">
        <v>5000.0</v>
      </c>
      <c r="H8" s="105"/>
      <c r="I8" s="106"/>
      <c r="J8" s="114"/>
      <c r="K8" s="108" t="s">
        <v>83</v>
      </c>
      <c r="L8" s="109" t="s">
        <v>293</v>
      </c>
      <c r="M8" s="110" t="s">
        <v>85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/>
      <c r="B9" s="118"/>
      <c r="C9" s="64"/>
      <c r="D9" s="65"/>
      <c r="E9" s="66"/>
      <c r="F9" s="11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3300</v>
      </c>
      <c r="G11" s="52">
        <f t="shared" si="1"/>
        <v>20700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24000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21" t="s">
        <v>15</v>
      </c>
      <c r="B4" s="122">
        <v>45889.0</v>
      </c>
      <c r="C4" s="123" t="s">
        <v>295</v>
      </c>
      <c r="D4" s="124">
        <v>51017.0</v>
      </c>
      <c r="E4" s="125" t="s">
        <v>40</v>
      </c>
      <c r="F4" s="126"/>
      <c r="G4" s="126">
        <v>1688.0</v>
      </c>
      <c r="H4" s="127"/>
      <c r="I4" s="128"/>
      <c r="J4" s="129"/>
      <c r="K4" s="130" t="s">
        <v>18</v>
      </c>
      <c r="L4" s="131" t="s">
        <v>296</v>
      </c>
      <c r="M4" s="132" t="s">
        <v>223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33">
        <v>45890.0</v>
      </c>
      <c r="C5" s="79" t="s">
        <v>297</v>
      </c>
      <c r="D5" s="80">
        <v>80515.0</v>
      </c>
      <c r="E5" s="81" t="s">
        <v>298</v>
      </c>
      <c r="F5" s="119"/>
      <c r="G5" s="82">
        <v>9500.0</v>
      </c>
      <c r="H5" s="113"/>
      <c r="I5" s="106"/>
      <c r="J5" s="114"/>
      <c r="K5" s="108" t="s">
        <v>18</v>
      </c>
      <c r="L5" s="109" t="s">
        <v>299</v>
      </c>
      <c r="M5" s="110" t="s">
        <v>246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33">
        <v>45890.0</v>
      </c>
      <c r="C6" s="64" t="s">
        <v>300</v>
      </c>
      <c r="D6" s="65">
        <v>94361.0</v>
      </c>
      <c r="E6" s="66" t="s">
        <v>301</v>
      </c>
      <c r="F6" s="116"/>
      <c r="G6" s="82">
        <v>2500.0</v>
      </c>
      <c r="H6" s="105"/>
      <c r="I6" s="106"/>
      <c r="J6" s="114"/>
      <c r="K6" s="108" t="s">
        <v>18</v>
      </c>
      <c r="L6" s="109" t="s">
        <v>302</v>
      </c>
      <c r="M6" s="110" t="s">
        <v>246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33">
        <v>45890.0</v>
      </c>
      <c r="C7" s="64" t="s">
        <v>303</v>
      </c>
      <c r="D7" s="65">
        <v>27880.0</v>
      </c>
      <c r="E7" s="66" t="s">
        <v>304</v>
      </c>
      <c r="F7" s="116"/>
      <c r="G7" s="82">
        <v>4500.0</v>
      </c>
      <c r="H7" s="105"/>
      <c r="I7" s="106"/>
      <c r="J7" s="114"/>
      <c r="K7" s="108" t="s">
        <v>18</v>
      </c>
      <c r="L7" s="109" t="s">
        <v>305</v>
      </c>
      <c r="M7" s="110" t="s">
        <v>223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33">
        <v>45890.0</v>
      </c>
      <c r="C8" s="64" t="s">
        <v>306</v>
      </c>
      <c r="D8" s="65">
        <v>82254.0</v>
      </c>
      <c r="E8" s="66" t="s">
        <v>307</v>
      </c>
      <c r="F8" s="134">
        <v>5100.0</v>
      </c>
      <c r="G8" s="82"/>
      <c r="H8" s="105"/>
      <c r="I8" s="106"/>
      <c r="J8" s="114"/>
      <c r="K8" s="108" t="s">
        <v>18</v>
      </c>
      <c r="L8" s="109" t="s">
        <v>308</v>
      </c>
      <c r="M8" s="110" t="s">
        <v>246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 t="s">
        <v>55</v>
      </c>
      <c r="B9" s="118">
        <v>45890.0</v>
      </c>
      <c r="C9" s="64" t="s">
        <v>309</v>
      </c>
      <c r="D9" s="65">
        <v>68284.0</v>
      </c>
      <c r="E9" s="66" t="s">
        <v>153</v>
      </c>
      <c r="F9" s="116"/>
      <c r="G9" s="82">
        <v>19600.0</v>
      </c>
      <c r="H9" s="105"/>
      <c r="I9" s="106"/>
      <c r="J9" s="114"/>
      <c r="K9" s="108" t="s">
        <v>18</v>
      </c>
      <c r="L9" s="109" t="s">
        <v>310</v>
      </c>
      <c r="M9" s="110" t="s">
        <v>246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5100</v>
      </c>
      <c r="G11" s="52">
        <f t="shared" si="1"/>
        <v>37788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42888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33">
        <v>45890.0</v>
      </c>
      <c r="C4" s="79" t="s">
        <v>311</v>
      </c>
      <c r="D4" s="80">
        <v>51017.0</v>
      </c>
      <c r="E4" s="81" t="s">
        <v>40</v>
      </c>
      <c r="F4" s="82"/>
      <c r="G4" s="82">
        <v>10000.0</v>
      </c>
      <c r="H4" s="113"/>
      <c r="I4" s="106"/>
      <c r="J4" s="114"/>
      <c r="K4" s="108" t="s">
        <v>18</v>
      </c>
      <c r="L4" s="109" t="s">
        <v>312</v>
      </c>
      <c r="M4" s="110" t="s">
        <v>223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33">
        <v>45891.0</v>
      </c>
      <c r="C5" s="79" t="s">
        <v>313</v>
      </c>
      <c r="D5" s="80">
        <v>52669.0</v>
      </c>
      <c r="E5" s="81" t="s">
        <v>47</v>
      </c>
      <c r="F5" s="119"/>
      <c r="G5" s="82">
        <v>31100.0</v>
      </c>
      <c r="H5" s="113"/>
      <c r="I5" s="106"/>
      <c r="J5" s="114"/>
      <c r="K5" s="108" t="s">
        <v>18</v>
      </c>
      <c r="L5" s="109" t="s">
        <v>314</v>
      </c>
      <c r="M5" s="110" t="s">
        <v>246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33">
        <v>45891.0</v>
      </c>
      <c r="C6" s="64" t="s">
        <v>315</v>
      </c>
      <c r="D6" s="65">
        <v>47787.0</v>
      </c>
      <c r="E6" s="66" t="s">
        <v>229</v>
      </c>
      <c r="F6" s="116"/>
      <c r="G6" s="82">
        <v>5000.0</v>
      </c>
      <c r="H6" s="105"/>
      <c r="I6" s="106"/>
      <c r="J6" s="114"/>
      <c r="K6" s="108" t="s">
        <v>18</v>
      </c>
      <c r="L6" s="109" t="s">
        <v>316</v>
      </c>
      <c r="M6" s="110" t="s">
        <v>139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33">
        <v>45891.0</v>
      </c>
      <c r="C7" s="64" t="s">
        <v>317</v>
      </c>
      <c r="D7" s="65">
        <v>50595.0</v>
      </c>
      <c r="E7" s="66" t="s">
        <v>318</v>
      </c>
      <c r="F7" s="116"/>
      <c r="G7" s="82">
        <v>6300.0</v>
      </c>
      <c r="H7" s="105"/>
      <c r="I7" s="106"/>
      <c r="J7" s="114"/>
      <c r="K7" s="108" t="s">
        <v>18</v>
      </c>
      <c r="L7" s="109" t="s">
        <v>319</v>
      </c>
      <c r="M7" s="110" t="s">
        <v>223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33">
        <v>45891.0</v>
      </c>
      <c r="C8" s="64" t="s">
        <v>320</v>
      </c>
      <c r="D8" s="65">
        <v>30909.0</v>
      </c>
      <c r="E8" s="66" t="s">
        <v>160</v>
      </c>
      <c r="F8" s="134"/>
      <c r="G8" s="82">
        <v>6300.0</v>
      </c>
      <c r="H8" s="105"/>
      <c r="I8" s="106"/>
      <c r="J8" s="114"/>
      <c r="K8" s="108" t="s">
        <v>18</v>
      </c>
      <c r="L8" s="109" t="s">
        <v>321</v>
      </c>
      <c r="M8" s="110" t="s">
        <v>246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 t="s">
        <v>55</v>
      </c>
      <c r="B9" s="118"/>
      <c r="C9" s="64"/>
      <c r="D9" s="65"/>
      <c r="E9" s="66"/>
      <c r="F9" s="11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0</v>
      </c>
      <c r="G11" s="52">
        <f t="shared" si="1"/>
        <v>58700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58700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97" t="s">
        <v>15</v>
      </c>
      <c r="B4" s="135" t="s">
        <v>323</v>
      </c>
      <c r="C4" s="86" t="s">
        <v>324</v>
      </c>
      <c r="D4" s="136">
        <v>10006.0</v>
      </c>
      <c r="E4" s="137" t="s">
        <v>325</v>
      </c>
      <c r="F4" s="90"/>
      <c r="G4" s="138">
        <v>1500.0</v>
      </c>
      <c r="H4" s="99"/>
      <c r="I4" s="92"/>
      <c r="J4" s="100"/>
      <c r="K4" s="94" t="s">
        <v>18</v>
      </c>
      <c r="L4" s="95" t="s">
        <v>326</v>
      </c>
      <c r="M4" s="96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39" t="s">
        <v>327</v>
      </c>
      <c r="C5" s="79" t="s">
        <v>328</v>
      </c>
      <c r="D5" s="140">
        <v>94553.0</v>
      </c>
      <c r="E5" s="141" t="s">
        <v>329</v>
      </c>
      <c r="F5" s="119">
        <v>300.0</v>
      </c>
      <c r="G5" s="82"/>
      <c r="H5" s="113"/>
      <c r="I5" s="106"/>
      <c r="J5" s="114"/>
      <c r="K5" s="108" t="s">
        <v>18</v>
      </c>
      <c r="L5" s="109" t="s">
        <v>330</v>
      </c>
      <c r="M5" s="110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39" t="s">
        <v>327</v>
      </c>
      <c r="C6" s="79" t="s">
        <v>331</v>
      </c>
      <c r="D6" s="140">
        <v>94564.0</v>
      </c>
      <c r="E6" s="141" t="s">
        <v>332</v>
      </c>
      <c r="F6" s="142">
        <v>300.0</v>
      </c>
      <c r="G6" s="82"/>
      <c r="H6" s="105"/>
      <c r="I6" s="106"/>
      <c r="J6" s="114"/>
      <c r="K6" s="108" t="s">
        <v>18</v>
      </c>
      <c r="L6" s="109" t="s">
        <v>333</v>
      </c>
      <c r="M6" s="11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39" t="s">
        <v>327</v>
      </c>
      <c r="C7" s="79" t="s">
        <v>334</v>
      </c>
      <c r="D7" s="140">
        <v>94565.0</v>
      </c>
      <c r="E7" s="141" t="s">
        <v>335</v>
      </c>
      <c r="F7" s="142">
        <v>300.0</v>
      </c>
      <c r="G7" s="82"/>
      <c r="H7" s="105"/>
      <c r="I7" s="106"/>
      <c r="J7" s="114"/>
      <c r="K7" s="108" t="s">
        <v>18</v>
      </c>
      <c r="L7" s="109" t="s">
        <v>255</v>
      </c>
      <c r="M7" s="110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/>
      <c r="B8" s="133"/>
      <c r="C8" s="64"/>
      <c r="D8" s="65"/>
      <c r="E8" s="66"/>
      <c r="F8" s="134"/>
      <c r="G8" s="82"/>
      <c r="H8" s="105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/>
      <c r="B9" s="118"/>
      <c r="C9" s="64"/>
      <c r="D9" s="65"/>
      <c r="E9" s="66"/>
      <c r="F9" s="11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900</v>
      </c>
      <c r="G11" s="52">
        <f t="shared" si="1"/>
        <v>1500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2400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43">
        <v>45893.0</v>
      </c>
      <c r="C4" s="79" t="s">
        <v>337</v>
      </c>
      <c r="D4" s="140">
        <v>93986.0</v>
      </c>
      <c r="E4" s="141" t="s">
        <v>338</v>
      </c>
      <c r="F4" s="82">
        <v>2600.0</v>
      </c>
      <c r="G4" s="144"/>
      <c r="H4" s="113"/>
      <c r="I4" s="106"/>
      <c r="J4" s="114"/>
      <c r="K4" s="108" t="s">
        <v>18</v>
      </c>
      <c r="L4" s="109" t="s">
        <v>339</v>
      </c>
      <c r="M4" s="110" t="s">
        <v>246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43">
        <v>45893.0</v>
      </c>
      <c r="C5" s="79" t="s">
        <v>340</v>
      </c>
      <c r="D5" s="140">
        <v>94553.0</v>
      </c>
      <c r="E5" s="141" t="s">
        <v>341</v>
      </c>
      <c r="F5" s="119">
        <v>2500.0</v>
      </c>
      <c r="G5" s="82"/>
      <c r="H5" s="113"/>
      <c r="I5" s="106"/>
      <c r="J5" s="114"/>
      <c r="K5" s="108" t="s">
        <v>18</v>
      </c>
      <c r="L5" s="109" t="s">
        <v>342</v>
      </c>
      <c r="M5" s="110" t="s">
        <v>343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43">
        <v>45893.0</v>
      </c>
      <c r="C6" s="79" t="s">
        <v>344</v>
      </c>
      <c r="D6" s="140">
        <v>61445.0</v>
      </c>
      <c r="E6" s="141" t="s">
        <v>345</v>
      </c>
      <c r="F6" s="142">
        <v>4200.0</v>
      </c>
      <c r="G6" s="82"/>
      <c r="H6" s="105"/>
      <c r="I6" s="106"/>
      <c r="J6" s="114"/>
      <c r="K6" s="108" t="s">
        <v>18</v>
      </c>
      <c r="L6" s="109" t="s">
        <v>346</v>
      </c>
      <c r="M6" s="110" t="s">
        <v>343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43">
        <v>45893.0</v>
      </c>
      <c r="C7" s="79" t="s">
        <v>347</v>
      </c>
      <c r="D7" s="140">
        <v>47787.0</v>
      </c>
      <c r="E7" s="141" t="s">
        <v>229</v>
      </c>
      <c r="F7" s="142"/>
      <c r="G7" s="82">
        <v>10350.0</v>
      </c>
      <c r="H7" s="105"/>
      <c r="I7" s="106"/>
      <c r="J7" s="114"/>
      <c r="K7" s="108" t="s">
        <v>18</v>
      </c>
      <c r="L7" s="109" t="s">
        <v>348</v>
      </c>
      <c r="M7" s="110" t="s">
        <v>349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/>
      <c r="B8" s="133"/>
      <c r="C8" s="64"/>
      <c r="D8" s="65"/>
      <c r="E8" s="66"/>
      <c r="F8" s="134"/>
      <c r="G8" s="82"/>
      <c r="H8" s="105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/>
      <c r="B9" s="118"/>
      <c r="C9" s="64"/>
      <c r="D9" s="65"/>
      <c r="E9" s="66"/>
      <c r="F9" s="11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9300</v>
      </c>
      <c r="G11" s="52">
        <f t="shared" si="1"/>
        <v>10350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19650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43">
        <v>45893.0</v>
      </c>
      <c r="C4" s="79" t="s">
        <v>351</v>
      </c>
      <c r="D4" s="140">
        <v>71466.0</v>
      </c>
      <c r="E4" s="141" t="s">
        <v>352</v>
      </c>
      <c r="F4" s="82">
        <v>5100.0</v>
      </c>
      <c r="G4" s="144"/>
      <c r="H4" s="113"/>
      <c r="I4" s="106"/>
      <c r="J4" s="114"/>
      <c r="K4" s="108" t="s">
        <v>18</v>
      </c>
      <c r="L4" s="109" t="s">
        <v>353</v>
      </c>
      <c r="M4" s="110" t="s">
        <v>246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43">
        <v>45893.0</v>
      </c>
      <c r="C5" s="79" t="s">
        <v>354</v>
      </c>
      <c r="D5" s="140">
        <v>94683.0</v>
      </c>
      <c r="E5" s="141" t="s">
        <v>355</v>
      </c>
      <c r="F5" s="145">
        <v>300.0</v>
      </c>
      <c r="G5" s="82"/>
      <c r="H5" s="113"/>
      <c r="I5" s="106"/>
      <c r="J5" s="114"/>
      <c r="K5" s="108" t="s">
        <v>18</v>
      </c>
      <c r="L5" s="109" t="s">
        <v>356</v>
      </c>
      <c r="M5" s="110" t="s">
        <v>357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43">
        <v>45894.0</v>
      </c>
      <c r="C6" s="79" t="s">
        <v>358</v>
      </c>
      <c r="D6" s="140">
        <v>22211.0</v>
      </c>
      <c r="E6" s="141" t="s">
        <v>359</v>
      </c>
      <c r="F6" s="142"/>
      <c r="G6" s="82"/>
      <c r="H6" s="105">
        <v>2500.0</v>
      </c>
      <c r="I6" s="106"/>
      <c r="J6" s="114"/>
      <c r="K6" s="108" t="s">
        <v>18</v>
      </c>
      <c r="L6" s="109" t="s">
        <v>360</v>
      </c>
      <c r="M6" s="110" t="s">
        <v>357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43">
        <v>45894.0</v>
      </c>
      <c r="C7" s="79" t="s">
        <v>361</v>
      </c>
      <c r="D7" s="140">
        <v>22211.0</v>
      </c>
      <c r="E7" s="141" t="s">
        <v>359</v>
      </c>
      <c r="F7" s="142"/>
      <c r="G7" s="82"/>
      <c r="H7" s="105">
        <v>450.0</v>
      </c>
      <c r="I7" s="106"/>
      <c r="J7" s="114"/>
      <c r="K7" s="108" t="s">
        <v>18</v>
      </c>
      <c r="L7" s="109" t="s">
        <v>362</v>
      </c>
      <c r="M7" s="110" t="s">
        <v>357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33">
        <v>45894.0</v>
      </c>
      <c r="C8" s="64" t="s">
        <v>363</v>
      </c>
      <c r="D8" s="65">
        <v>45227.0</v>
      </c>
      <c r="E8" s="66" t="s">
        <v>71</v>
      </c>
      <c r="F8" s="134"/>
      <c r="G8" s="82">
        <v>5000.0</v>
      </c>
      <c r="H8" s="105"/>
      <c r="I8" s="106"/>
      <c r="J8" s="114"/>
      <c r="K8" s="108" t="s">
        <v>18</v>
      </c>
      <c r="L8" s="109" t="s">
        <v>364</v>
      </c>
      <c r="M8" s="110" t="s">
        <v>246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 t="s">
        <v>55</v>
      </c>
      <c r="B9" s="118">
        <v>45894.0</v>
      </c>
      <c r="C9" s="64" t="s">
        <v>365</v>
      </c>
      <c r="D9" s="65">
        <v>94741.0</v>
      </c>
      <c r="E9" s="66" t="s">
        <v>366</v>
      </c>
      <c r="F9" s="146">
        <v>300.0</v>
      </c>
      <c r="G9" s="82"/>
      <c r="H9" s="105"/>
      <c r="I9" s="106"/>
      <c r="J9" s="114"/>
      <c r="K9" s="108" t="s">
        <v>18</v>
      </c>
      <c r="L9" s="109" t="s">
        <v>367</v>
      </c>
      <c r="M9" s="110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5700</v>
      </c>
      <c r="G11" s="52">
        <f t="shared" si="1"/>
        <v>5000</v>
      </c>
      <c r="H11" s="52">
        <f t="shared" si="1"/>
        <v>2950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13650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43">
        <v>45895.0</v>
      </c>
      <c r="C4" s="79" t="s">
        <v>369</v>
      </c>
      <c r="D4" s="140">
        <v>59137.0</v>
      </c>
      <c r="E4" s="141" t="s">
        <v>146</v>
      </c>
      <c r="F4" s="82"/>
      <c r="G4" s="144">
        <v>9000.0</v>
      </c>
      <c r="H4" s="113"/>
      <c r="I4" s="106"/>
      <c r="J4" s="114"/>
      <c r="K4" s="108" t="s">
        <v>18</v>
      </c>
      <c r="L4" s="109" t="s">
        <v>370</v>
      </c>
      <c r="M4" s="110" t="s">
        <v>223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43">
        <v>45895.0</v>
      </c>
      <c r="C5" s="79" t="s">
        <v>371</v>
      </c>
      <c r="D5" s="140">
        <v>47787.0</v>
      </c>
      <c r="E5" s="141" t="s">
        <v>229</v>
      </c>
      <c r="F5" s="145"/>
      <c r="G5" s="82">
        <v>10000.0</v>
      </c>
      <c r="H5" s="113"/>
      <c r="I5" s="106"/>
      <c r="J5" s="114"/>
      <c r="K5" s="108" t="s">
        <v>18</v>
      </c>
      <c r="L5" s="109" t="s">
        <v>231</v>
      </c>
      <c r="M5" s="110" t="s">
        <v>232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43">
        <v>45895.0</v>
      </c>
      <c r="C6" s="79" t="s">
        <v>372</v>
      </c>
      <c r="D6" s="140">
        <v>47787.0</v>
      </c>
      <c r="E6" s="141" t="s">
        <v>229</v>
      </c>
      <c r="F6" s="142"/>
      <c r="G6" s="82">
        <v>250.0</v>
      </c>
      <c r="H6" s="105"/>
      <c r="I6" s="106"/>
      <c r="J6" s="114"/>
      <c r="K6" s="108" t="s">
        <v>18</v>
      </c>
      <c r="L6" s="109" t="s">
        <v>373</v>
      </c>
      <c r="M6" s="110" t="s">
        <v>232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43"/>
      <c r="C7" s="79"/>
      <c r="D7" s="140"/>
      <c r="E7" s="141"/>
      <c r="F7" s="142"/>
      <c r="G7" s="82"/>
      <c r="H7" s="105"/>
      <c r="I7" s="106"/>
      <c r="J7" s="114"/>
      <c r="K7" s="108"/>
      <c r="L7" s="109"/>
      <c r="M7" s="110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33"/>
      <c r="C8" s="64"/>
      <c r="D8" s="65"/>
      <c r="E8" s="66"/>
      <c r="F8" s="134"/>
      <c r="G8" s="82"/>
      <c r="H8" s="105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 t="s">
        <v>55</v>
      </c>
      <c r="B9" s="118"/>
      <c r="C9" s="64"/>
      <c r="D9" s="65"/>
      <c r="E9" s="66"/>
      <c r="F9" s="14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0</v>
      </c>
      <c r="G11" s="52">
        <f t="shared" si="1"/>
        <v>19250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19250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39" t="s">
        <v>375</v>
      </c>
      <c r="C4" s="79" t="s">
        <v>376</v>
      </c>
      <c r="D4" s="140">
        <v>52669.0</v>
      </c>
      <c r="E4" s="141" t="s">
        <v>47</v>
      </c>
      <c r="F4" s="82"/>
      <c r="G4" s="144">
        <v>29000.0</v>
      </c>
      <c r="H4" s="113"/>
      <c r="I4" s="106"/>
      <c r="J4" s="114"/>
      <c r="K4" s="108" t="s">
        <v>18</v>
      </c>
      <c r="L4" s="109" t="s">
        <v>377</v>
      </c>
      <c r="M4" s="110" t="s">
        <v>241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39" t="s">
        <v>375</v>
      </c>
      <c r="C5" s="79" t="s">
        <v>378</v>
      </c>
      <c r="D5" s="140">
        <v>51017.0</v>
      </c>
      <c r="E5" s="141" t="s">
        <v>40</v>
      </c>
      <c r="F5" s="145"/>
      <c r="G5" s="82">
        <v>10900.0</v>
      </c>
      <c r="H5" s="113"/>
      <c r="I5" s="106"/>
      <c r="J5" s="114"/>
      <c r="K5" s="108" t="s">
        <v>18</v>
      </c>
      <c r="L5" s="109" t="s">
        <v>379</v>
      </c>
      <c r="M5" s="110" t="s">
        <v>211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39" t="s">
        <v>380</v>
      </c>
      <c r="C6" s="79" t="s">
        <v>381</v>
      </c>
      <c r="D6" s="140">
        <v>50342.0</v>
      </c>
      <c r="E6" s="141" t="s">
        <v>82</v>
      </c>
      <c r="F6" s="142"/>
      <c r="G6" s="82">
        <v>2900.0</v>
      </c>
      <c r="H6" s="105"/>
      <c r="I6" s="106"/>
      <c r="J6" s="114"/>
      <c r="K6" s="108" t="s">
        <v>83</v>
      </c>
      <c r="L6" s="109" t="s">
        <v>382</v>
      </c>
      <c r="M6" s="110" t="s">
        <v>85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/>
      <c r="B7" s="143"/>
      <c r="C7" s="79"/>
      <c r="D7" s="140"/>
      <c r="E7" s="141"/>
      <c r="F7" s="142"/>
      <c r="G7" s="82"/>
      <c r="H7" s="105"/>
      <c r="I7" s="106"/>
      <c r="J7" s="114"/>
      <c r="K7" s="108"/>
      <c r="L7" s="109"/>
      <c r="M7" s="110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/>
      <c r="B8" s="133"/>
      <c r="C8" s="64"/>
      <c r="D8" s="65"/>
      <c r="E8" s="66"/>
      <c r="F8" s="134"/>
      <c r="G8" s="82"/>
      <c r="H8" s="105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/>
      <c r="B9" s="118"/>
      <c r="C9" s="64"/>
      <c r="D9" s="65"/>
      <c r="E9" s="66"/>
      <c r="F9" s="14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0</v>
      </c>
      <c r="G11" s="52">
        <f t="shared" si="1"/>
        <v>42800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42800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43">
        <v>45896.0</v>
      </c>
      <c r="C4" s="79" t="s">
        <v>384</v>
      </c>
      <c r="D4" s="140">
        <v>21828.0</v>
      </c>
      <c r="E4" s="141" t="s">
        <v>385</v>
      </c>
      <c r="F4" s="82"/>
      <c r="G4" s="144"/>
      <c r="H4" s="105">
        <v>5000.0</v>
      </c>
      <c r="I4" s="106"/>
      <c r="J4" s="114"/>
      <c r="K4" s="108" t="s">
        <v>18</v>
      </c>
      <c r="L4" s="109" t="s">
        <v>386</v>
      </c>
      <c r="M4" s="110" t="s">
        <v>211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43">
        <v>45897.0</v>
      </c>
      <c r="C5" s="79" t="s">
        <v>387</v>
      </c>
      <c r="D5" s="140">
        <v>43380.0</v>
      </c>
      <c r="E5" s="141" t="s">
        <v>65</v>
      </c>
      <c r="F5" s="145"/>
      <c r="G5" s="82">
        <v>25000.0</v>
      </c>
      <c r="H5" s="113"/>
      <c r="I5" s="106"/>
      <c r="J5" s="114"/>
      <c r="K5" s="108" t="s">
        <v>18</v>
      </c>
      <c r="L5" s="109" t="s">
        <v>342</v>
      </c>
      <c r="M5" s="110" t="s">
        <v>246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43">
        <v>45897.0</v>
      </c>
      <c r="C6" s="79" t="s">
        <v>388</v>
      </c>
      <c r="D6" s="140">
        <v>47787.0</v>
      </c>
      <c r="E6" s="141" t="s">
        <v>229</v>
      </c>
      <c r="F6" s="142"/>
      <c r="G6" s="82">
        <v>10000.0</v>
      </c>
      <c r="H6" s="105"/>
      <c r="I6" s="106"/>
      <c r="J6" s="114"/>
      <c r="K6" s="108" t="s">
        <v>83</v>
      </c>
      <c r="L6" s="109" t="s">
        <v>389</v>
      </c>
      <c r="M6" s="110" t="s">
        <v>211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43">
        <v>45897.0</v>
      </c>
      <c r="C7" s="79" t="s">
        <v>390</v>
      </c>
      <c r="D7" s="140">
        <v>47787.0</v>
      </c>
      <c r="E7" s="141" t="s">
        <v>229</v>
      </c>
      <c r="F7" s="142"/>
      <c r="G7" s="82">
        <v>2400.0</v>
      </c>
      <c r="H7" s="105"/>
      <c r="I7" s="106"/>
      <c r="J7" s="114"/>
      <c r="K7" s="108" t="s">
        <v>83</v>
      </c>
      <c r="L7" s="109" t="s">
        <v>391</v>
      </c>
      <c r="M7" s="110" t="s">
        <v>211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33">
        <v>45897.0</v>
      </c>
      <c r="C8" s="64" t="s">
        <v>392</v>
      </c>
      <c r="D8" s="65">
        <v>10249.0</v>
      </c>
      <c r="E8" s="66" t="s">
        <v>393</v>
      </c>
      <c r="F8" s="134">
        <v>14800.0</v>
      </c>
      <c r="G8" s="82"/>
      <c r="H8" s="105"/>
      <c r="I8" s="106"/>
      <c r="J8" s="114"/>
      <c r="K8" s="108" t="s">
        <v>18</v>
      </c>
      <c r="L8" s="109" t="s">
        <v>394</v>
      </c>
      <c r="M8" s="110" t="s">
        <v>246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/>
      <c r="B9" s="118"/>
      <c r="C9" s="64"/>
      <c r="D9" s="65"/>
      <c r="E9" s="66"/>
      <c r="F9" s="14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14800</v>
      </c>
      <c r="G11" s="52">
        <f t="shared" si="1"/>
        <v>37400</v>
      </c>
      <c r="H11" s="52">
        <f t="shared" si="1"/>
        <v>5000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57200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43">
        <v>45898.0</v>
      </c>
      <c r="C4" s="79" t="s">
        <v>396</v>
      </c>
      <c r="D4" s="140">
        <v>21828.0</v>
      </c>
      <c r="E4" s="141" t="s">
        <v>385</v>
      </c>
      <c r="F4" s="82"/>
      <c r="G4" s="144"/>
      <c r="H4" s="105">
        <v>2600.0</v>
      </c>
      <c r="I4" s="106"/>
      <c r="J4" s="114"/>
      <c r="K4" s="108" t="s">
        <v>18</v>
      </c>
      <c r="L4" s="109" t="s">
        <v>397</v>
      </c>
      <c r="M4" s="110" t="s">
        <v>246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43">
        <v>45898.0</v>
      </c>
      <c r="C5" s="79" t="s">
        <v>398</v>
      </c>
      <c r="D5" s="140">
        <v>10288.0</v>
      </c>
      <c r="E5" s="141" t="s">
        <v>399</v>
      </c>
      <c r="F5" s="145"/>
      <c r="G5" s="82">
        <v>2500.0</v>
      </c>
      <c r="H5" s="113"/>
      <c r="I5" s="106"/>
      <c r="J5" s="114"/>
      <c r="K5" s="108" t="s">
        <v>18</v>
      </c>
      <c r="L5" s="109" t="s">
        <v>360</v>
      </c>
      <c r="M5" s="110" t="s">
        <v>276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43">
        <v>45898.0</v>
      </c>
      <c r="C6" s="79" t="s">
        <v>400</v>
      </c>
      <c r="D6" s="140">
        <v>72839.0</v>
      </c>
      <c r="E6" s="141" t="s">
        <v>401</v>
      </c>
      <c r="F6" s="142"/>
      <c r="G6" s="82">
        <v>4500.0</v>
      </c>
      <c r="H6" s="105"/>
      <c r="I6" s="106"/>
      <c r="J6" s="114"/>
      <c r="K6" s="108" t="s">
        <v>402</v>
      </c>
      <c r="L6" s="109" t="s">
        <v>403</v>
      </c>
      <c r="M6" s="110" t="s">
        <v>276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43">
        <v>45898.0</v>
      </c>
      <c r="C7" s="79" t="s">
        <v>404</v>
      </c>
      <c r="D7" s="140">
        <v>72839.0</v>
      </c>
      <c r="E7" s="141" t="s">
        <v>401</v>
      </c>
      <c r="F7" s="142"/>
      <c r="G7" s="82">
        <v>18200.0</v>
      </c>
      <c r="H7" s="105"/>
      <c r="I7" s="106"/>
      <c r="J7" s="114"/>
      <c r="K7" s="108" t="s">
        <v>405</v>
      </c>
      <c r="L7" s="109" t="s">
        <v>406</v>
      </c>
      <c r="M7" s="110" t="s">
        <v>276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33">
        <v>45898.0</v>
      </c>
      <c r="C8" s="64" t="s">
        <v>407</v>
      </c>
      <c r="D8" s="65">
        <v>94741.0</v>
      </c>
      <c r="E8" s="66" t="s">
        <v>408</v>
      </c>
      <c r="F8" s="134">
        <v>2600.0</v>
      </c>
      <c r="G8" s="82"/>
      <c r="H8" s="105"/>
      <c r="I8" s="106"/>
      <c r="J8" s="114"/>
      <c r="K8" s="108" t="s">
        <v>18</v>
      </c>
      <c r="L8" s="109" t="s">
        <v>156</v>
      </c>
      <c r="M8" s="110" t="s">
        <v>246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/>
      <c r="B9" s="118"/>
      <c r="C9" s="64"/>
      <c r="D9" s="65"/>
      <c r="E9" s="66"/>
      <c r="F9" s="14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2600</v>
      </c>
      <c r="G11" s="52">
        <f t="shared" si="1"/>
        <v>25200</v>
      </c>
      <c r="H11" s="52">
        <f t="shared" si="1"/>
        <v>2600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30400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97" t="s">
        <v>15</v>
      </c>
      <c r="B4" s="135" t="s">
        <v>410</v>
      </c>
      <c r="C4" s="86" t="s">
        <v>411</v>
      </c>
      <c r="D4" s="136">
        <v>51017.0</v>
      </c>
      <c r="E4" s="137" t="s">
        <v>40</v>
      </c>
      <c r="F4" s="90"/>
      <c r="G4" s="138">
        <v>12800.0</v>
      </c>
      <c r="H4" s="91"/>
      <c r="I4" s="92"/>
      <c r="J4" s="100"/>
      <c r="K4" s="94" t="s">
        <v>18</v>
      </c>
      <c r="L4" s="95" t="s">
        <v>412</v>
      </c>
      <c r="M4" s="96" t="s">
        <v>276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39" t="s">
        <v>413</v>
      </c>
      <c r="C5" s="79" t="s">
        <v>414</v>
      </c>
      <c r="D5" s="140">
        <v>10006.0</v>
      </c>
      <c r="E5" s="141" t="s">
        <v>325</v>
      </c>
      <c r="F5" s="145"/>
      <c r="G5" s="82">
        <v>8600.0</v>
      </c>
      <c r="H5" s="113"/>
      <c r="I5" s="106"/>
      <c r="J5" s="114"/>
      <c r="K5" s="108" t="s">
        <v>18</v>
      </c>
      <c r="L5" s="109" t="s">
        <v>415</v>
      </c>
      <c r="M5" s="110" t="s">
        <v>33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39" t="s">
        <v>413</v>
      </c>
      <c r="C6" s="79" t="s">
        <v>416</v>
      </c>
      <c r="D6" s="140">
        <v>47787.0</v>
      </c>
      <c r="E6" s="141" t="s">
        <v>229</v>
      </c>
      <c r="F6" s="142"/>
      <c r="G6" s="82">
        <v>5000.0</v>
      </c>
      <c r="H6" s="105"/>
      <c r="I6" s="106"/>
      <c r="J6" s="114"/>
      <c r="K6" s="108" t="s">
        <v>83</v>
      </c>
      <c r="L6" s="109" t="s">
        <v>417</v>
      </c>
      <c r="M6" s="110" t="s">
        <v>85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39" t="s">
        <v>413</v>
      </c>
      <c r="C7" s="79" t="s">
        <v>418</v>
      </c>
      <c r="D7" s="140">
        <v>10250.0</v>
      </c>
      <c r="E7" s="141" t="s">
        <v>44</v>
      </c>
      <c r="F7" s="142"/>
      <c r="G7" s="82">
        <v>15000.0</v>
      </c>
      <c r="H7" s="105"/>
      <c r="I7" s="106"/>
      <c r="J7" s="114"/>
      <c r="K7" s="108" t="s">
        <v>83</v>
      </c>
      <c r="L7" s="109" t="s">
        <v>419</v>
      </c>
      <c r="M7" s="110" t="s">
        <v>85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/>
      <c r="B8" s="133"/>
      <c r="C8" s="64"/>
      <c r="D8" s="65"/>
      <c r="E8" s="66"/>
      <c r="F8" s="134"/>
      <c r="G8" s="82"/>
      <c r="H8" s="105"/>
      <c r="I8" s="106"/>
      <c r="J8" s="114"/>
      <c r="K8" s="108"/>
      <c r="L8" s="109"/>
      <c r="M8" s="11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/>
      <c r="B9" s="118"/>
      <c r="C9" s="64"/>
      <c r="D9" s="65"/>
      <c r="E9" s="66"/>
      <c r="F9" s="146"/>
      <c r="G9" s="82"/>
      <c r="H9" s="105"/>
      <c r="I9" s="106"/>
      <c r="J9" s="114"/>
      <c r="K9" s="108"/>
      <c r="L9" s="109"/>
      <c r="M9" s="11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/>
      <c r="B10" s="118"/>
      <c r="C10" s="64"/>
      <c r="D10" s="65"/>
      <c r="E10" s="66"/>
      <c r="F10" s="112"/>
      <c r="G10" s="82"/>
      <c r="H10" s="105"/>
      <c r="I10" s="106"/>
      <c r="J10" s="114"/>
      <c r="K10" s="108"/>
      <c r="L10" s="109"/>
      <c r="M10" s="11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1"/>
      <c r="B11" s="2"/>
      <c r="C11" s="2"/>
      <c r="D11" s="2"/>
      <c r="E11" s="3"/>
      <c r="F11" s="52">
        <f t="shared" ref="F11:J11" si="1">SUM(F4:F10)</f>
        <v>0</v>
      </c>
      <c r="G11" s="52">
        <f t="shared" si="1"/>
        <v>41400</v>
      </c>
      <c r="H11" s="52">
        <f t="shared" si="1"/>
        <v>0</v>
      </c>
      <c r="I11" s="52">
        <f t="shared" si="1"/>
        <v>0</v>
      </c>
      <c r="J11" s="52">
        <f t="shared" si="1"/>
        <v>0</v>
      </c>
      <c r="K11" s="53"/>
      <c r="L11" s="53"/>
      <c r="M11" s="54"/>
    </row>
    <row r="12" ht="48.0" customHeight="1">
      <c r="F12" s="55">
        <f>F11+G11+H11+I11+J11</f>
        <v>41400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83" t="s">
        <v>420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1" t="s">
        <v>15</v>
      </c>
      <c r="B4" s="143">
        <v>45900.0</v>
      </c>
      <c r="C4" s="79" t="s">
        <v>421</v>
      </c>
      <c r="D4" s="140">
        <v>77283.0</v>
      </c>
      <c r="E4" s="141" t="s">
        <v>258</v>
      </c>
      <c r="F4" s="82">
        <v>5100.0</v>
      </c>
      <c r="G4" s="144"/>
      <c r="H4" s="105"/>
      <c r="I4" s="106"/>
      <c r="J4" s="114"/>
      <c r="K4" s="108" t="s">
        <v>18</v>
      </c>
      <c r="L4" s="109" t="s">
        <v>422</v>
      </c>
      <c r="M4" s="110" t="s">
        <v>33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1" t="s">
        <v>21</v>
      </c>
      <c r="B5" s="143">
        <v>45900.0</v>
      </c>
      <c r="C5" s="79" t="s">
        <v>423</v>
      </c>
      <c r="D5" s="140">
        <v>47787.0</v>
      </c>
      <c r="E5" s="141" t="s">
        <v>229</v>
      </c>
      <c r="F5" s="145"/>
      <c r="G5" s="82">
        <v>5000.0</v>
      </c>
      <c r="H5" s="113"/>
      <c r="I5" s="106"/>
      <c r="J5" s="114"/>
      <c r="K5" s="108" t="s">
        <v>83</v>
      </c>
      <c r="L5" s="109" t="s">
        <v>424</v>
      </c>
      <c r="M5" s="110" t="s">
        <v>139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1" t="s">
        <v>25</v>
      </c>
      <c r="B6" s="143">
        <v>45900.0</v>
      </c>
      <c r="C6" s="79" t="s">
        <v>425</v>
      </c>
      <c r="D6" s="140">
        <v>43380.0</v>
      </c>
      <c r="E6" s="141" t="s">
        <v>65</v>
      </c>
      <c r="F6" s="145"/>
      <c r="G6" s="82">
        <v>25600.0</v>
      </c>
      <c r="H6" s="113"/>
      <c r="I6" s="106"/>
      <c r="J6" s="114"/>
      <c r="K6" s="108" t="s">
        <v>18</v>
      </c>
      <c r="L6" s="109" t="s">
        <v>222</v>
      </c>
      <c r="M6" s="110" t="s">
        <v>33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1" t="s">
        <v>29</v>
      </c>
      <c r="B7" s="143">
        <v>45900.0</v>
      </c>
      <c r="C7" s="79" t="s">
        <v>426</v>
      </c>
      <c r="D7" s="140">
        <v>43380.0</v>
      </c>
      <c r="E7" s="141" t="s">
        <v>65</v>
      </c>
      <c r="F7" s="145"/>
      <c r="G7" s="82">
        <v>9500.0</v>
      </c>
      <c r="H7" s="113"/>
      <c r="I7" s="106"/>
      <c r="J7" s="114"/>
      <c r="K7" s="108" t="s">
        <v>18</v>
      </c>
      <c r="L7" s="109" t="s">
        <v>427</v>
      </c>
      <c r="M7" s="110" t="s">
        <v>33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1" t="s">
        <v>34</v>
      </c>
      <c r="B8" s="143">
        <v>45900.0</v>
      </c>
      <c r="C8" s="79" t="s">
        <v>428</v>
      </c>
      <c r="D8" s="140">
        <v>43380.0</v>
      </c>
      <c r="E8" s="141" t="s">
        <v>65</v>
      </c>
      <c r="F8" s="145"/>
      <c r="G8" s="82">
        <v>300.0</v>
      </c>
      <c r="H8" s="113"/>
      <c r="I8" s="106"/>
      <c r="J8" s="114"/>
      <c r="K8" s="108" t="s">
        <v>18</v>
      </c>
      <c r="L8" s="109" t="s">
        <v>429</v>
      </c>
      <c r="M8" s="110" t="s">
        <v>42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1" t="s">
        <v>55</v>
      </c>
      <c r="B9" s="143">
        <v>45900.0</v>
      </c>
      <c r="C9" s="79" t="s">
        <v>430</v>
      </c>
      <c r="D9" s="140">
        <v>10006.0</v>
      </c>
      <c r="E9" s="141" t="s">
        <v>325</v>
      </c>
      <c r="F9" s="145"/>
      <c r="G9" s="82">
        <v>7500.0</v>
      </c>
      <c r="H9" s="113"/>
      <c r="I9" s="106"/>
      <c r="J9" s="114"/>
      <c r="K9" s="108" t="s">
        <v>18</v>
      </c>
      <c r="L9" s="109" t="s">
        <v>431</v>
      </c>
      <c r="M9" s="110" t="s">
        <v>42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1" t="s">
        <v>59</v>
      </c>
      <c r="B10" s="143">
        <v>45900.0</v>
      </c>
      <c r="C10" s="79" t="s">
        <v>432</v>
      </c>
      <c r="D10" s="140">
        <v>50595.0</v>
      </c>
      <c r="E10" s="141" t="s">
        <v>318</v>
      </c>
      <c r="F10" s="145"/>
      <c r="G10" s="82">
        <v>8150.0</v>
      </c>
      <c r="H10" s="113"/>
      <c r="I10" s="106"/>
      <c r="J10" s="114"/>
      <c r="K10" s="108" t="s">
        <v>18</v>
      </c>
      <c r="L10" s="109" t="s">
        <v>433</v>
      </c>
      <c r="M10" s="110" t="s">
        <v>33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1" t="s">
        <v>63</v>
      </c>
      <c r="B11" s="143">
        <v>45900.0</v>
      </c>
      <c r="C11" s="79" t="s">
        <v>434</v>
      </c>
      <c r="D11" s="140">
        <v>68284.0</v>
      </c>
      <c r="E11" s="141" t="s">
        <v>153</v>
      </c>
      <c r="F11" s="145"/>
      <c r="G11" s="82"/>
      <c r="H11" s="105">
        <v>2950.0</v>
      </c>
      <c r="I11" s="106"/>
      <c r="J11" s="114"/>
      <c r="K11" s="108" t="s">
        <v>18</v>
      </c>
      <c r="L11" s="109" t="s">
        <v>435</v>
      </c>
      <c r="M11" s="110" t="s">
        <v>42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11" t="s">
        <v>67</v>
      </c>
      <c r="B12" s="143">
        <v>45900.0</v>
      </c>
      <c r="C12" s="79" t="s">
        <v>436</v>
      </c>
      <c r="D12" s="140">
        <v>87144.0</v>
      </c>
      <c r="E12" s="141" t="s">
        <v>437</v>
      </c>
      <c r="F12" s="145"/>
      <c r="G12" s="82"/>
      <c r="H12" s="105">
        <v>1300.0</v>
      </c>
      <c r="I12" s="106"/>
      <c r="J12" s="114"/>
      <c r="K12" s="108" t="s">
        <v>18</v>
      </c>
      <c r="L12" s="109" t="s">
        <v>438</v>
      </c>
      <c r="M12" s="110" t="s">
        <v>42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11" t="s">
        <v>69</v>
      </c>
      <c r="B13" s="143">
        <v>45900.0</v>
      </c>
      <c r="C13" s="79" t="s">
        <v>439</v>
      </c>
      <c r="D13" s="140">
        <v>10357.0</v>
      </c>
      <c r="E13" s="141" t="s">
        <v>440</v>
      </c>
      <c r="F13" s="145"/>
      <c r="G13" s="82">
        <v>4500.0</v>
      </c>
      <c r="H13" s="113"/>
      <c r="I13" s="106"/>
      <c r="J13" s="114"/>
      <c r="K13" s="108" t="s">
        <v>18</v>
      </c>
      <c r="L13" s="109" t="s">
        <v>441</v>
      </c>
      <c r="M13" s="110" t="s">
        <v>42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11" t="s">
        <v>73</v>
      </c>
      <c r="B14" s="143">
        <v>45900.0</v>
      </c>
      <c r="C14" s="79" t="s">
        <v>442</v>
      </c>
      <c r="D14" s="140">
        <v>10281.0</v>
      </c>
      <c r="E14" s="141" t="s">
        <v>166</v>
      </c>
      <c r="F14" s="145"/>
      <c r="G14" s="82"/>
      <c r="H14" s="105">
        <v>4500.0</v>
      </c>
      <c r="I14" s="106"/>
      <c r="J14" s="114"/>
      <c r="K14" s="108" t="s">
        <v>18</v>
      </c>
      <c r="L14" s="109" t="s">
        <v>443</v>
      </c>
      <c r="M14" s="110" t="s">
        <v>42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111" t="s">
        <v>157</v>
      </c>
      <c r="B15" s="143">
        <v>45900.0</v>
      </c>
      <c r="C15" s="79" t="s">
        <v>444</v>
      </c>
      <c r="D15" s="140">
        <v>10006.0</v>
      </c>
      <c r="E15" s="141" t="s">
        <v>325</v>
      </c>
      <c r="F15" s="142"/>
      <c r="G15" s="82">
        <v>2400.0</v>
      </c>
      <c r="H15" s="105"/>
      <c r="I15" s="106"/>
      <c r="J15" s="114"/>
      <c r="K15" s="108" t="s">
        <v>18</v>
      </c>
      <c r="L15" s="109" t="s">
        <v>445</v>
      </c>
      <c r="M15" s="110" t="s">
        <v>42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111" t="s">
        <v>207</v>
      </c>
      <c r="B16" s="143">
        <v>45900.0</v>
      </c>
      <c r="C16" s="79" t="s">
        <v>446</v>
      </c>
      <c r="D16" s="140">
        <v>24609.0</v>
      </c>
      <c r="E16" s="141" t="s">
        <v>447</v>
      </c>
      <c r="F16" s="142"/>
      <c r="G16" s="82"/>
      <c r="H16" s="105">
        <v>1300.0</v>
      </c>
      <c r="I16" s="106"/>
      <c r="J16" s="114"/>
      <c r="K16" s="108" t="s">
        <v>18</v>
      </c>
      <c r="L16" s="109" t="s">
        <v>438</v>
      </c>
      <c r="M16" s="110" t="s">
        <v>42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111" t="s">
        <v>212</v>
      </c>
      <c r="B17" s="133">
        <v>45900.0</v>
      </c>
      <c r="C17" s="64" t="s">
        <v>448</v>
      </c>
      <c r="D17" s="65">
        <v>10006.0</v>
      </c>
      <c r="E17" s="66" t="s">
        <v>325</v>
      </c>
      <c r="F17" s="134"/>
      <c r="G17" s="82">
        <v>1200.0</v>
      </c>
      <c r="H17" s="105"/>
      <c r="I17" s="106"/>
      <c r="J17" s="114"/>
      <c r="K17" s="108" t="s">
        <v>18</v>
      </c>
      <c r="L17" s="109">
        <v>17.53</v>
      </c>
      <c r="M17" s="110" t="s">
        <v>42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111" t="s">
        <v>216</v>
      </c>
      <c r="B18" s="118"/>
      <c r="C18" s="64"/>
      <c r="D18" s="65"/>
      <c r="E18" s="66"/>
      <c r="F18" s="146"/>
      <c r="G18" s="82"/>
      <c r="H18" s="105"/>
      <c r="I18" s="106"/>
      <c r="J18" s="114"/>
      <c r="K18" s="108"/>
      <c r="L18" s="109"/>
      <c r="M18" s="110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111"/>
      <c r="B19" s="118"/>
      <c r="C19" s="64"/>
      <c r="D19" s="65"/>
      <c r="E19" s="66"/>
      <c r="F19" s="112"/>
      <c r="G19" s="82"/>
      <c r="H19" s="105"/>
      <c r="I19" s="106"/>
      <c r="J19" s="114"/>
      <c r="K19" s="108"/>
      <c r="L19" s="109"/>
      <c r="M19" s="110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51"/>
      <c r="B20" s="2"/>
      <c r="C20" s="2"/>
      <c r="D20" s="2"/>
      <c r="E20" s="3"/>
      <c r="F20" s="52">
        <f t="shared" ref="F20:J20" si="1">SUM(F4:F19)</f>
        <v>5100</v>
      </c>
      <c r="G20" s="52">
        <f t="shared" si="1"/>
        <v>64150</v>
      </c>
      <c r="H20" s="52">
        <f t="shared" si="1"/>
        <v>10050</v>
      </c>
      <c r="I20" s="52">
        <f t="shared" si="1"/>
        <v>0</v>
      </c>
      <c r="J20" s="52">
        <f t="shared" si="1"/>
        <v>0</v>
      </c>
      <c r="K20" s="53"/>
      <c r="L20" s="53"/>
      <c r="M20" s="54"/>
    </row>
    <row r="21" ht="48.0" customHeight="1">
      <c r="F21" s="55">
        <f>F20+G20+H20+I20+J20</f>
        <v>79300</v>
      </c>
      <c r="G21" s="2"/>
      <c r="H21" s="2"/>
      <c r="I21" s="2"/>
      <c r="J2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2">
    <mergeCell ref="K2:K3"/>
    <mergeCell ref="L2:L3"/>
    <mergeCell ref="E2:E3"/>
    <mergeCell ref="A20:E20"/>
    <mergeCell ref="F21:J2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
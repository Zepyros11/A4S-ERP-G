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-11-68" sheetId="1" r:id="rId4"/>
    <sheet state="visible" name="1-11-68" sheetId="2" r:id="rId5"/>
    <sheet state="visible" name="2 -11-68" sheetId="3" r:id="rId6"/>
    <sheet state="visible" name="3 -11-68" sheetId="4" r:id="rId7"/>
    <sheet state="visible" name="4-11-68" sheetId="5" r:id="rId8"/>
    <sheet state="visible" name="5-11-68" sheetId="6" r:id="rId9"/>
    <sheet state="visible" name="6-11-68" sheetId="7" r:id="rId10"/>
    <sheet state="visible" name="7-11-68" sheetId="8" r:id="rId11"/>
    <sheet state="visible" name="8-11-68" sheetId="9" r:id="rId12"/>
    <sheet state="visible" name="9-11-68" sheetId="10" r:id="rId13"/>
    <sheet state="visible" name="10-11-68" sheetId="11" r:id="rId14"/>
    <sheet state="visible" name="11-11-68" sheetId="12" r:id="rId15"/>
    <sheet state="visible" name="12-11-68" sheetId="13" r:id="rId16"/>
    <sheet state="visible" name="13-11-68" sheetId="14" r:id="rId17"/>
    <sheet state="visible" name="14-11-68" sheetId="15" r:id="rId18"/>
    <sheet state="visible" name="15-11-68" sheetId="16" r:id="rId19"/>
    <sheet state="visible" name="16-11-68" sheetId="17" r:id="rId20"/>
    <sheet state="visible" name="17-11-68" sheetId="18" r:id="rId21"/>
    <sheet state="visible" name="18-11-68" sheetId="19" r:id="rId22"/>
    <sheet state="visible" name="19-11-68" sheetId="20" r:id="rId23"/>
    <sheet state="visible" name="20-11-68" sheetId="21" r:id="rId24"/>
    <sheet state="visible" name="22-11-68" sheetId="22" r:id="rId25"/>
    <sheet state="visible" name="23-11-68" sheetId="23" r:id="rId26"/>
    <sheet state="visible" name="24-11-68" sheetId="24" r:id="rId27"/>
    <sheet state="visible" name="25-11-68" sheetId="25" r:id="rId28"/>
    <sheet state="visible" name="26-11-68" sheetId="26" r:id="rId29"/>
    <sheet state="visible" name="27-11-68" sheetId="27" r:id="rId30"/>
    <sheet state="visible" name="28-11-68" sheetId="28" r:id="rId31"/>
    <sheet state="visible" name="29-11-68" sheetId="29" r:id="rId32"/>
    <sheet state="visible" name="30-11-68..." sheetId="30" r:id="rId33"/>
  </sheets>
  <definedNames/>
  <calcPr/>
  <extLst>
    <ext uri="GoogleSheetsCustomDataVersion2">
      <go:sheetsCustomData xmlns:go="http://customooxmlschemas.google.com/" r:id="rId34" roundtripDataChecksum="1aKs/U3maikyL79BZbMMm2EgtYxmmi6q7UQ9oO43sHQ="/>
    </ext>
  </extLst>
</workbook>
</file>

<file path=xl/sharedStrings.xml><?xml version="1.0" encoding="utf-8"?>
<sst xmlns="http://schemas.openxmlformats.org/spreadsheetml/2006/main" count="1031" uniqueCount="270">
  <si>
    <t xml:space="preserve">              สรุปยอด บิลออนไลน์  จัดส่ง / นำเข้า DP ดึงตั้งแต่   21  พฤศจิกายน  2568     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</si>
  <si>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</si>
  <si>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</si>
  <si>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</si>
  <si>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</si>
  <si>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</si>
  <si>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</si>
  <si>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</si>
  <si>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</si>
  <si>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</si>
  <si>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</si>
  <si>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</si>
  <si>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</si>
  <si>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</si>
  <si>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</si>
  <si>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</si>
  <si>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11/20/2025</t>
  </si>
  <si>
    <t>STHONLIN2511007541</t>
  </si>
  <si>
    <t>บริษัท โคบาราเอฟโวลูชั่น (ประเทศไทย)จำกัด ( สำนักงานใหญ่ )</t>
  </si>
  <si>
    <t>BKK</t>
  </si>
  <si>
    <t>รับเอง กทม.</t>
  </si>
  <si>
    <t>2</t>
  </si>
  <si>
    <t>11/21/2025</t>
  </si>
  <si>
    <t>STHONLIN2511007868</t>
  </si>
  <si>
    <t>นางสาว วาสนา บุญเกษม</t>
  </si>
  <si>
    <t>จัดส่ง กทม.</t>
  </si>
  <si>
    <t>STHONLIN2511007870</t>
  </si>
  <si>
    <t>STHONLIN2511007927</t>
  </si>
  <si>
    <t>นาง ฐปนจันทร์ ยศตรีสรณ์</t>
  </si>
  <si>
    <t>STHONLIN2511007949</t>
  </si>
  <si>
    <t>นางสาว ดารดี ญาณกวี</t>
  </si>
  <si>
    <t xml:space="preserve">              สรุปยอด บิลออนไลน์  จัดส่ง / นำเข้า DP ดึงตั้งแต่ 31 ตุลาคม  -   1   พฤศจิกายน  2568</t>
  </si>
  <si>
    <t>payment</t>
  </si>
  <si>
    <t>BKK01</t>
  </si>
  <si>
    <t>3</t>
  </si>
  <si>
    <t>4</t>
  </si>
  <si>
    <t>5</t>
  </si>
  <si>
    <t xml:space="preserve">              สรุปยอด บิลออนไลน์  จัดส่ง / นำเข้า DP ดึงตั้งแต่   2    พฤศจิกายน  2568</t>
  </si>
  <si>
    <t>STHONLIN2511000177</t>
  </si>
  <si>
    <t>Mr. FREDERICK BALOKO</t>
  </si>
  <si>
    <t>STHONLIN2511000178</t>
  </si>
  <si>
    <t>STHONLIN2511000181</t>
  </si>
  <si>
    <t>นาย จักรพงศ์ สินธุรักษ์</t>
  </si>
  <si>
    <t>NB</t>
  </si>
  <si>
    <t>รับเอง DP</t>
  </si>
  <si>
    <t>STHONLIN2511000087</t>
  </si>
  <si>
    <t>นาย เก่งภพ ศุภาภพปภาส</t>
  </si>
  <si>
    <t>STHONLIN2511000198</t>
  </si>
  <si>
    <t>นางสาว สุชานันท์ สะตะ</t>
  </si>
  <si>
    <t xml:space="preserve">              สรุปยอด บิลออนไลน์  จัดส่ง / นำเข้า DP ดึงตั้งแต่   3    พฤศจิกายน  2568</t>
  </si>
  <si>
    <t>Online</t>
  </si>
  <si>
    <t>STHONLIN2511000296</t>
  </si>
  <si>
    <t>นางสาว พัชรมณฑ์ พรมทา</t>
  </si>
  <si>
    <t>9.50น</t>
  </si>
  <si>
    <t>STHONLIN2511000297</t>
  </si>
  <si>
    <t>นาย สาธิต คำรังษี</t>
  </si>
  <si>
    <t>9.59น</t>
  </si>
  <si>
    <t>6</t>
  </si>
  <si>
    <t>7</t>
  </si>
  <si>
    <t>8</t>
  </si>
  <si>
    <t>9</t>
  </si>
  <si>
    <t>10</t>
  </si>
  <si>
    <t>11</t>
  </si>
  <si>
    <t>12</t>
  </si>
  <si>
    <t xml:space="preserve">              สรุปยอด บิลออนไลน์  จัดส่ง / นำเข้า DP ดึงตั้งแต่   4    พฤศจิกายน  2568</t>
  </si>
  <si>
    <t>STHONLIN2511000607</t>
  </si>
  <si>
    <t>Mr. Mbutuh Nvenyi Celestine</t>
  </si>
  <si>
    <t>11.49น</t>
  </si>
  <si>
    <t>STHONLIN2511000633</t>
  </si>
  <si>
    <t>นาย สรกล เกตุขำ</t>
  </si>
  <si>
    <t>14.11น</t>
  </si>
  <si>
    <t>STHONLIN2511000655</t>
  </si>
  <si>
    <t>นาง ปวีณา   ปาทา</t>
  </si>
  <si>
    <t>15.43น</t>
  </si>
  <si>
    <t xml:space="preserve">              สรุปยอด บิลออนไลน์  จัดส่ง / นำเข้า DP ดึงตั้งแต่   5   พฤศจิกายน  2568</t>
  </si>
  <si>
    <t>STHONLIN2511000931</t>
  </si>
  <si>
    <t>08.57น</t>
  </si>
  <si>
    <t>STHONLIN2511000933</t>
  </si>
  <si>
    <t>Mrs. Judith Kechoyu Nvenyi</t>
  </si>
  <si>
    <t>09.57น</t>
  </si>
  <si>
    <t>STHONLIN2511000943</t>
  </si>
  <si>
    <t>นาง ทัศนา เลื่อมสำราญ</t>
  </si>
  <si>
    <t>11.12น</t>
  </si>
  <si>
    <t xml:space="preserve">              สรุปยอด บิลออนไลน์  จัดส่ง / นำเข้า DP ดึงตั้งแต่   6   พฤศจิกายน  2568</t>
  </si>
  <si>
    <t>STHONLIN2511001344</t>
  </si>
  <si>
    <t>บริษัท ดีเวย์ ริชคอร์ป จำกัด(สำนักงานใหญ่)</t>
  </si>
  <si>
    <t>09.27 น.</t>
  </si>
  <si>
    <t>STHONLIN2511001353</t>
  </si>
  <si>
    <t>นาย ภาวัต นานาภัทรชัย</t>
  </si>
  <si>
    <t>11.53  น.</t>
  </si>
  <si>
    <t xml:space="preserve">              สรุปยอด บิลออนไลน์  จัดส่ง / นำเข้า DP ดึงตั้งแต่   7  พฤศจิกายน  2568</t>
  </si>
  <si>
    <t>STHONLIN2511001832</t>
  </si>
  <si>
    <t>นาย สุวิทย์ รองชูเพ็ง</t>
  </si>
  <si>
    <t>10.20 น.</t>
  </si>
  <si>
    <t>STHONLIN2511001833</t>
  </si>
  <si>
    <t>นาง ฐานมญ ชลคีรี</t>
  </si>
  <si>
    <t>14.16 น.</t>
  </si>
  <si>
    <t xml:space="preserve">              สรุปยอด บิลออนไลน์  จัดส่ง / นำเข้า DP ดึงตั้งแต่   8  พฤศจิกายน  2568</t>
  </si>
  <si>
    <t>STHONLIN2511002360</t>
  </si>
  <si>
    <t>นาย ธนบูลย์ แสงฐิตาพันธุ์</t>
  </si>
  <si>
    <t>9.53น.</t>
  </si>
  <si>
    <t>STHONLIN2511002428</t>
  </si>
  <si>
    <t>Mr. LAURENT RAYMOND NDIEFFE</t>
  </si>
  <si>
    <t>13.57น.</t>
  </si>
  <si>
    <t>STHONLIN2511002434</t>
  </si>
  <si>
    <t>นาย ดิเรก กรีฑา</t>
  </si>
  <si>
    <t>14.30น.</t>
  </si>
  <si>
    <t xml:space="preserve">              สรุปยอด บิลออนไลน์  จัดส่ง / นำเข้า DP ดึงตั้งแต่   9  พฤศจิกายน  2568</t>
  </si>
  <si>
    <t>STHONLIN2511002739</t>
  </si>
  <si>
    <t>นาย เอกชลิต ธวัชกฤตยา</t>
  </si>
  <si>
    <t>11.17น.</t>
  </si>
  <si>
    <t>STHONLIN2511002756</t>
  </si>
  <si>
    <t>นางสาว อรณิกร บุญเกษม</t>
  </si>
  <si>
    <t>11.48น.</t>
  </si>
  <si>
    <t>STHONLIN2511002760</t>
  </si>
  <si>
    <t>นางสาว รินรดา สุขเกษม</t>
  </si>
  <si>
    <t>11.51น.</t>
  </si>
  <si>
    <t>STHONLIN2511002794</t>
  </si>
  <si>
    <t>14.02น.</t>
  </si>
  <si>
    <t xml:space="preserve">              สรุปยอด บิลออนไลน์  จัดส่ง / นำเข้า DP ดึงตั้งแต่   10  พฤศจิกายน  2568</t>
  </si>
  <si>
    <t>STHONLIN2511003034</t>
  </si>
  <si>
    <t>บริษัท สยามทวีทิพย์ จำกัด(สำนักงานใหญ่)</t>
  </si>
  <si>
    <t>STHONLIN2511003067</t>
  </si>
  <si>
    <t>นางสาว ธนพรรษ​ ยี่ภู</t>
  </si>
  <si>
    <t>จัดส่ง DP</t>
  </si>
  <si>
    <t>STHONLIN2511003074</t>
  </si>
  <si>
    <t>Mr. MEITE  IBRAHIMA</t>
  </si>
  <si>
    <t xml:space="preserve">              สรุปยอด บิลออนไลน์  จัดส่ง / นำเข้า DP ดึงตั้งแต่   11  พฤศจิกายน  2568</t>
  </si>
  <si>
    <t>STHONLIN2511003552</t>
  </si>
  <si>
    <t>10.19 น.</t>
  </si>
  <si>
    <t>STHONLIN2511003562</t>
  </si>
  <si>
    <t>11.45 น.</t>
  </si>
  <si>
    <t xml:space="preserve">              สรุปยอด บิลออนไลน์  จัดส่ง / นำเข้า DP ดึงตั้งแต่   12  พฤศจิกายน  2568                                                                                                </t>
  </si>
  <si>
    <t>STHONLIN2511004121</t>
  </si>
  <si>
    <t>นางสาว ธนิชชนันท์ สิริภาคยะประภา</t>
  </si>
  <si>
    <t>10.12น.</t>
  </si>
  <si>
    <t xml:space="preserve">    </t>
  </si>
  <si>
    <t xml:space="preserve">              สรุปยอด บิลออนไลน์  จัดส่ง / นำเข้า DP ดึงตั้งแต่   13  พฤศจิกายน  2568</t>
  </si>
  <si>
    <t>STHONLIN2511004604</t>
  </si>
  <si>
    <t>นาย อนันต์กฤช เต็มศิริพันธุ์</t>
  </si>
  <si>
    <t>12.01น.</t>
  </si>
  <si>
    <t>STHONLIN2511004630</t>
  </si>
  <si>
    <t>ห้างหุ้นส่วน โกรท โกลเบิล เน็ตเวิร์ก (สำนักงานใหญ่)</t>
  </si>
  <si>
    <t>15.52น.</t>
  </si>
  <si>
    <t xml:space="preserve">              สรุปยอด บิลออนไลน์  จัดส่ง / นำเข้า DP ดึงตั้งแต่   14  พฤศจิกายน  2568</t>
  </si>
  <si>
    <t>11/13/2025</t>
  </si>
  <si>
    <t>STHONLIN2511004671</t>
  </si>
  <si>
    <t>Ms. MVENYI EPOSE BOKWE BRENDA BENEDETTE MAMO</t>
  </si>
  <si>
    <t xml:space="preserve">              สรุปยอด บิลออนไลน์  จัดส่ง / นำเข้า DP ดึงตั้งแต่   15  พฤศจิกายน  2568</t>
  </si>
  <si>
    <t>STHONLIN2511005368</t>
  </si>
  <si>
    <t>นางสาว คณาง ไพรบึง</t>
  </si>
  <si>
    <t>12.56น.</t>
  </si>
  <si>
    <t>STHONLIN2511005398</t>
  </si>
  <si>
    <t>บริษัท เศรษฐกวี จำกัด ( สำนักงานใหญ่ )</t>
  </si>
  <si>
    <t>16.19น.</t>
  </si>
  <si>
    <t xml:space="preserve">              สรุปยอด บิลออนไลน์  จัดส่ง / นำเข้า DP ดึงตั้งแต่   16  พฤศจิกายน  2568</t>
  </si>
  <si>
    <t>ไม่มีบิลออนไลน์</t>
  </si>
  <si>
    <t xml:space="preserve">              สรุปยอด บิลออนไลน์  จัดส่ง / นำเข้า DP ดึงตั้งแต่   17  พฤศจิกายน  2568                                                                                                </t>
  </si>
  <si>
    <t>STHONLIN2511006031</t>
  </si>
  <si>
    <t>Mr. BAMBA ABDUL HAMID</t>
  </si>
  <si>
    <t>16.38 น</t>
  </si>
  <si>
    <t xml:space="preserve">              สรุปยอด บิลออนไลน์  จัดส่ง / นำเข้า DP ดึงตั้งแต่   18  พฤศจิกายน  2568                                                                                                </t>
  </si>
  <si>
    <t>STHONLIN2511006039</t>
  </si>
  <si>
    <t>STHONLIN2511006485</t>
  </si>
  <si>
    <t xml:space="preserve">              สรุปยอด บิลออนไลน์  จัดส่ง / นำเข้า DP ดึงตั้งแต่   19  พฤศจิกายน  2568                                                                                                </t>
  </si>
  <si>
    <t>STHONLIN2511006899</t>
  </si>
  <si>
    <t>นางสาว ประภัสสร  ดีดวงพันธ์</t>
  </si>
  <si>
    <t>STHONLIN2511007012</t>
  </si>
  <si>
    <t>นางสาว ณัฐธยาน์  รอดทอง</t>
  </si>
  <si>
    <t>STHONLIN2511007014</t>
  </si>
  <si>
    <t>นางสาว อัณณา  อมรเรืองพิศา</t>
  </si>
  <si>
    <t>STHONLIN2511007015</t>
  </si>
  <si>
    <t>นาง วันดี  รอดทอง</t>
  </si>
  <si>
    <t>STHONLIN2511007017</t>
  </si>
  <si>
    <t>นาง ณรงค์เกียรติ   ยอดทอง</t>
  </si>
  <si>
    <t xml:space="preserve">              สรุปยอด บิลออนไลน์  จัดส่ง / นำเข้า DP ดึงตั้งแต่   20  พฤศจิกายน  2568                                                                                                </t>
  </si>
  <si>
    <t>STHONLIN2511007098</t>
  </si>
  <si>
    <t>นาง วรวรรณ สัมบุณณานนท์</t>
  </si>
  <si>
    <t>20.48น.</t>
  </si>
  <si>
    <t>STHONLIN2511007418</t>
  </si>
  <si>
    <t>12.24น.</t>
  </si>
  <si>
    <t xml:space="preserve">              สรุปยอด บิลออนไลน์  จัดส่ง / นำเข้า DP ดึงตั้งแต่   22  พฤศจิกายน  2568                                                                                                </t>
  </si>
  <si>
    <t>STHONLIN2511008409</t>
  </si>
  <si>
    <t>10.52น.</t>
  </si>
  <si>
    <t>STHONLIN2511008411</t>
  </si>
  <si>
    <t>12.49น.</t>
  </si>
  <si>
    <t xml:space="preserve">              สรุปยอด บิลออนไลน์  จัดส่ง / นำเข้า DP ดึงตั้งแต่   23  พฤศจิกายน  2568                                                                                                </t>
  </si>
  <si>
    <t>11/22/2025</t>
  </si>
  <si>
    <t>STHONLIN2511008594</t>
  </si>
  <si>
    <t>บริษัท เค24 โกลบอล จำกัด (สำนักงานใหญ่)</t>
  </si>
  <si>
    <t>11/23/2025</t>
  </si>
  <si>
    <t>STHONLIN2511008746</t>
  </si>
  <si>
    <t>นางสาว สุพัชชา  กันหาเวียง</t>
  </si>
  <si>
    <t xml:space="preserve">              สรุปยอด บิลออนไลน์  จัดส่ง / นำเข้า DP ดึงตั้งแต่   24  พฤศจิกายน  2568                                                                                                </t>
  </si>
  <si>
    <t>STHONLIN2511009109</t>
  </si>
  <si>
    <t>นางสาว กิ่งแก้ว บุญโยประการ</t>
  </si>
  <si>
    <t>STHONLIN2511009110</t>
  </si>
  <si>
    <t>STHONLIN2511009121</t>
  </si>
  <si>
    <t>นาง ศุกษา สุนิปาวงค์</t>
  </si>
  <si>
    <t>STHONLIN2511009122</t>
  </si>
  <si>
    <t>นาง อรพรรณ อินอุดม</t>
  </si>
  <si>
    <t>STHONLIN2511009150</t>
  </si>
  <si>
    <t>กัมปนาท รุ่งโรจน์</t>
  </si>
  <si>
    <t xml:space="preserve">              สรุปยอด บิลออนไลน์  จัดส่ง / นำเข้า DP ดึงตั้งแต่   25  พฤศจิกายน  2568                                                                                                </t>
  </si>
  <si>
    <t>STHONLIN2511009744</t>
  </si>
  <si>
    <t>นาง ประนอม ฝอยทอง</t>
  </si>
  <si>
    <t>STHONLIN2511009762</t>
  </si>
  <si>
    <t>STHONLIN2511009806</t>
  </si>
  <si>
    <t xml:space="preserve">              สรุปยอด บิลออนไลน์  จัดส่ง / นำเข้า DP ดึงตั้งแต่   26  พฤศจิกายน  2568                                                                                                </t>
  </si>
  <si>
    <t xml:space="preserve">              สรุปยอด บิลออนไลน์  จัดส่ง / นำเข้า DP ดึงตั้งแต่   27  พฤศจิกายน  2568                                                                                                </t>
  </si>
  <si>
    <t>STHONLIN2511010849</t>
  </si>
  <si>
    <t>นาง กัญฐ์ภิญญา จงยันต์ธนกุล</t>
  </si>
  <si>
    <t>Bkk</t>
  </si>
  <si>
    <t>12.18น.</t>
  </si>
  <si>
    <t>STHONLIN2511010850</t>
  </si>
  <si>
    <t>12.20น.</t>
  </si>
  <si>
    <t>STHONLIN2511010859</t>
  </si>
  <si>
    <t>13.00น.</t>
  </si>
  <si>
    <t xml:space="preserve">              สรุปยอด บิลออนไลน์  จัดส่ง / นำเข้า DP ดึงตั้งแต่   28  พฤศจิกายน  2568                                                                                                </t>
  </si>
  <si>
    <t>STHONLIN2511010945</t>
  </si>
  <si>
    <t>STHONLIN2511011376</t>
  </si>
  <si>
    <t>นางสาว กวินพรรณ สารบุตร</t>
  </si>
  <si>
    <t>STHONLIN2511011377</t>
  </si>
  <si>
    <t>STHONLIN2511011380</t>
  </si>
  <si>
    <t>Mrs. BANJAMART DONPRAKAN CHRISTIANSEN</t>
  </si>
  <si>
    <t>STHONLIN2511011400</t>
  </si>
  <si>
    <t>STHONLIN2511011401</t>
  </si>
  <si>
    <t>นาง วัลยา เจริญรุ่งรัตน์</t>
  </si>
  <si>
    <t>STHONLIN2511011404</t>
  </si>
  <si>
    <t>นาง วรรณอนงค์ แสงอรุณธนพล</t>
  </si>
  <si>
    <t>STHONLIN2511011405</t>
  </si>
  <si>
    <t>นาย ชิติสรรค์ คนิสสรชยังกุน</t>
  </si>
  <si>
    <t>STHONLIN2511011407</t>
  </si>
  <si>
    <t>นางสาว ราชาวดี แสงอรุณ</t>
  </si>
  <si>
    <t xml:space="preserve">              สรุปยอด บิลออนไลน์  จัดส่ง / นำเข้า DP ดึงตั้งแต่   29  พฤศจิกายน  2568                                                                                                </t>
  </si>
  <si>
    <t>STHONLIN2511011606</t>
  </si>
  <si>
    <t>19.28น.</t>
  </si>
  <si>
    <t>STHONLIN2511012097</t>
  </si>
  <si>
    <t>09.55น.</t>
  </si>
  <si>
    <t>STHONLIN2511012129</t>
  </si>
  <si>
    <t>11.15น.</t>
  </si>
  <si>
    <t>STHONLIN2511012134</t>
  </si>
  <si>
    <t>นาง กิ่งแก้ว แก้วคง</t>
  </si>
  <si>
    <t>11.26น.</t>
  </si>
  <si>
    <t>STHONLIN2511012178</t>
  </si>
  <si>
    <t>นางสาว นงพงา ตั้งฤทัยเยี่ยม</t>
  </si>
  <si>
    <t>12.07น.</t>
  </si>
  <si>
    <t>STHONLIN2511012278</t>
  </si>
  <si>
    <t>นางสาว ภาพิมล  ฉัตรเฉลิมวิทย์</t>
  </si>
  <si>
    <t>15.21น.</t>
  </si>
  <si>
    <t>STHONLIN2511012327</t>
  </si>
  <si>
    <t>นาย สิปปภาส  โรจนวสุธร</t>
  </si>
  <si>
    <t>16.24น.</t>
  </si>
  <si>
    <t xml:space="preserve">              สรุปยอด บิลออนไลน์  จัดส่ง / นำเข้า DP ดึงตั้งแต่   30  พฤศจิกายน  2568                                                                                                </t>
  </si>
  <si>
    <t>STHONLIN2511012535</t>
  </si>
  <si>
    <t>STHONLIN2511012542</t>
  </si>
  <si>
    <t>ห้างหุ้นส่วน ขุนศรี โกลเบิล (สำนักงานใหญ่)</t>
  </si>
  <si>
    <t>STHONLIN2511012709</t>
  </si>
  <si>
    <t>STHONLIN2511012811</t>
  </si>
  <si>
    <t>STHONLIN2511012989</t>
  </si>
  <si>
    <t>ห้างหุ้นส่วน เครือข่ายปิยธนา ( สำนักงานใหญ่ )</t>
  </si>
  <si>
    <t>STHONLIN2511012990</t>
  </si>
  <si>
    <t>นางสาว เบ็ญจมาศ พรรณารุโณทัย</t>
  </si>
  <si>
    <t>STHONLIN2511012993</t>
  </si>
  <si>
    <t>STHONLIN2511012996</t>
  </si>
  <si>
    <t>STHONLIN2511012997</t>
  </si>
  <si>
    <t>STHONLIN2511012999</t>
  </si>
  <si>
    <t>นางสาว วัลลภา พฤกษ์สุวรรณ์</t>
  </si>
  <si>
    <t>STHONLIN2511013030</t>
  </si>
  <si>
    <t>STHONLIN2511013040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</si>
</sst>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"/>
    <numFmt numFmtId="166" formatCode="d/m/yyyy"/>
  </numFmts>
  <fonts count="52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sz val="18.0"/>
      <color theme="1"/>
      <name val="Arial"/>
    </font>
    <font>
      <b/>
      <sz val="18.0"/>
      <color theme="1"/>
      <name val="Arial"/>
    </font>
    <font>
      <sz val="23.0"/>
      <color theme="1"/>
      <name val="Arial"/>
    </font>
    <font>
      <sz val="24.0"/>
      <color rgb="FFFF0000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3.0"/>
      <color theme="1"/>
      <name val="Arial"/>
    </font>
    <font>
      <b/>
      <sz val="29.0"/>
      <color rgb="FFFF0000"/>
      <name val="Arial"/>
    </font>
    <font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color theme="1"/>
      <name val="Arial"/>
    </font>
    <font>
      <b/>
      <sz val="20.0"/>
      <color theme="1"/>
      <name val="Arial"/>
    </font>
    <font>
      <sz val="21.0"/>
      <color rgb="FFFF0000"/>
      <name val="Arial"/>
    </font>
    <font>
      <b/>
      <sz val="22.0"/>
      <color theme="1"/>
      <name val="Arial"/>
    </font>
    <font>
      <b/>
      <sz val="20.0"/>
      <color rgb="FF000000"/>
      <name val="Arial"/>
    </font>
    <font>
      <b/>
      <sz val="21.0"/>
      <color rgb="FFFF0000"/>
      <name val="Arial"/>
    </font>
    <font>
      <b/>
      <sz val="26.0"/>
      <color rgb="FF000000"/>
      <name val="Arial"/>
    </font>
    <font>
      <b/>
      <sz val="22.0"/>
      <color rgb="FF000000"/>
      <name val="Arial"/>
    </font>
    <font>
      <sz val="17.0"/>
      <color theme="1"/>
      <name val="Arial"/>
    </font>
    <font>
      <sz val="20.0"/>
      <color theme="1"/>
      <name val="Arial"/>
    </font>
    <font>
      <sz val="19.0"/>
      <color rgb="FFFF0000"/>
      <name val="Arial"/>
    </font>
    <font>
      <sz val="22.0"/>
      <color rgb="FFFF0000"/>
      <name val="Arial"/>
    </font>
    <font>
      <sz val="18.0"/>
      <color rgb="FFCC0000"/>
      <name val="Arial"/>
    </font>
    <font>
      <sz val="29.0"/>
      <color rgb="FF000000"/>
      <name val="Angsana New"/>
    </font>
    <font>
      <sz val="26.0"/>
      <color rgb="FF000000"/>
      <name val="Arial"/>
    </font>
    <font>
      <b/>
      <sz val="22.0"/>
      <color theme="1"/>
      <name val="Aptos Narrow"/>
    </font>
    <font>
      <sz val="18.0"/>
      <color rgb="FFFF0000"/>
      <name val="Arial"/>
    </font>
    <font>
      <b/>
      <sz val="23.0"/>
      <color theme="1"/>
      <name val="Aptos Narrow"/>
    </font>
    <font>
      <sz val="17.0"/>
      <color rgb="FF000000"/>
      <name val="Arial"/>
    </font>
    <font>
      <sz val="25.0"/>
      <color theme="1"/>
      <name val="Arial"/>
    </font>
    <font>
      <b/>
      <sz val="26.0"/>
      <color rgb="FFFF0000"/>
      <name val="Arial"/>
    </font>
    <font>
      <sz val="27.0"/>
      <color theme="1"/>
      <name val="Arial"/>
    </font>
    <font>
      <b/>
      <sz val="2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readingOrder="0" shrinkToFit="0" vertical="center" wrapText="0"/>
    </xf>
    <xf borderId="11" fillId="4" fontId="7" numFmtId="0" xfId="0" applyAlignment="1" applyBorder="1" applyFon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7" numFmtId="0" xfId="0" applyAlignment="1" applyBorder="1" applyFont="1">
      <alignment readingOrder="0"/>
    </xf>
    <xf borderId="11" fillId="4" fontId="9" numFmtId="38" xfId="0" applyAlignment="1" applyBorder="1" applyFont="1" applyNumberFormat="1">
      <alignment horizontal="center" readingOrder="0"/>
    </xf>
    <xf borderId="12" fillId="4" fontId="10" numFmtId="38" xfId="0" applyAlignment="1" applyBorder="1" applyFont="1" applyNumberFormat="1">
      <alignment horizontal="right" readingOrder="0" vertical="bottom"/>
    </xf>
    <xf borderId="11" fillId="4" fontId="7" numFmtId="38" xfId="0" applyAlignment="1" applyBorder="1" applyFont="1" applyNumberFormat="1">
      <alignment readingOrder="0"/>
    </xf>
    <xf borderId="11" fillId="4" fontId="11" numFmtId="0" xfId="0" applyBorder="1" applyFont="1"/>
    <xf borderId="11" fillId="4" fontId="11" numFmtId="3" xfId="0" applyBorder="1" applyFont="1" applyNumberFormat="1"/>
    <xf borderId="11" fillId="4" fontId="11" numFmtId="0" xfId="0" applyAlignment="1" applyBorder="1" applyFont="1">
      <alignment horizontal="center" readingOrder="0"/>
    </xf>
    <xf borderId="11" fillId="4" fontId="12" numFmtId="0" xfId="0" applyAlignment="1" applyBorder="1" applyFont="1">
      <alignment horizontal="center" readingOrder="0" vertical="center"/>
    </xf>
    <xf borderId="11" fillId="4" fontId="11" numFmtId="0" xfId="0" applyAlignment="1" applyBorder="1" applyFont="1">
      <alignment horizontal="center" readingOrder="0" vertical="center"/>
    </xf>
    <xf borderId="0" fillId="0" fontId="13" numFmtId="0" xfId="0" applyFont="1"/>
    <xf borderId="11" fillId="5" fontId="14" numFmtId="49" xfId="0" applyAlignment="1" applyBorder="1" applyFill="1" applyFont="1" applyNumberFormat="1">
      <alignment horizontal="center" readingOrder="0" shrinkToFit="0" vertical="center" wrapText="0"/>
    </xf>
    <xf borderId="11" fillId="5" fontId="7" numFmtId="0" xfId="0" applyAlignment="1" applyBorder="1" applyFon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7" numFmtId="0" xfId="0" applyAlignment="1" applyBorder="1" applyFont="1">
      <alignment readingOrder="0"/>
    </xf>
    <xf borderId="11" fillId="5" fontId="15" numFmtId="38" xfId="0" applyAlignment="1" applyBorder="1" applyFont="1" applyNumberFormat="1">
      <alignment horizontal="center" readingOrder="0"/>
    </xf>
    <xf borderId="12" fillId="5" fontId="16" numFmtId="38" xfId="0" applyAlignment="1" applyBorder="1" applyFont="1" applyNumberFormat="1">
      <alignment horizontal="right" readingOrder="0" vertical="bottom"/>
    </xf>
    <xf borderId="11" fillId="5" fontId="17" numFmtId="38" xfId="0" applyBorder="1" applyFont="1" applyNumberFormat="1"/>
    <xf borderId="11" fillId="5" fontId="17" numFmtId="0" xfId="0" applyBorder="1" applyFont="1"/>
    <xf borderId="11" fillId="5" fontId="17" numFmtId="3" xfId="0" applyAlignment="1" applyBorder="1" applyFont="1" applyNumberFormat="1">
      <alignment horizontal="center"/>
    </xf>
    <xf borderId="11" fillId="5" fontId="17" numFmtId="0" xfId="0" applyAlignment="1" applyBorder="1" applyFont="1">
      <alignment horizontal="center" readingOrder="0"/>
    </xf>
    <xf borderId="11" fillId="5" fontId="18" numFmtId="0" xfId="0" applyAlignment="1" applyBorder="1" applyFont="1">
      <alignment horizontal="center" readingOrder="0" vertical="center"/>
    </xf>
    <xf borderId="11" fillId="5" fontId="9" numFmtId="0" xfId="0" applyAlignment="1" applyBorder="1" applyFont="1">
      <alignment horizontal="center" readingOrder="0"/>
    </xf>
    <xf borderId="12" fillId="4" fontId="8" numFmtId="0" xfId="0" applyAlignment="1" applyBorder="1" applyFont="1">
      <alignment horizontal="center" readingOrder="0" vertical="bottom"/>
    </xf>
    <xf borderId="12" fillId="4" fontId="15" numFmtId="4" xfId="0" applyAlignment="1" applyBorder="1" applyFont="1" applyNumberFormat="1">
      <alignment readingOrder="0" vertical="bottom"/>
    </xf>
    <xf borderId="12" fillId="4" fontId="15" numFmtId="1" xfId="0" applyAlignment="1" applyBorder="1" applyFont="1" applyNumberFormat="1">
      <alignment horizontal="center" readingOrder="0" vertical="bottom"/>
    </xf>
    <xf borderId="12" fillId="4" fontId="15" numFmtId="0" xfId="0" applyAlignment="1" applyBorder="1" applyFont="1">
      <alignment readingOrder="0" vertical="bottom"/>
    </xf>
    <xf borderId="12" fillId="4" fontId="19" numFmtId="38" xfId="0" applyAlignment="1" applyBorder="1" applyFont="1" applyNumberFormat="1">
      <alignment horizontal="right" readingOrder="0" vertical="bottom"/>
    </xf>
    <xf borderId="12" fillId="4" fontId="16" numFmtId="38" xfId="0" applyAlignment="1" applyBorder="1" applyFont="1" applyNumberFormat="1">
      <alignment horizontal="right" readingOrder="0" vertical="bottom"/>
    </xf>
    <xf borderId="11" fillId="4" fontId="19" numFmtId="38" xfId="0" applyAlignment="1" applyBorder="1" applyFont="1" applyNumberFormat="1">
      <alignment vertical="bottom"/>
    </xf>
    <xf borderId="11" fillId="4" fontId="20" numFmtId="0" xfId="0" applyAlignment="1" applyBorder="1" applyFont="1">
      <alignment horizontal="center" shrinkToFit="0" vertical="center" wrapText="1"/>
    </xf>
    <xf borderId="11" fillId="4" fontId="17" numFmtId="3" xfId="0" applyAlignment="1" applyBorder="1" applyFont="1" applyNumberFormat="1">
      <alignment horizontal="center" shrinkToFit="0" vertical="center" wrapText="1"/>
    </xf>
    <xf borderId="11" fillId="4" fontId="21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readingOrder="0"/>
    </xf>
    <xf borderId="11" fillId="5" fontId="14" numFmtId="49" xfId="0" applyAlignment="1" applyBorder="1" applyFont="1" applyNumberFormat="1">
      <alignment horizontal="center" shrinkToFit="0" vertical="center" wrapText="0"/>
    </xf>
    <xf borderId="11" fillId="4" fontId="19" numFmtId="38" xfId="0" applyAlignment="1" applyBorder="1" applyFont="1" applyNumberFormat="1">
      <alignment horizontal="right" readingOrder="0" vertical="bottom"/>
    </xf>
    <xf borderId="12" fillId="4" fontId="16" numFmtId="38" xfId="0" applyAlignment="1" applyBorder="1" applyFont="1" applyNumberFormat="1">
      <alignment horizontal="right" vertical="bottom"/>
    </xf>
    <xf borderId="11" fillId="4" fontId="22" numFmtId="3" xfId="0" applyAlignment="1" applyBorder="1" applyFont="1" applyNumberFormat="1">
      <alignment horizontal="center" shrinkToFit="0" vertical="center" wrapText="1"/>
    </xf>
    <xf borderId="11" fillId="4" fontId="23" numFmtId="0" xfId="0" applyAlignment="1" applyBorder="1" applyFont="1">
      <alignment horizontal="center" vertical="center"/>
    </xf>
    <xf borderId="11" fillId="0" fontId="24" numFmtId="0" xfId="0" applyAlignment="1" applyBorder="1" applyFont="1">
      <alignment horizontal="center" readingOrder="0"/>
    </xf>
    <xf borderId="1" fillId="6" fontId="25" numFmtId="0" xfId="0" applyAlignment="1" applyBorder="1" applyFill="1" applyFont="1">
      <alignment horizontal="center"/>
    </xf>
    <xf borderId="13" fillId="6" fontId="26" numFmtId="3" xfId="0" applyAlignment="1" applyBorder="1" applyFont="1" applyNumberFormat="1">
      <alignment horizontal="center"/>
    </xf>
    <xf borderId="11" fillId="6" fontId="27" numFmtId="3" xfId="0" applyAlignment="1" applyBorder="1" applyFont="1" applyNumberFormat="1">
      <alignment horizontal="center"/>
    </xf>
    <xf borderId="11" fillId="6" fontId="28" numFmtId="3" xfId="0" applyAlignment="1" applyBorder="1" applyFont="1" applyNumberFormat="1">
      <alignment horizontal="right"/>
    </xf>
    <xf borderId="1" fillId="7" fontId="26" numFmtId="3" xfId="0" applyAlignment="1" applyBorder="1" applyFill="1" applyFont="1" applyNumberFormat="1">
      <alignment horizontal="center" vertical="top"/>
    </xf>
    <xf borderId="14" fillId="3" fontId="3" numFmtId="0" xfId="0" applyAlignment="1" applyBorder="1" applyFont="1">
      <alignment horizontal="center"/>
    </xf>
    <xf borderId="9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11" fillId="0" fontId="16" numFmtId="164" xfId="0" applyAlignment="1" applyBorder="1" applyFont="1" applyNumberFormat="1">
      <alignment horizontal="right" readingOrder="0"/>
    </xf>
    <xf borderId="11" fillId="0" fontId="16" numFmtId="4" xfId="0" applyAlignment="1" applyBorder="1" applyFont="1" applyNumberFormat="1">
      <alignment readingOrder="0"/>
    </xf>
    <xf borderId="11" fillId="0" fontId="16" numFmtId="1" xfId="0" applyAlignment="1" applyBorder="1" applyFont="1" applyNumberFormat="1">
      <alignment horizontal="center" readingOrder="0"/>
    </xf>
    <xf borderId="11" fillId="0" fontId="16" numFmtId="0" xfId="0" applyAlignment="1" applyBorder="1" applyFont="1">
      <alignment readingOrder="0"/>
    </xf>
    <xf borderId="11" fillId="4" fontId="15" numFmtId="38" xfId="0" applyAlignment="1" applyBorder="1" applyFont="1" applyNumberFormat="1">
      <alignment horizontal="center" readingOrder="0"/>
    </xf>
    <xf borderId="11" fillId="5" fontId="29" numFmtId="38" xfId="0" applyBorder="1" applyFont="1" applyNumberFormat="1"/>
    <xf borderId="11" fillId="5" fontId="29" numFmtId="0" xfId="0" applyBorder="1" applyFont="1"/>
    <xf borderId="11" fillId="5" fontId="29" numFmtId="3" xfId="0" applyBorder="1" applyFont="1" applyNumberFormat="1"/>
    <xf borderId="11" fillId="0" fontId="30" numFmtId="0" xfId="0" applyAlignment="1" applyBorder="1" applyFont="1">
      <alignment horizontal="center" readingOrder="0"/>
    </xf>
    <xf borderId="11" fillId="0" fontId="31" numFmtId="0" xfId="0" applyAlignment="1" applyBorder="1" applyFont="1">
      <alignment horizontal="center" readingOrder="0"/>
    </xf>
    <xf borderId="12" fillId="5" fontId="4" numFmtId="4" xfId="0" applyAlignment="1" applyBorder="1" applyFont="1" applyNumberFormat="1">
      <alignment readingOrder="0" vertical="bottom"/>
    </xf>
    <xf borderId="12" fillId="5" fontId="32" numFmtId="1" xfId="0" applyAlignment="1" applyBorder="1" applyFont="1" applyNumberFormat="1">
      <alignment horizontal="center" readingOrder="0" vertical="bottom"/>
    </xf>
    <xf borderId="12" fillId="5" fontId="32" numFmtId="0" xfId="0" applyAlignment="1" applyBorder="1" applyFont="1">
      <alignment readingOrder="0" vertical="bottom"/>
    </xf>
    <xf borderId="12" fillId="5" fontId="11" numFmtId="38" xfId="0" applyAlignment="1" applyBorder="1" applyFont="1" applyNumberFormat="1">
      <alignment readingOrder="0" vertical="bottom"/>
    </xf>
    <xf borderId="12" fillId="5" fontId="16" numFmtId="38" xfId="0" applyAlignment="1" applyBorder="1" applyFont="1" applyNumberFormat="1">
      <alignment horizontal="right" vertical="bottom"/>
    </xf>
    <xf borderId="11" fillId="5" fontId="19" numFmtId="38" xfId="0" applyAlignment="1" applyBorder="1" applyFont="1" applyNumberFormat="1">
      <alignment vertical="bottom"/>
    </xf>
    <xf borderId="11" fillId="5" fontId="20" numFmtId="0" xfId="0" applyAlignment="1" applyBorder="1" applyFont="1">
      <alignment horizontal="center" shrinkToFit="0" vertical="center" wrapText="1"/>
    </xf>
    <xf borderId="11" fillId="5" fontId="22" numFmtId="3" xfId="0" applyAlignment="1" applyBorder="1" applyFont="1" applyNumberFormat="1">
      <alignment horizontal="center" shrinkToFit="0" vertical="center" wrapText="1"/>
    </xf>
    <xf borderId="9" fillId="5" fontId="33" numFmtId="0" xfId="0" applyAlignment="1" applyBorder="1" applyFont="1">
      <alignment horizontal="center" readingOrder="0" vertical="center"/>
    </xf>
    <xf borderId="11" fillId="5" fontId="34" numFmtId="0" xfId="0" applyAlignment="1" applyBorder="1" applyFont="1">
      <alignment horizontal="center" readingOrder="0" vertical="center"/>
    </xf>
    <xf borderId="11" fillId="4" fontId="14" numFmtId="49" xfId="0" applyAlignment="1" applyBorder="1" applyFont="1" applyNumberFormat="1">
      <alignment horizontal="center" readingOrder="0" shrinkToFit="0" vertical="center" wrapText="0"/>
    </xf>
    <xf borderId="12" fillId="4" fontId="4" numFmtId="4" xfId="0" applyAlignment="1" applyBorder="1" applyFont="1" applyNumberFormat="1">
      <alignment readingOrder="0" vertical="bottom"/>
    </xf>
    <xf borderId="12" fillId="4" fontId="32" numFmtId="1" xfId="0" applyAlignment="1" applyBorder="1" applyFont="1" applyNumberFormat="1">
      <alignment horizontal="center" readingOrder="0" vertical="bottom"/>
    </xf>
    <xf borderId="12" fillId="4" fontId="32" numFmtId="0" xfId="0" applyAlignment="1" applyBorder="1" applyFont="1">
      <alignment readingOrder="0" vertical="bottom"/>
    </xf>
    <xf borderId="12" fillId="4" fontId="11" numFmtId="38" xfId="0" applyAlignment="1" applyBorder="1" applyFont="1" applyNumberFormat="1">
      <alignment readingOrder="0" vertical="bottom"/>
    </xf>
    <xf borderId="9" fillId="4" fontId="33" numFmtId="0" xfId="0" applyAlignment="1" applyBorder="1" applyFont="1">
      <alignment horizontal="center" readingOrder="0" vertical="center"/>
    </xf>
    <xf borderId="11" fillId="4" fontId="34" numFmtId="0" xfId="0" applyAlignment="1" applyBorder="1" applyFont="1">
      <alignment horizontal="center" readingOrder="0" vertical="center"/>
    </xf>
    <xf borderId="11" fillId="4" fontId="14" numFmtId="49" xfId="0" applyAlignment="1" applyBorder="1" applyFont="1" applyNumberFormat="1">
      <alignment horizontal="center" shrinkToFit="0" vertical="center" wrapText="0"/>
    </xf>
    <xf borderId="12" fillId="4" fontId="32" numFmtId="165" xfId="0" applyAlignment="1" applyBorder="1" applyFont="1" applyNumberFormat="1">
      <alignment horizontal="center" vertical="bottom"/>
    </xf>
    <xf borderId="12" fillId="4" fontId="4" numFmtId="4" xfId="0" applyAlignment="1" applyBorder="1" applyFont="1" applyNumberFormat="1">
      <alignment vertical="bottom"/>
    </xf>
    <xf borderId="12" fillId="4" fontId="32" numFmtId="1" xfId="0" applyAlignment="1" applyBorder="1" applyFont="1" applyNumberFormat="1">
      <alignment horizontal="center" vertical="bottom"/>
    </xf>
    <xf borderId="12" fillId="4" fontId="32" numFmtId="0" xfId="0" applyAlignment="1" applyBorder="1" applyFont="1">
      <alignment vertical="bottom"/>
    </xf>
    <xf borderId="12" fillId="4" fontId="11" numFmtId="38" xfId="0" applyAlignment="1" applyBorder="1" applyFont="1" applyNumberFormat="1">
      <alignment vertical="bottom"/>
    </xf>
    <xf borderId="9" fillId="4" fontId="35" numFmtId="0" xfId="0" applyAlignment="1" applyBorder="1" applyFont="1">
      <alignment horizontal="center" vertical="center"/>
    </xf>
    <xf borderId="9" fillId="4" fontId="36" numFmtId="0" xfId="0" applyAlignment="1" applyBorder="1" applyFont="1">
      <alignment horizontal="center" vertical="center"/>
    </xf>
    <xf borderId="12" fillId="4" fontId="4" numFmtId="166" xfId="0" applyAlignment="1" applyBorder="1" applyFont="1" applyNumberFormat="1">
      <alignment horizontal="center" vertical="bottom"/>
    </xf>
    <xf borderId="12" fillId="4" fontId="16" numFmtId="4" xfId="0" applyAlignment="1" applyBorder="1" applyFont="1" applyNumberFormat="1">
      <alignment vertical="bottom"/>
    </xf>
    <xf borderId="12" fillId="4" fontId="16" numFmtId="1" xfId="0" applyAlignment="1" applyBorder="1" applyFont="1" applyNumberFormat="1">
      <alignment horizontal="center" vertical="bottom"/>
    </xf>
    <xf borderId="12" fillId="4" fontId="16" numFmtId="0" xfId="0" applyAlignment="1" applyBorder="1" applyFont="1">
      <alignment vertical="bottom"/>
    </xf>
    <xf borderId="12" fillId="4" fontId="7" numFmtId="38" xfId="0" applyAlignment="1" applyBorder="1" applyFont="1" applyNumberFormat="1">
      <alignment vertical="bottom"/>
    </xf>
    <xf borderId="11" fillId="4" fontId="19" numFmtId="38" xfId="0" applyAlignment="1" applyBorder="1" applyFont="1" applyNumberFormat="1">
      <alignment horizontal="right" vertical="bottom"/>
    </xf>
    <xf borderId="9" fillId="3" fontId="10" numFmtId="0" xfId="0" applyAlignment="1" applyBorder="1" applyFont="1">
      <alignment horizontal="center" readingOrder="0"/>
    </xf>
    <xf borderId="11" fillId="0" fontId="15" numFmtId="164" xfId="0" applyAlignment="1" applyBorder="1" applyFont="1" applyNumberFormat="1">
      <alignment horizontal="right" readingOrder="0"/>
    </xf>
    <xf borderId="11" fillId="0" fontId="15" numFmtId="4" xfId="0" applyAlignment="1" applyBorder="1" applyFont="1" applyNumberFormat="1">
      <alignment readingOrder="0"/>
    </xf>
    <xf borderId="11" fillId="0" fontId="15" numFmtId="1" xfId="0" applyAlignment="1" applyBorder="1" applyFont="1" applyNumberFormat="1">
      <alignment horizontal="right" readingOrder="0"/>
    </xf>
    <xf borderId="11" fillId="0" fontId="15" numFmtId="0" xfId="0" applyAlignment="1" applyBorder="1" applyFont="1">
      <alignment readingOrder="0"/>
    </xf>
    <xf borderId="11" fillId="5" fontId="15" numFmtId="38" xfId="0" applyAlignment="1" applyBorder="1" applyFont="1" applyNumberFormat="1">
      <alignment horizontal="center"/>
    </xf>
    <xf borderId="11" fillId="5" fontId="8" numFmtId="38" xfId="0" applyBorder="1" applyFont="1" applyNumberFormat="1"/>
    <xf borderId="11" fillId="5" fontId="37" numFmtId="38" xfId="0" applyAlignment="1" applyBorder="1" applyFont="1" applyNumberFormat="1">
      <alignment readingOrder="0"/>
    </xf>
    <xf borderId="11" fillId="0" fontId="15" numFmtId="0" xfId="0" applyAlignment="1" applyBorder="1" applyFont="1">
      <alignment horizontal="center" readingOrder="0"/>
    </xf>
    <xf borderId="11" fillId="0" fontId="29" numFmtId="0" xfId="0" applyBorder="1" applyFont="1"/>
    <xf borderId="11" fillId="5" fontId="37" numFmtId="38" xfId="0" applyBorder="1" applyFont="1" applyNumberFormat="1"/>
    <xf borderId="12" fillId="5" fontId="8" numFmtId="4" xfId="0" applyAlignment="1" applyBorder="1" applyFont="1" applyNumberFormat="1">
      <alignment readingOrder="0" vertical="bottom"/>
    </xf>
    <xf borderId="12" fillId="5" fontId="7" numFmtId="1" xfId="0" applyAlignment="1" applyBorder="1" applyFont="1" applyNumberFormat="1">
      <alignment horizontal="center" readingOrder="0" vertical="bottom"/>
    </xf>
    <xf borderId="12" fillId="5" fontId="7" numFmtId="0" xfId="0" applyAlignment="1" applyBorder="1" applyFont="1">
      <alignment readingOrder="0" vertical="bottom"/>
    </xf>
    <xf borderId="12" fillId="5" fontId="11" numFmtId="38" xfId="0" applyAlignment="1" applyBorder="1" applyFont="1" applyNumberFormat="1">
      <alignment vertical="bottom"/>
    </xf>
    <xf borderId="11" fillId="5" fontId="22" numFmtId="3" xfId="0" applyAlignment="1" applyBorder="1" applyFont="1" applyNumberFormat="1">
      <alignment horizontal="center" readingOrder="0" shrinkToFit="0" vertical="center" wrapText="1"/>
    </xf>
    <xf borderId="11" fillId="5" fontId="23" numFmtId="0" xfId="0" applyAlignment="1" applyBorder="1" applyFont="1">
      <alignment horizontal="center" vertical="center"/>
    </xf>
    <xf borderId="12" fillId="4" fontId="8" numFmtId="4" xfId="0" applyAlignment="1" applyBorder="1" applyFont="1" applyNumberFormat="1">
      <alignment readingOrder="0" vertical="bottom"/>
    </xf>
    <xf borderId="12" fillId="4" fontId="7" numFmtId="1" xfId="0" applyAlignment="1" applyBorder="1" applyFont="1" applyNumberFormat="1">
      <alignment horizontal="center" readingOrder="0" vertical="bottom"/>
    </xf>
    <xf borderId="12" fillId="4" fontId="7" numFmtId="0" xfId="0" applyAlignment="1" applyBorder="1" applyFont="1">
      <alignment readingOrder="0" vertical="bottom"/>
    </xf>
    <xf borderId="11" fillId="4" fontId="22" numFmtId="3" xfId="0" applyAlignment="1" applyBorder="1" applyFont="1" applyNumberFormat="1">
      <alignment horizontal="center" readingOrder="0" shrinkToFit="0" vertical="center" wrapText="1"/>
    </xf>
    <xf borderId="14" fillId="3" fontId="10" numFmtId="0" xfId="0" applyAlignment="1" applyBorder="1" applyFont="1">
      <alignment horizontal="center" readingOrder="0"/>
    </xf>
    <xf borderId="11" fillId="4" fontId="15" numFmtId="164" xfId="0" applyAlignment="1" applyBorder="1" applyFont="1" applyNumberFormat="1">
      <alignment horizontal="right" readingOrder="0"/>
    </xf>
    <xf borderId="11" fillId="4" fontId="15" numFmtId="4" xfId="0" applyAlignment="1" applyBorder="1" applyFont="1" applyNumberFormat="1">
      <alignment readingOrder="0"/>
    </xf>
    <xf borderId="11" fillId="4" fontId="15" numFmtId="1" xfId="0" applyAlignment="1" applyBorder="1" applyFont="1" applyNumberFormat="1">
      <alignment horizontal="right" readingOrder="0"/>
    </xf>
    <xf borderId="11" fillId="4" fontId="15" numFmtId="0" xfId="0" applyAlignment="1" applyBorder="1" applyFont="1">
      <alignment readingOrder="0"/>
    </xf>
    <xf borderId="11" fillId="0" fontId="38" numFmtId="0" xfId="0" applyAlignment="1" applyBorder="1" applyFont="1">
      <alignment readingOrder="0"/>
    </xf>
    <xf borderId="11" fillId="0" fontId="15" numFmtId="0" xfId="0" applyBorder="1" applyFont="1"/>
    <xf borderId="11" fillId="0" fontId="15" numFmtId="164" xfId="0" applyAlignment="1" applyBorder="1" applyFont="1" applyNumberFormat="1">
      <alignment horizontal="right"/>
    </xf>
    <xf borderId="11" fillId="0" fontId="15" numFmtId="4" xfId="0" applyBorder="1" applyFont="1" applyNumberFormat="1"/>
    <xf borderId="11" fillId="0" fontId="15" numFmtId="1" xfId="0" applyAlignment="1" applyBorder="1" applyFont="1" applyNumberFormat="1">
      <alignment horizontal="right"/>
    </xf>
    <xf borderId="11" fillId="0" fontId="15" numFmtId="0" xfId="0" applyAlignment="1" applyBorder="1" applyFont="1">
      <alignment horizontal="center"/>
    </xf>
    <xf borderId="11" fillId="5" fontId="17" numFmtId="3" xfId="0" applyBorder="1" applyFont="1" applyNumberFormat="1"/>
    <xf borderId="12" fillId="5" fontId="32" numFmtId="166" xfId="0" applyAlignment="1" applyBorder="1" applyFont="1" applyNumberFormat="1">
      <alignment horizontal="center" vertical="bottom"/>
    </xf>
    <xf borderId="12" fillId="5" fontId="4" numFmtId="4" xfId="0" applyAlignment="1" applyBorder="1" applyFont="1" applyNumberFormat="1">
      <alignment vertical="bottom"/>
    </xf>
    <xf borderId="12" fillId="5" fontId="32" numFmtId="1" xfId="0" applyAlignment="1" applyBorder="1" applyFont="1" applyNumberFormat="1">
      <alignment horizontal="center" vertical="bottom"/>
    </xf>
    <xf borderId="12" fillId="5" fontId="32" numFmtId="0" xfId="0" applyAlignment="1" applyBorder="1" applyFont="1">
      <alignment vertical="bottom"/>
    </xf>
    <xf borderId="11" fillId="0" fontId="29" numFmtId="0" xfId="0" applyAlignment="1" applyBorder="1" applyFont="1">
      <alignment readingOrder="0"/>
    </xf>
    <xf borderId="11" fillId="0" fontId="39" numFmtId="0" xfId="0" applyAlignment="1" applyBorder="1" applyFont="1">
      <alignment horizontal="center" readingOrder="0"/>
    </xf>
    <xf borderId="11" fillId="5" fontId="15" numFmtId="38" xfId="0" applyAlignment="1" applyBorder="1" applyFont="1" applyNumberFormat="1">
      <alignment readingOrder="0"/>
    </xf>
    <xf borderId="11" fillId="0" fontId="15" numFmtId="164" xfId="0" applyAlignment="1" applyBorder="1" applyFont="1" applyNumberFormat="1">
      <alignment horizontal="center" readingOrder="0"/>
    </xf>
    <xf borderId="11" fillId="0" fontId="15" numFmtId="1" xfId="0" applyAlignment="1" applyBorder="1" applyFont="1" applyNumberFormat="1">
      <alignment horizontal="center" readingOrder="0"/>
    </xf>
    <xf borderId="11" fillId="4" fontId="7" numFmtId="3" xfId="0" applyAlignment="1" applyBorder="1" applyFont="1" applyNumberFormat="1">
      <alignment horizontal="center" readingOrder="0"/>
    </xf>
    <xf borderId="11" fillId="5" fontId="7" numFmtId="38" xfId="0" applyBorder="1" applyFont="1" applyNumberFormat="1"/>
    <xf borderId="11" fillId="5" fontId="7" numFmtId="0" xfId="0" applyBorder="1" applyFont="1"/>
    <xf borderId="11" fillId="5" fontId="7" numFmtId="3" xfId="0" applyBorder="1" applyFont="1" applyNumberFormat="1"/>
    <xf borderId="11" fillId="0" fontId="7" numFmtId="0" xfId="0" applyAlignment="1" applyBorder="1" applyFont="1">
      <alignment horizontal="center" readingOrder="0"/>
    </xf>
    <xf borderId="11" fillId="0" fontId="40" numFmtId="0" xfId="0" applyAlignment="1" applyBorder="1" applyFont="1">
      <alignment horizontal="center" readingOrder="0"/>
    </xf>
    <xf borderId="11" fillId="0" fontId="7" numFmtId="0" xfId="0" applyAlignment="1" applyBorder="1" applyFont="1">
      <alignment readingOrder="0"/>
    </xf>
    <xf borderId="11" fillId="4" fontId="7" numFmtId="3" xfId="0" applyAlignment="1" applyBorder="1" applyFont="1" applyNumberFormat="1">
      <alignment horizontal="center"/>
    </xf>
    <xf borderId="11" fillId="5" fontId="7" numFmtId="38" xfId="0" applyAlignment="1" applyBorder="1" applyFont="1" applyNumberFormat="1">
      <alignment readingOrder="0"/>
    </xf>
    <xf borderId="11" fillId="4" fontId="15" numFmtId="3" xfId="0" applyAlignment="1" applyBorder="1" applyFont="1" applyNumberFormat="1">
      <alignment horizontal="center"/>
    </xf>
    <xf borderId="9" fillId="3" fontId="10" numFmtId="0" xfId="0" applyAlignment="1" applyBorder="1" applyFont="1">
      <alignment horizontal="center"/>
    </xf>
    <xf borderId="11" fillId="5" fontId="38" numFmtId="38" xfId="0" applyAlignment="1" applyBorder="1" applyFont="1" applyNumberFormat="1">
      <alignment horizontal="center" readingOrder="0"/>
    </xf>
    <xf borderId="11" fillId="4" fontId="8" numFmtId="3" xfId="0" applyAlignment="1" applyBorder="1" applyFont="1" applyNumberFormat="1">
      <alignment horizontal="center"/>
    </xf>
    <xf borderId="11" fillId="5" fontId="8" numFmtId="0" xfId="0" applyBorder="1" applyFont="1"/>
    <xf borderId="11" fillId="5" fontId="8" numFmtId="3" xfId="0" applyBorder="1" applyFont="1" applyNumberFormat="1"/>
    <xf borderId="11" fillId="0" fontId="41" numFmtId="0" xfId="0" applyAlignment="1" applyBorder="1" applyFont="1">
      <alignment horizontal="center" readingOrder="0"/>
    </xf>
    <xf borderId="11" fillId="5" fontId="8" numFmtId="38" xfId="0" applyAlignment="1" applyBorder="1" applyFont="1" applyNumberFormat="1">
      <alignment horizontal="center"/>
    </xf>
    <xf borderId="11" fillId="5" fontId="38" numFmtId="3" xfId="0" applyAlignment="1" applyBorder="1" applyFont="1" applyNumberFormat="1">
      <alignment horizontal="center" readingOrder="0"/>
    </xf>
    <xf borderId="11" fillId="0" fontId="38" numFmtId="164" xfId="0" applyAlignment="1" applyBorder="1" applyFont="1" applyNumberFormat="1">
      <alignment horizontal="center" readingOrder="0"/>
    </xf>
    <xf borderId="11" fillId="0" fontId="38" numFmtId="4" xfId="0" applyAlignment="1" applyBorder="1" applyFont="1" applyNumberFormat="1">
      <alignment readingOrder="0"/>
    </xf>
    <xf borderId="11" fillId="0" fontId="38" numFmtId="1" xfId="0" applyAlignment="1" applyBorder="1" applyFont="1" applyNumberFormat="1">
      <alignment horizontal="center" readingOrder="0"/>
    </xf>
    <xf borderId="11" fillId="0" fontId="17" numFmtId="0" xfId="0" applyAlignment="1" applyBorder="1" applyFont="1">
      <alignment readingOrder="0"/>
    </xf>
    <xf borderId="11" fillId="5" fontId="9" numFmtId="38" xfId="0" applyAlignment="1" applyBorder="1" applyFont="1" applyNumberFormat="1">
      <alignment horizontal="center" readingOrder="0"/>
    </xf>
    <xf borderId="11" fillId="4" fontId="9" numFmtId="3" xfId="0" applyAlignment="1" applyBorder="1" applyFont="1" applyNumberFormat="1">
      <alignment horizontal="center"/>
    </xf>
    <xf borderId="11" fillId="5" fontId="9" numFmtId="38" xfId="0" applyBorder="1" applyFont="1" applyNumberFormat="1"/>
    <xf borderId="11" fillId="5" fontId="9" numFmtId="0" xfId="0" applyBorder="1" applyFont="1"/>
    <xf borderId="11" fillId="5" fontId="9" numFmtId="3" xfId="0" applyBorder="1" applyFont="1" applyNumberFormat="1"/>
    <xf borderId="11" fillId="5" fontId="9" numFmtId="38" xfId="0" applyAlignment="1" applyBorder="1" applyFont="1" applyNumberFormat="1">
      <alignment horizontal="center"/>
    </xf>
    <xf borderId="11" fillId="5" fontId="9" numFmtId="3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/>
    </xf>
    <xf borderId="11" fillId="0" fontId="7" numFmtId="0" xfId="0" applyBorder="1" applyFont="1"/>
    <xf borderId="12" fillId="4" fontId="16" numFmtId="0" xfId="0" applyAlignment="1" applyBorder="1" applyFont="1">
      <alignment horizontal="center" vertical="center"/>
    </xf>
    <xf borderId="11" fillId="5" fontId="42" numFmtId="49" xfId="0" applyAlignment="1" applyBorder="1" applyFont="1" applyNumberFormat="1">
      <alignment horizontal="center" shrinkToFit="0" vertical="center" wrapText="0"/>
    </xf>
    <xf borderId="11" fillId="5" fontId="38" numFmtId="38" xfId="0" applyBorder="1" applyFont="1" applyNumberFormat="1"/>
    <xf borderId="11" fillId="5" fontId="24" numFmtId="3" xfId="0" applyAlignment="1" applyBorder="1" applyFont="1" applyNumberFormat="1">
      <alignment horizontal="center" readingOrder="0"/>
    </xf>
    <xf borderId="11" fillId="5" fontId="24" numFmtId="3" xfId="0" applyAlignment="1" applyBorder="1" applyFont="1" applyNumberFormat="1">
      <alignment horizontal="center"/>
    </xf>
    <xf borderId="11" fillId="5" fontId="24" numFmtId="3" xfId="0" applyAlignment="1" applyBorder="1" applyFont="1" applyNumberFormat="1">
      <alignment horizontal="center" vertical="center"/>
    </xf>
    <xf borderId="12" fillId="4" fontId="8" numFmtId="166" xfId="0" applyAlignment="1" applyBorder="1" applyFont="1" applyNumberFormat="1">
      <alignment horizontal="center" vertical="bottom"/>
    </xf>
    <xf borderId="12" fillId="4" fontId="15" numFmtId="4" xfId="0" applyAlignment="1" applyBorder="1" applyFont="1" applyNumberFormat="1">
      <alignment vertical="bottom"/>
    </xf>
    <xf borderId="12" fillId="4" fontId="15" numFmtId="1" xfId="0" applyAlignment="1" applyBorder="1" applyFont="1" applyNumberFormat="1">
      <alignment horizontal="center" vertical="bottom"/>
    </xf>
    <xf borderId="12" fillId="4" fontId="15" numFmtId="0" xfId="0" applyAlignment="1" applyBorder="1" applyFont="1">
      <alignment vertical="bottom"/>
    </xf>
    <xf borderId="12" fillId="4" fontId="19" numFmtId="38" xfId="0" applyAlignment="1" applyBorder="1" applyFont="1" applyNumberFormat="1">
      <alignment horizontal="right" vertical="bottom"/>
    </xf>
    <xf borderId="9" fillId="4" fontId="43" numFmtId="0" xfId="0" applyAlignment="1" applyBorder="1" applyFont="1">
      <alignment horizontal="center" vertical="center"/>
    </xf>
    <xf borderId="11" fillId="4" fontId="15" numFmtId="3" xfId="0" applyAlignment="1" applyBorder="1" applyFont="1" applyNumberFormat="1">
      <alignment horizontal="center" readingOrder="0"/>
    </xf>
    <xf borderId="11" fillId="5" fontId="38" numFmtId="38" xfId="0" applyAlignment="1" applyBorder="1" applyFont="1" applyNumberFormat="1">
      <alignment readingOrder="0"/>
    </xf>
    <xf borderId="11" fillId="0" fontId="15" numFmtId="1" xfId="0" applyAlignment="1" applyBorder="1" applyFont="1" applyNumberFormat="1">
      <alignment horizontal="center"/>
    </xf>
    <xf borderId="12" fillId="4" fontId="15" numFmtId="0" xfId="0" applyAlignment="1" applyBorder="1" applyFont="1">
      <alignment horizontal="left" vertical="center"/>
    </xf>
    <xf borderId="14" fillId="3" fontId="44" numFmtId="0" xfId="0" applyAlignment="1" applyBorder="1" applyFont="1">
      <alignment horizontal="center"/>
    </xf>
    <xf borderId="10" fillId="3" fontId="10" numFmtId="0" xfId="0" applyAlignment="1" applyBorder="1" applyFont="1">
      <alignment horizontal="center" readingOrder="0"/>
    </xf>
    <xf borderId="11" fillId="0" fontId="7" numFmtId="164" xfId="0" applyAlignment="1" applyBorder="1" applyFont="1" applyNumberFormat="1">
      <alignment horizontal="right" readingOrder="0"/>
    </xf>
    <xf borderId="11" fillId="0" fontId="9" numFmtId="1" xfId="0" applyAlignment="1" applyBorder="1" applyFont="1" applyNumberFormat="1">
      <alignment horizontal="center" readingOrder="0"/>
    </xf>
    <xf borderId="11" fillId="0" fontId="9" numFmtId="0" xfId="0" applyAlignment="1" applyBorder="1" applyFont="1">
      <alignment readingOrder="0"/>
    </xf>
    <xf borderId="11" fillId="0" fontId="18" numFmtId="0" xfId="0" applyAlignment="1" applyBorder="1" applyFont="1">
      <alignment horizontal="center" readingOrder="0"/>
    </xf>
    <xf borderId="11" fillId="5" fontId="6" numFmtId="49" xfId="0" applyAlignment="1" applyBorder="1" applyFont="1" applyNumberFormat="1">
      <alignment horizontal="center" shrinkToFit="0" vertical="center" wrapText="0"/>
    </xf>
    <xf borderId="11" fillId="5" fontId="17" numFmtId="164" xfId="0" applyAlignment="1" applyBorder="1" applyFont="1" applyNumberFormat="1">
      <alignment horizontal="right" readingOrder="0"/>
    </xf>
    <xf borderId="11" fillId="5" fontId="38" numFmtId="4" xfId="0" applyAlignment="1" applyBorder="1" applyFont="1" applyNumberFormat="1">
      <alignment readingOrder="0"/>
    </xf>
    <xf borderId="11" fillId="5" fontId="11" numFmtId="1" xfId="0" applyAlignment="1" applyBorder="1" applyFont="1" applyNumberFormat="1">
      <alignment horizontal="center" readingOrder="0"/>
    </xf>
    <xf borderId="11" fillId="5" fontId="11" numFmtId="0" xfId="0" applyAlignment="1" applyBorder="1" applyFont="1">
      <alignment readingOrder="0"/>
    </xf>
    <xf borderId="11" fillId="5" fontId="11" numFmtId="38" xfId="0" applyAlignment="1" applyBorder="1" applyFont="1" applyNumberFormat="1">
      <alignment horizontal="center" readingOrder="0"/>
    </xf>
    <xf borderId="12" fillId="5" fontId="10" numFmtId="38" xfId="0" applyAlignment="1" applyBorder="1" applyFont="1" applyNumberFormat="1">
      <alignment horizontal="right" vertical="bottom"/>
    </xf>
    <xf borderId="11" fillId="5" fontId="11" numFmtId="38" xfId="0" applyBorder="1" applyFont="1" applyNumberFormat="1"/>
    <xf borderId="11" fillId="5" fontId="11" numFmtId="0" xfId="0" applyBorder="1" applyFont="1"/>
    <xf borderId="11" fillId="5" fontId="11" numFmtId="3" xfId="0" applyBorder="1" applyFont="1" applyNumberFormat="1"/>
    <xf borderId="11" fillId="5" fontId="11" numFmtId="0" xfId="0" applyAlignment="1" applyBorder="1" applyFont="1">
      <alignment horizontal="center" readingOrder="0"/>
    </xf>
    <xf borderId="11" fillId="5" fontId="12" numFmtId="0" xfId="0" applyAlignment="1" applyBorder="1" applyFont="1">
      <alignment horizontal="center" readingOrder="0" vertical="center"/>
    </xf>
    <xf borderId="11" fillId="5" fontId="15" numFmtId="164" xfId="0" applyAlignment="1" applyBorder="1" applyFont="1" applyNumberFormat="1">
      <alignment horizontal="right"/>
    </xf>
    <xf borderId="11" fillId="5" fontId="15" numFmtId="4" xfId="0" applyBorder="1" applyFont="1" applyNumberFormat="1"/>
    <xf borderId="11" fillId="5" fontId="15" numFmtId="1" xfId="0" applyAlignment="1" applyBorder="1" applyFont="1" applyNumberFormat="1">
      <alignment horizontal="center"/>
    </xf>
    <xf borderId="11" fillId="5" fontId="15" numFmtId="0" xfId="0" applyBorder="1" applyFont="1"/>
    <xf borderId="11" fillId="5" fontId="15" numFmtId="0" xfId="0" applyAlignment="1" applyBorder="1" applyFont="1">
      <alignment horizontal="center"/>
    </xf>
    <xf borderId="11" fillId="5" fontId="45" numFmtId="0" xfId="0" applyAlignment="1" applyBorder="1" applyFont="1">
      <alignment horizontal="center" vertical="center"/>
    </xf>
    <xf borderId="11" fillId="4" fontId="17" numFmtId="3" xfId="0" applyAlignment="1" applyBorder="1" applyFont="1" applyNumberFormat="1">
      <alignment horizontal="center"/>
    </xf>
    <xf borderId="11" fillId="0" fontId="45" numFmtId="0" xfId="0" applyAlignment="1" applyBorder="1" applyFont="1">
      <alignment horizontal="center" vertical="center"/>
    </xf>
    <xf borderId="11" fillId="0" fontId="8" numFmtId="4" xfId="0" applyAlignment="1" applyBorder="1" applyFont="1" applyNumberFormat="1">
      <alignment readingOrder="0"/>
    </xf>
    <xf borderId="11" fillId="4" fontId="15" numFmtId="0" xfId="0" applyAlignment="1" applyBorder="1" applyFont="1">
      <alignment horizontal="right" readingOrder="0"/>
    </xf>
    <xf borderId="11" fillId="4" fontId="15" numFmtId="1" xfId="0" applyAlignment="1" applyBorder="1" applyFont="1" applyNumberFormat="1">
      <alignment horizontal="center" readingOrder="0"/>
    </xf>
    <xf borderId="11" fillId="4" fontId="15" numFmtId="38" xfId="0" applyAlignment="1" applyBorder="1" applyFont="1" applyNumberFormat="1">
      <alignment horizontal="center"/>
    </xf>
    <xf borderId="11" fillId="4" fontId="38" numFmtId="38" xfId="0" applyAlignment="1" applyBorder="1" applyFont="1" applyNumberFormat="1">
      <alignment readingOrder="0"/>
    </xf>
    <xf borderId="11" fillId="4" fontId="29" numFmtId="0" xfId="0" applyBorder="1" applyFont="1"/>
    <xf borderId="11" fillId="4" fontId="29" numFmtId="3" xfId="0" applyBorder="1" applyFont="1" applyNumberFormat="1"/>
    <xf borderId="11" fillId="4" fontId="15" numFmtId="0" xfId="0" applyAlignment="1" applyBorder="1" applyFont="1">
      <alignment horizontal="center"/>
    </xf>
    <xf borderId="11" fillId="4" fontId="45" numFmtId="0" xfId="0" applyAlignment="1" applyBorder="1" applyFont="1">
      <alignment horizontal="center" vertical="center"/>
    </xf>
    <xf borderId="11" fillId="4" fontId="15" numFmtId="164" xfId="0" applyAlignment="1" applyBorder="1" applyFont="1" applyNumberFormat="1">
      <alignment horizontal="right"/>
    </xf>
    <xf borderId="11" fillId="4" fontId="15" numFmtId="4" xfId="0" applyBorder="1" applyFont="1" applyNumberFormat="1"/>
    <xf borderId="11" fillId="4" fontId="15" numFmtId="1" xfId="0" applyAlignment="1" applyBorder="1" applyFont="1" applyNumberFormat="1">
      <alignment horizontal="center"/>
    </xf>
    <xf borderId="11" fillId="4" fontId="15" numFmtId="0" xfId="0" applyBorder="1" applyFont="1"/>
    <xf borderId="11" fillId="4" fontId="38" numFmtId="38" xfId="0" applyBorder="1" applyFont="1" applyNumberFormat="1"/>
    <xf borderId="11" fillId="5" fontId="15" numFmtId="164" xfId="0" applyAlignment="1" applyBorder="1" applyFont="1" applyNumberFormat="1">
      <alignment horizontal="center" readingOrder="0"/>
    </xf>
    <xf borderId="11" fillId="5" fontId="24" numFmtId="1" xfId="0" applyAlignment="1" applyBorder="1" applyFont="1" applyNumberFormat="1">
      <alignment horizontal="center" readingOrder="0"/>
    </xf>
    <xf borderId="11" fillId="5" fontId="17" numFmtId="38" xfId="0" applyAlignment="1" applyBorder="1" applyFont="1" applyNumberFormat="1">
      <alignment readingOrder="0"/>
    </xf>
    <xf borderId="11" fillId="5" fontId="15" numFmtId="0" xfId="0" applyAlignment="1" applyBorder="1" applyFont="1">
      <alignment horizontal="center" readingOrder="0"/>
    </xf>
    <xf borderId="11" fillId="5" fontId="45" numFmtId="0" xfId="0" applyAlignment="1" applyBorder="1" applyFont="1">
      <alignment horizontal="center" readingOrder="0" vertical="center"/>
    </xf>
    <xf borderId="11" fillId="5" fontId="15" numFmtId="0" xfId="0" applyAlignment="1" applyBorder="1" applyFont="1">
      <alignment horizontal="center" readingOrder="0" shrinkToFit="0" wrapText="1"/>
    </xf>
    <xf borderId="11" fillId="5" fontId="17" numFmtId="164" xfId="0" applyAlignment="1" applyBorder="1" applyFont="1" applyNumberFormat="1">
      <alignment horizontal="right"/>
    </xf>
    <xf borderId="11" fillId="5" fontId="38" numFmtId="4" xfId="0" applyBorder="1" applyFont="1" applyNumberFormat="1"/>
    <xf borderId="11" fillId="5" fontId="11" numFmtId="1" xfId="0" applyAlignment="1" applyBorder="1" applyFont="1" applyNumberFormat="1">
      <alignment horizontal="center"/>
    </xf>
    <xf borderId="11" fillId="5" fontId="11" numFmtId="38" xfId="0" applyAlignment="1" applyBorder="1" applyFont="1" applyNumberFormat="1">
      <alignment horizontal="center"/>
    </xf>
    <xf borderId="11" fillId="5" fontId="11" numFmtId="0" xfId="0" applyAlignment="1" applyBorder="1" applyFont="1">
      <alignment horizontal="center"/>
    </xf>
    <xf borderId="11" fillId="5" fontId="12" numFmtId="0" xfId="0" applyAlignment="1" applyBorder="1" applyFont="1">
      <alignment horizontal="center" vertical="center"/>
    </xf>
    <xf borderId="11" fillId="8" fontId="11" numFmtId="0" xfId="0" applyAlignment="1" applyBorder="1" applyFill="1" applyFont="1">
      <alignment readingOrder="0"/>
    </xf>
    <xf borderId="11" fillId="5" fontId="17" numFmtId="3" xfId="0" applyAlignment="1" applyBorder="1" applyFont="1" applyNumberFormat="1">
      <alignment horizontal="center" vertical="center"/>
    </xf>
    <xf borderId="11" fillId="4" fontId="22" numFmtId="38" xfId="0" applyAlignment="1" applyBorder="1" applyFont="1" applyNumberFormat="1">
      <alignment vertical="bottom"/>
    </xf>
    <xf borderId="11" fillId="4" fontId="46" numFmtId="0" xfId="0" applyAlignment="1" applyBorder="1" applyFont="1">
      <alignment horizontal="center" shrinkToFit="0" vertical="center" wrapText="1"/>
    </xf>
    <xf borderId="9" fillId="4" fontId="47" numFmtId="0" xfId="0" applyAlignment="1" applyBorder="1" applyFont="1">
      <alignment horizontal="center" vertical="center"/>
    </xf>
    <xf borderId="11" fillId="5" fontId="6" numFmtId="49" xfId="0" applyAlignment="1" applyBorder="1" applyFont="1" applyNumberFormat="1">
      <alignment horizontal="center" readingOrder="0" shrinkToFit="0" vertical="center" wrapText="0"/>
    </xf>
    <xf borderId="12" fillId="5" fontId="10" numFmtId="38" xfId="0" applyAlignment="1" applyBorder="1" applyFont="1" applyNumberFormat="1">
      <alignment horizontal="right" readingOrder="0" vertical="bottom"/>
    </xf>
    <xf borderId="11" fillId="5" fontId="11" numFmtId="0" xfId="0" applyAlignment="1" applyBorder="1" applyFont="1">
      <alignment horizontal="center" readingOrder="0" vertical="center"/>
    </xf>
    <xf borderId="11" fillId="5" fontId="7" numFmtId="164" xfId="0" applyAlignment="1" applyBorder="1" applyFont="1" applyNumberFormat="1">
      <alignment horizontal="right" readingOrder="0"/>
    </xf>
    <xf borderId="12" fillId="4" fontId="8" numFmtId="166" xfId="0" applyAlignment="1" applyBorder="1" applyFont="1" applyNumberFormat="1">
      <alignment horizontal="center" readingOrder="0" vertical="bottom"/>
    </xf>
    <xf borderId="2" fillId="4" fontId="43" numFmtId="0" xfId="0" applyAlignment="1" applyBorder="1" applyFont="1">
      <alignment horizontal="center" readingOrder="0" vertical="center"/>
    </xf>
    <xf borderId="9" fillId="4" fontId="43" numFmtId="0" xfId="0" applyAlignment="1" applyBorder="1" applyFont="1">
      <alignment horizontal="center" readingOrder="0" vertical="center"/>
    </xf>
    <xf borderId="11" fillId="9" fontId="6" numFmtId="49" xfId="0" applyAlignment="1" applyBorder="1" applyFill="1" applyFont="1" applyNumberFormat="1">
      <alignment horizontal="center" readingOrder="0" shrinkToFit="0" vertical="center" wrapText="0"/>
    </xf>
    <xf borderId="11" fillId="9" fontId="7" numFmtId="164" xfId="0" applyAlignment="1" applyBorder="1" applyFont="1" applyNumberFormat="1">
      <alignment horizontal="right" readingOrder="0"/>
    </xf>
    <xf borderId="11" fillId="9" fontId="8" numFmtId="4" xfId="0" applyAlignment="1" applyBorder="1" applyFont="1" applyNumberFormat="1">
      <alignment readingOrder="0"/>
    </xf>
    <xf borderId="11" fillId="9" fontId="7" numFmtId="1" xfId="0" applyAlignment="1" applyBorder="1" applyFont="1" applyNumberFormat="1">
      <alignment horizontal="center" readingOrder="0"/>
    </xf>
    <xf borderId="11" fillId="9" fontId="7" numFmtId="0" xfId="0" applyAlignment="1" applyBorder="1" applyFont="1">
      <alignment readingOrder="0"/>
    </xf>
    <xf borderId="11" fillId="9" fontId="9" numFmtId="38" xfId="0" applyAlignment="1" applyBorder="1" applyFont="1" applyNumberFormat="1">
      <alignment horizontal="center" readingOrder="0"/>
    </xf>
    <xf borderId="12" fillId="9" fontId="10" numFmtId="38" xfId="0" applyAlignment="1" applyBorder="1" applyFont="1" applyNumberFormat="1">
      <alignment horizontal="right" readingOrder="0" vertical="bottom"/>
    </xf>
    <xf borderId="11" fillId="9" fontId="7" numFmtId="38" xfId="0" applyAlignment="1" applyBorder="1" applyFont="1" applyNumberFormat="1">
      <alignment readingOrder="0"/>
    </xf>
    <xf borderId="11" fillId="9" fontId="11" numFmtId="0" xfId="0" applyBorder="1" applyFont="1"/>
    <xf borderId="11" fillId="9" fontId="11" numFmtId="3" xfId="0" applyBorder="1" applyFont="1" applyNumberFormat="1"/>
    <xf borderId="11" fillId="9" fontId="11" numFmtId="0" xfId="0" applyAlignment="1" applyBorder="1" applyFont="1">
      <alignment horizontal="center" readingOrder="0"/>
    </xf>
    <xf borderId="11" fillId="9" fontId="12" numFmtId="0" xfId="0" applyAlignment="1" applyBorder="1" applyFont="1">
      <alignment horizontal="center" readingOrder="0" vertical="center"/>
    </xf>
    <xf borderId="11" fillId="9" fontId="11" numFmtId="0" xfId="0" applyAlignment="1" applyBorder="1" applyFont="1">
      <alignment horizontal="center" readingOrder="0" vertical="center"/>
    </xf>
    <xf borderId="11" fillId="4" fontId="7" numFmtId="166" xfId="0" applyAlignment="1" applyBorder="1" applyFont="1" applyNumberFormat="1">
      <alignment horizontal="right" readingOrder="0"/>
    </xf>
    <xf borderId="11" fillId="5" fontId="7" numFmtId="166" xfId="0" applyAlignment="1" applyBorder="1" applyFont="1" applyNumberFormat="1">
      <alignment horizontal="right" readingOrder="0"/>
    </xf>
    <xf borderId="11" fillId="4" fontId="19" numFmtId="38" xfId="0" applyAlignment="1" applyBorder="1" applyFont="1" applyNumberFormat="1">
      <alignment readingOrder="0" vertical="bottom"/>
    </xf>
    <xf borderId="11" fillId="4" fontId="17" numFmtId="38" xfId="0" applyAlignment="1" applyBorder="1" applyFont="1" applyNumberFormat="1">
      <alignment horizontal="center" readingOrder="0"/>
    </xf>
    <xf borderId="11" fillId="5" fontId="17" numFmtId="38" xfId="0" applyAlignment="1" applyBorder="1" applyFont="1" applyNumberFormat="1">
      <alignment horizontal="center" readingOrder="0"/>
    </xf>
    <xf borderId="12" fillId="4" fontId="22" numFmtId="38" xfId="0" applyAlignment="1" applyBorder="1" applyFont="1" applyNumberFormat="1">
      <alignment horizontal="right" readingOrder="0" vertical="bottom"/>
    </xf>
    <xf borderId="11" fillId="4" fontId="21" numFmtId="0" xfId="0" applyAlignment="1" applyBorder="1" applyFont="1">
      <alignment horizontal="center" readingOrder="0" vertical="center"/>
    </xf>
    <xf borderId="11" fillId="7" fontId="7" numFmtId="0" xfId="0" applyAlignment="1" applyBorder="1" applyFont="1">
      <alignment readingOrder="0"/>
    </xf>
    <xf borderId="11" fillId="4" fontId="16" numFmtId="38" xfId="0" applyAlignment="1" applyBorder="1" applyFont="1" applyNumberFormat="1">
      <alignment horizontal="right" vertical="bottom"/>
    </xf>
    <xf borderId="11" fillId="4" fontId="48" numFmtId="0" xfId="0" applyAlignment="1" applyBorder="1" applyFont="1">
      <alignment readingOrder="0"/>
    </xf>
    <xf borderId="11" fillId="4" fontId="49" numFmtId="0" xfId="0" applyAlignment="1" applyBorder="1" applyFont="1">
      <alignment horizontal="center" readingOrder="0" vertical="center"/>
    </xf>
    <xf borderId="11" fillId="4" fontId="50" numFmtId="0" xfId="0" applyAlignment="1" applyBorder="1" applyFont="1">
      <alignment horizontal="center" readingOrder="0" vertical="center"/>
    </xf>
    <xf borderId="11" fillId="5" fontId="49" numFmtId="0" xfId="0" applyAlignment="1" applyBorder="1" applyFont="1">
      <alignment horizontal="center" readingOrder="0" vertical="center"/>
    </xf>
    <xf borderId="11" fillId="5" fontId="50" numFmtId="0" xfId="0" applyAlignment="1" applyBorder="1" applyFont="1">
      <alignment horizontal="center" readingOrder="0"/>
    </xf>
    <xf borderId="12" fillId="4" fontId="48" numFmtId="0" xfId="0" applyAlignment="1" applyBorder="1" applyFont="1">
      <alignment readingOrder="0" vertical="bottom"/>
    </xf>
    <xf borderId="11" fillId="0" fontId="50" numFmtId="0" xfId="0" applyAlignment="1" applyBorder="1" applyFont="1">
      <alignment horizontal="center" readingOrder="0"/>
    </xf>
    <xf borderId="11" fillId="4" fontId="7" numFmtId="38" xfId="0" applyAlignment="1" applyBorder="1" applyFont="1" applyNumberFormat="1">
      <alignment horizontal="center" readingOrder="0"/>
    </xf>
    <xf borderId="11" fillId="5" fontId="7" numFmtId="38" xfId="0" applyAlignment="1" applyBorder="1" applyFont="1" applyNumberFormat="1">
      <alignment horizontal="center" readingOrder="0"/>
    </xf>
    <xf borderId="12" fillId="4" fontId="32" numFmtId="38" xfId="0" applyAlignment="1" applyBorder="1" applyFont="1" applyNumberFormat="1">
      <alignment horizontal="right" readingOrder="0" vertical="bottom"/>
    </xf>
    <xf borderId="11" fillId="4" fontId="32" numFmtId="38" xfId="0" applyAlignment="1" applyBorder="1" applyFont="1" applyNumberFormat="1">
      <alignment horizontal="right" readingOrder="0" vertical="bottom"/>
    </xf>
    <xf borderId="12" fillId="4" fontId="15" numFmtId="166" xfId="0" applyAlignment="1" applyBorder="1" applyFont="1" applyNumberFormat="1">
      <alignment horizontal="center" readingOrder="0" vertical="bottom"/>
    </xf>
    <xf borderId="12" fillId="4" fontId="24" numFmtId="1" xfId="0" applyAlignment="1" applyBorder="1" applyFont="1" applyNumberFormat="1">
      <alignment horizontal="center" readingOrder="0" vertical="bottom"/>
    </xf>
    <xf borderId="12" fillId="4" fontId="50" numFmtId="0" xfId="0" applyAlignment="1" applyBorder="1" applyFont="1">
      <alignment readingOrder="0" vertical="bottom"/>
    </xf>
    <xf borderId="11" fillId="4" fontId="51" numFmtId="38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0</xdr:row>
      <xdr:rowOff>0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238125</xdr:rowOff>
    </xdr:from>
    <xdr:ext cx="247650" cy="323850"/>
    <xdr:sp>
      <xdr:nvSpPr>
        <xdr:cNvPr id="3" name="Shape 3"/>
        <xdr:cNvSpPr txBox="1"/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 t="s">
        <v>16</v>
      </c>
      <c r="C4" s="18" t="s">
        <v>17</v>
      </c>
      <c r="D4" s="19">
        <v>52669.0</v>
      </c>
      <c r="E4" s="20" t="s">
        <v>18</v>
      </c>
      <c r="F4" s="21">
        <v>11350.0</v>
      </c>
      <c r="G4" s="22"/>
      <c r="H4" s="23"/>
      <c r="I4" s="24"/>
      <c r="J4" s="25"/>
      <c r="K4" s="26" t="s">
        <v>19</v>
      </c>
      <c r="L4" s="27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31" t="s">
        <v>22</v>
      </c>
      <c r="C5" s="32" t="s">
        <v>23</v>
      </c>
      <c r="D5" s="33">
        <v>25542.0</v>
      </c>
      <c r="E5" s="34" t="s">
        <v>24</v>
      </c>
      <c r="F5" s="35">
        <v>4500.0</v>
      </c>
      <c r="G5" s="36"/>
      <c r="H5" s="37"/>
      <c r="I5" s="38"/>
      <c r="J5" s="39"/>
      <c r="K5" s="40" t="s">
        <v>19</v>
      </c>
      <c r="L5" s="41"/>
      <c r="M5" s="42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/>
      <c r="B6" s="43" t="s">
        <v>22</v>
      </c>
      <c r="C6" s="44" t="s">
        <v>26</v>
      </c>
      <c r="D6" s="45">
        <v>25542.0</v>
      </c>
      <c r="E6" s="46" t="s">
        <v>24</v>
      </c>
      <c r="F6" s="47">
        <v>4500.0</v>
      </c>
      <c r="G6" s="48"/>
      <c r="H6" s="49"/>
      <c r="I6" s="50"/>
      <c r="J6" s="51"/>
      <c r="K6" s="40" t="s">
        <v>19</v>
      </c>
      <c r="L6" s="52"/>
      <c r="M6" s="5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43" t="s">
        <v>22</v>
      </c>
      <c r="C7" s="44" t="s">
        <v>27</v>
      </c>
      <c r="D7" s="45">
        <v>97726.0</v>
      </c>
      <c r="E7" s="46" t="s">
        <v>28</v>
      </c>
      <c r="F7" s="47">
        <v>12500.0</v>
      </c>
      <c r="G7" s="48"/>
      <c r="H7" s="49"/>
      <c r="I7" s="50"/>
      <c r="J7" s="51"/>
      <c r="K7" s="40" t="s">
        <v>19</v>
      </c>
      <c r="L7" s="52"/>
      <c r="M7" s="5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43" t="s">
        <v>22</v>
      </c>
      <c r="C8" s="44" t="s">
        <v>29</v>
      </c>
      <c r="D8" s="45">
        <v>42095.0</v>
      </c>
      <c r="E8" s="46" t="s">
        <v>30</v>
      </c>
      <c r="F8" s="55">
        <v>1450.0</v>
      </c>
      <c r="G8" s="56"/>
      <c r="H8" s="49"/>
      <c r="I8" s="50"/>
      <c r="J8" s="57"/>
      <c r="K8" s="40" t="s">
        <v>19</v>
      </c>
      <c r="L8" s="58"/>
      <c r="M8" s="59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34300</v>
      </c>
      <c r="G9" s="61">
        <f t="shared" si="1"/>
        <v>0</v>
      </c>
      <c r="H9" s="61">
        <f t="shared" si="1"/>
        <v>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34300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66" t="s">
        <v>32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69"/>
      <c r="C4" s="70"/>
      <c r="D4" s="71"/>
      <c r="E4" s="72"/>
      <c r="F4" s="73"/>
      <c r="G4" s="74"/>
      <c r="H4" s="74"/>
      <c r="I4" s="75"/>
      <c r="J4" s="76"/>
      <c r="K4" s="77" t="s">
        <v>33</v>
      </c>
      <c r="L4" s="78"/>
      <c r="M4" s="77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69"/>
      <c r="C5" s="70"/>
      <c r="D5" s="71"/>
      <c r="E5" s="72"/>
      <c r="F5" s="73"/>
      <c r="G5" s="74"/>
      <c r="H5" s="74"/>
      <c r="I5" s="75"/>
      <c r="J5" s="76"/>
      <c r="K5" s="77" t="s">
        <v>33</v>
      </c>
      <c r="L5" s="78"/>
      <c r="M5" s="7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 t="s">
        <v>34</v>
      </c>
      <c r="B6" s="69"/>
      <c r="C6" s="70"/>
      <c r="D6" s="71"/>
      <c r="E6" s="72"/>
      <c r="F6" s="73"/>
      <c r="G6" s="74"/>
      <c r="H6" s="74"/>
      <c r="I6" s="75"/>
      <c r="J6" s="76"/>
      <c r="K6" s="77" t="s">
        <v>33</v>
      </c>
      <c r="L6" s="78"/>
      <c r="M6" s="77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35</v>
      </c>
      <c r="B7" s="69"/>
      <c r="C7" s="79"/>
      <c r="D7" s="80"/>
      <c r="E7" s="81"/>
      <c r="F7" s="82"/>
      <c r="G7" s="83"/>
      <c r="H7" s="84"/>
      <c r="I7" s="85"/>
      <c r="J7" s="86"/>
      <c r="K7" s="87" t="s">
        <v>33</v>
      </c>
      <c r="L7" s="88"/>
      <c r="M7" s="8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9" t="s">
        <v>36</v>
      </c>
      <c r="B8" s="69"/>
      <c r="C8" s="90"/>
      <c r="D8" s="91"/>
      <c r="E8" s="92"/>
      <c r="F8" s="93"/>
      <c r="G8" s="56"/>
      <c r="H8" s="49"/>
      <c r="I8" s="50"/>
      <c r="J8" s="57"/>
      <c r="K8" s="94" t="s">
        <v>33</v>
      </c>
      <c r="L8" s="95"/>
      <c r="M8" s="94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6"/>
      <c r="B9" s="97"/>
      <c r="C9" s="98"/>
      <c r="D9" s="99"/>
      <c r="E9" s="100"/>
      <c r="F9" s="101"/>
      <c r="G9" s="56"/>
      <c r="H9" s="49"/>
      <c r="I9" s="50"/>
      <c r="J9" s="57"/>
      <c r="K9" s="102"/>
      <c r="L9" s="58"/>
      <c r="M9" s="103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96"/>
      <c r="B10" s="104"/>
      <c r="C10" s="105"/>
      <c r="D10" s="106"/>
      <c r="E10" s="107"/>
      <c r="F10" s="108"/>
      <c r="G10" s="56"/>
      <c r="H10" s="49"/>
      <c r="I10" s="50"/>
      <c r="J10" s="57"/>
      <c r="K10" s="102"/>
      <c r="L10" s="58"/>
      <c r="M10" s="103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6"/>
      <c r="B11" s="104"/>
      <c r="C11" s="105"/>
      <c r="D11" s="106"/>
      <c r="E11" s="107"/>
      <c r="F11" s="109"/>
      <c r="G11" s="56"/>
      <c r="H11" s="49"/>
      <c r="I11" s="50"/>
      <c r="J11" s="57"/>
      <c r="K11" s="102"/>
      <c r="L11" s="58"/>
      <c r="M11" s="103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60"/>
      <c r="B12" s="2"/>
      <c r="C12" s="2"/>
      <c r="D12" s="2"/>
      <c r="E12" s="3"/>
      <c r="F12" s="61">
        <f t="shared" ref="F12:J12" si="1">SUM(F4:F11)</f>
        <v>0</v>
      </c>
      <c r="G12" s="61">
        <f t="shared" si="1"/>
        <v>0</v>
      </c>
      <c r="H12" s="61">
        <f t="shared" si="1"/>
        <v>0</v>
      </c>
      <c r="I12" s="61">
        <f t="shared" si="1"/>
        <v>0</v>
      </c>
      <c r="J12" s="61">
        <f t="shared" si="1"/>
        <v>0</v>
      </c>
      <c r="K12" s="62"/>
      <c r="L12" s="62"/>
      <c r="M12" s="63"/>
    </row>
    <row r="13" ht="48.0" customHeight="1">
      <c r="F13" s="64">
        <f>F12+G12+H12+I12+J12</f>
        <v>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6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110" t="s">
        <v>10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11">
        <v>45699.0</v>
      </c>
      <c r="C4" s="112" t="s">
        <v>38</v>
      </c>
      <c r="D4" s="113">
        <v>87820.0</v>
      </c>
      <c r="E4" s="114" t="s">
        <v>39</v>
      </c>
      <c r="F4" s="115"/>
      <c r="G4" s="116"/>
      <c r="H4" s="117">
        <v>5000.0</v>
      </c>
      <c r="I4" s="75"/>
      <c r="J4" s="76"/>
      <c r="K4" s="118" t="s">
        <v>33</v>
      </c>
      <c r="L4" s="119"/>
      <c r="M4" s="11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11">
        <v>45699.0</v>
      </c>
      <c r="C5" s="112" t="s">
        <v>40</v>
      </c>
      <c r="D5" s="113">
        <v>42095.0</v>
      </c>
      <c r="E5" s="114" t="s">
        <v>30</v>
      </c>
      <c r="F5" s="35">
        <v>4500.0</v>
      </c>
      <c r="G5" s="116"/>
      <c r="H5" s="120"/>
      <c r="I5" s="75"/>
      <c r="J5" s="76"/>
      <c r="K5" s="118" t="s">
        <v>33</v>
      </c>
      <c r="L5" s="119"/>
      <c r="M5" s="114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111">
        <v>45699.0</v>
      </c>
      <c r="C6" s="112" t="s">
        <v>41</v>
      </c>
      <c r="D6" s="113">
        <v>50342.0</v>
      </c>
      <c r="E6" s="114" t="s">
        <v>42</v>
      </c>
      <c r="F6" s="115"/>
      <c r="G6" s="116"/>
      <c r="H6" s="117">
        <v>1200.0</v>
      </c>
      <c r="I6" s="75"/>
      <c r="J6" s="76"/>
      <c r="K6" s="118" t="s">
        <v>43</v>
      </c>
      <c r="L6" s="119"/>
      <c r="M6" s="114" t="s">
        <v>44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35</v>
      </c>
      <c r="B7" s="111">
        <v>45699.0</v>
      </c>
      <c r="C7" s="121" t="s">
        <v>45</v>
      </c>
      <c r="D7" s="122">
        <v>51660.0</v>
      </c>
      <c r="E7" s="123" t="s">
        <v>46</v>
      </c>
      <c r="F7" s="124"/>
      <c r="G7" s="83"/>
      <c r="H7" s="84"/>
      <c r="I7" s="85"/>
      <c r="J7" s="125">
        <v>35.0</v>
      </c>
      <c r="K7" s="118" t="s">
        <v>33</v>
      </c>
      <c r="L7" s="126"/>
      <c r="M7" s="114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9" t="s">
        <v>36</v>
      </c>
      <c r="B8" s="111">
        <v>45699.0</v>
      </c>
      <c r="C8" s="127" t="s">
        <v>47</v>
      </c>
      <c r="D8" s="128">
        <v>13762.0</v>
      </c>
      <c r="E8" s="129" t="s">
        <v>48</v>
      </c>
      <c r="F8" s="101"/>
      <c r="G8" s="56"/>
      <c r="H8" s="49"/>
      <c r="I8" s="50"/>
      <c r="J8" s="130">
        <v>37.0</v>
      </c>
      <c r="K8" s="118" t="s">
        <v>33</v>
      </c>
      <c r="L8" s="58"/>
      <c r="M8" s="114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89"/>
      <c r="B9" s="97"/>
      <c r="C9" s="98"/>
      <c r="D9" s="99"/>
      <c r="E9" s="100"/>
      <c r="F9" s="101"/>
      <c r="G9" s="56"/>
      <c r="H9" s="49"/>
      <c r="I9" s="50"/>
      <c r="J9" s="57"/>
      <c r="K9" s="102"/>
      <c r="L9" s="58"/>
      <c r="M9" s="103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96"/>
      <c r="B10" s="104"/>
      <c r="C10" s="105"/>
      <c r="D10" s="106"/>
      <c r="E10" s="107"/>
      <c r="F10" s="108"/>
      <c r="G10" s="56"/>
      <c r="H10" s="49"/>
      <c r="I10" s="50"/>
      <c r="J10" s="57"/>
      <c r="K10" s="102"/>
      <c r="L10" s="58"/>
      <c r="M10" s="103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6"/>
      <c r="B11" s="104"/>
      <c r="C11" s="105"/>
      <c r="D11" s="106"/>
      <c r="E11" s="107"/>
      <c r="F11" s="109"/>
      <c r="G11" s="56"/>
      <c r="H11" s="49"/>
      <c r="I11" s="50"/>
      <c r="J11" s="57"/>
      <c r="K11" s="102"/>
      <c r="L11" s="58"/>
      <c r="M11" s="103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60"/>
      <c r="B12" s="2"/>
      <c r="C12" s="2"/>
      <c r="D12" s="2"/>
      <c r="E12" s="3"/>
      <c r="F12" s="61">
        <f t="shared" ref="F12:J12" si="1">SUM(F4:F11)</f>
        <v>4500</v>
      </c>
      <c r="G12" s="61">
        <f t="shared" si="1"/>
        <v>0</v>
      </c>
      <c r="H12" s="61">
        <f t="shared" si="1"/>
        <v>6200</v>
      </c>
      <c r="I12" s="61">
        <f t="shared" si="1"/>
        <v>0</v>
      </c>
      <c r="J12" s="61">
        <f t="shared" si="1"/>
        <v>72</v>
      </c>
      <c r="K12" s="62"/>
      <c r="L12" s="62"/>
      <c r="M12" s="63"/>
    </row>
    <row r="13" ht="48.0" customHeight="1">
      <c r="F13" s="64">
        <f>F12+G12+H12+I12+J12</f>
        <v>10772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31" t="s">
        <v>50</v>
      </c>
      <c r="G3" s="66" t="s">
        <v>32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32">
        <v>45964.0</v>
      </c>
      <c r="C4" s="133" t="s">
        <v>51</v>
      </c>
      <c r="D4" s="134">
        <v>43380.0</v>
      </c>
      <c r="E4" s="135" t="s">
        <v>52</v>
      </c>
      <c r="F4" s="35">
        <v>10000.0</v>
      </c>
      <c r="G4" s="116"/>
      <c r="H4" s="74"/>
      <c r="I4" s="75"/>
      <c r="J4" s="76"/>
      <c r="K4" s="118" t="s">
        <v>33</v>
      </c>
      <c r="L4" s="136" t="s">
        <v>53</v>
      </c>
      <c r="M4" s="137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32">
        <v>45964.0</v>
      </c>
      <c r="C5" s="133" t="s">
        <v>54</v>
      </c>
      <c r="D5" s="134">
        <v>83352.0</v>
      </c>
      <c r="E5" s="135" t="s">
        <v>55</v>
      </c>
      <c r="F5" s="35">
        <v>25000.0</v>
      </c>
      <c r="G5" s="116"/>
      <c r="H5" s="74"/>
      <c r="I5" s="75"/>
      <c r="J5" s="76"/>
      <c r="K5" s="118" t="s">
        <v>33</v>
      </c>
      <c r="L5" s="136" t="s">
        <v>56</v>
      </c>
      <c r="M5" s="13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 t="s">
        <v>34</v>
      </c>
      <c r="B6" s="138"/>
      <c r="C6" s="139"/>
      <c r="D6" s="140"/>
      <c r="E6" s="137"/>
      <c r="F6" s="115"/>
      <c r="G6" s="116"/>
      <c r="H6" s="74"/>
      <c r="I6" s="75"/>
      <c r="J6" s="76"/>
      <c r="K6" s="141"/>
      <c r="L6" s="119"/>
      <c r="M6" s="137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 t="s">
        <v>35</v>
      </c>
      <c r="B7" s="138"/>
      <c r="C7" s="139"/>
      <c r="D7" s="140"/>
      <c r="E7" s="137"/>
      <c r="F7" s="115"/>
      <c r="G7" s="116"/>
      <c r="H7" s="74"/>
      <c r="I7" s="75"/>
      <c r="J7" s="76"/>
      <c r="K7" s="141"/>
      <c r="L7" s="119"/>
      <c r="M7" s="137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 t="s">
        <v>36</v>
      </c>
      <c r="B8" s="138"/>
      <c r="C8" s="139"/>
      <c r="D8" s="140"/>
      <c r="E8" s="137"/>
      <c r="F8" s="115"/>
      <c r="G8" s="116"/>
      <c r="H8" s="74"/>
      <c r="I8" s="75"/>
      <c r="J8" s="76"/>
      <c r="K8" s="141"/>
      <c r="L8" s="119"/>
      <c r="M8" s="13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54" t="s">
        <v>57</v>
      </c>
      <c r="B9" s="138"/>
      <c r="C9" s="139"/>
      <c r="D9" s="140"/>
      <c r="E9" s="137"/>
      <c r="F9" s="115"/>
      <c r="G9" s="116"/>
      <c r="H9" s="74"/>
      <c r="I9" s="75"/>
      <c r="J9" s="76"/>
      <c r="K9" s="141"/>
      <c r="L9" s="119"/>
      <c r="M9" s="137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54" t="s">
        <v>58</v>
      </c>
      <c r="B10" s="138"/>
      <c r="C10" s="139"/>
      <c r="D10" s="140"/>
      <c r="E10" s="137"/>
      <c r="F10" s="115"/>
      <c r="G10" s="37"/>
      <c r="H10" s="37"/>
      <c r="I10" s="38"/>
      <c r="J10" s="142"/>
      <c r="K10" s="141"/>
      <c r="L10" s="119"/>
      <c r="M10" s="13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54" t="s">
        <v>59</v>
      </c>
      <c r="B11" s="138"/>
      <c r="C11" s="139"/>
      <c r="D11" s="140"/>
      <c r="E11" s="137"/>
      <c r="F11" s="115"/>
      <c r="G11" s="37"/>
      <c r="H11" s="37"/>
      <c r="I11" s="38"/>
      <c r="J11" s="142"/>
      <c r="K11" s="141"/>
      <c r="L11" s="119"/>
      <c r="M11" s="137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54" t="s">
        <v>60</v>
      </c>
      <c r="B12" s="138"/>
      <c r="C12" s="139"/>
      <c r="D12" s="140"/>
      <c r="E12" s="137"/>
      <c r="F12" s="115"/>
      <c r="G12" s="116"/>
      <c r="H12" s="74"/>
      <c r="I12" s="75"/>
      <c r="J12" s="76"/>
      <c r="K12" s="141"/>
      <c r="L12" s="119"/>
      <c r="M12" s="137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54" t="s">
        <v>61</v>
      </c>
      <c r="B13" s="143"/>
      <c r="C13" s="144"/>
      <c r="D13" s="145"/>
      <c r="E13" s="146"/>
      <c r="F13" s="124"/>
      <c r="G13" s="83"/>
      <c r="H13" s="84"/>
      <c r="I13" s="85"/>
      <c r="J13" s="86"/>
      <c r="K13" s="141"/>
      <c r="L13" s="126"/>
      <c r="M13" s="137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54" t="s">
        <v>62</v>
      </c>
      <c r="B14" s="97"/>
      <c r="C14" s="98"/>
      <c r="D14" s="99"/>
      <c r="E14" s="100"/>
      <c r="F14" s="101"/>
      <c r="G14" s="56"/>
      <c r="H14" s="49"/>
      <c r="I14" s="50"/>
      <c r="J14" s="57"/>
      <c r="K14" s="141"/>
      <c r="L14" s="58"/>
      <c r="M14" s="137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54" t="s">
        <v>63</v>
      </c>
      <c r="B15" s="97"/>
      <c r="C15" s="98"/>
      <c r="D15" s="99"/>
      <c r="E15" s="100"/>
      <c r="F15" s="101"/>
      <c r="G15" s="56"/>
      <c r="H15" s="49"/>
      <c r="I15" s="50"/>
      <c r="J15" s="57"/>
      <c r="K15" s="141"/>
      <c r="L15" s="58"/>
      <c r="M15" s="137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96"/>
      <c r="B16" s="104"/>
      <c r="C16" s="105"/>
      <c r="D16" s="106"/>
      <c r="E16" s="107"/>
      <c r="F16" s="108"/>
      <c r="G16" s="56"/>
      <c r="H16" s="49"/>
      <c r="I16" s="50"/>
      <c r="J16" s="57"/>
      <c r="K16" s="102"/>
      <c r="L16" s="58"/>
      <c r="M16" s="10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96"/>
      <c r="B17" s="104"/>
      <c r="C17" s="105"/>
      <c r="D17" s="106"/>
      <c r="E17" s="107"/>
      <c r="F17" s="109"/>
      <c r="G17" s="56"/>
      <c r="H17" s="49"/>
      <c r="I17" s="50"/>
      <c r="J17" s="57"/>
      <c r="K17" s="102"/>
      <c r="L17" s="58"/>
      <c r="M17" s="10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60"/>
      <c r="B18" s="2"/>
      <c r="C18" s="2"/>
      <c r="D18" s="2"/>
      <c r="E18" s="3"/>
      <c r="F18" s="61">
        <f t="shared" ref="F18:J18" si="1">SUM(F4:F17)</f>
        <v>35000</v>
      </c>
      <c r="G18" s="61">
        <f t="shared" si="1"/>
        <v>0</v>
      </c>
      <c r="H18" s="61">
        <f t="shared" si="1"/>
        <v>0</v>
      </c>
      <c r="I18" s="61">
        <f t="shared" si="1"/>
        <v>0</v>
      </c>
      <c r="J18" s="61">
        <f t="shared" si="1"/>
        <v>0</v>
      </c>
      <c r="K18" s="62"/>
      <c r="L18" s="62"/>
      <c r="M18" s="63"/>
    </row>
    <row r="19" ht="48.0" customHeight="1">
      <c r="F19" s="64">
        <f>F18+G18+H18+I18+J18</f>
        <v>35000</v>
      </c>
      <c r="G19" s="2"/>
      <c r="H19" s="2"/>
      <c r="I19" s="2"/>
      <c r="J1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66" t="s">
        <v>32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11">
        <v>45965.0</v>
      </c>
      <c r="C4" s="112" t="s">
        <v>65</v>
      </c>
      <c r="D4" s="113">
        <v>89807.0</v>
      </c>
      <c r="E4" s="114" t="s">
        <v>66</v>
      </c>
      <c r="F4" s="35">
        <v>9900.0</v>
      </c>
      <c r="G4" s="116"/>
      <c r="H4" s="74"/>
      <c r="I4" s="75"/>
      <c r="J4" s="76"/>
      <c r="K4" s="118" t="s">
        <v>33</v>
      </c>
      <c r="L4" s="147" t="s">
        <v>67</v>
      </c>
      <c r="M4" s="137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11">
        <v>45965.0</v>
      </c>
      <c r="C5" s="112" t="s">
        <v>68</v>
      </c>
      <c r="D5" s="113">
        <v>62490.0</v>
      </c>
      <c r="E5" s="114" t="s">
        <v>69</v>
      </c>
      <c r="F5" s="35">
        <v>350.0</v>
      </c>
      <c r="G5" s="116"/>
      <c r="H5" s="74"/>
      <c r="I5" s="75"/>
      <c r="J5" s="76"/>
      <c r="K5" s="118" t="s">
        <v>33</v>
      </c>
      <c r="L5" s="147" t="s">
        <v>70</v>
      </c>
      <c r="M5" s="114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 t="s">
        <v>34</v>
      </c>
      <c r="B6" s="111">
        <v>45965.0</v>
      </c>
      <c r="C6" s="112" t="s">
        <v>71</v>
      </c>
      <c r="D6" s="113">
        <v>73660.0</v>
      </c>
      <c r="E6" s="114" t="s">
        <v>72</v>
      </c>
      <c r="F6" s="35">
        <v>3400.0</v>
      </c>
      <c r="G6" s="116"/>
      <c r="H6" s="74"/>
      <c r="I6" s="75"/>
      <c r="J6" s="76"/>
      <c r="K6" s="118" t="s">
        <v>33</v>
      </c>
      <c r="L6" s="147" t="s">
        <v>73</v>
      </c>
      <c r="M6" s="137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 t="s">
        <v>35</v>
      </c>
      <c r="B7" s="138"/>
      <c r="C7" s="139"/>
      <c r="D7" s="140"/>
      <c r="E7" s="137"/>
      <c r="F7" s="115"/>
      <c r="G7" s="116"/>
      <c r="H7" s="74"/>
      <c r="I7" s="75"/>
      <c r="J7" s="76"/>
      <c r="K7" s="141"/>
      <c r="L7" s="119"/>
      <c r="M7" s="137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 t="s">
        <v>36</v>
      </c>
      <c r="B8" s="138"/>
      <c r="C8" s="139"/>
      <c r="D8" s="140"/>
      <c r="E8" s="137"/>
      <c r="F8" s="115"/>
      <c r="G8" s="116"/>
      <c r="H8" s="74"/>
      <c r="I8" s="75"/>
      <c r="J8" s="76"/>
      <c r="K8" s="141"/>
      <c r="L8" s="119"/>
      <c r="M8" s="13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 t="s">
        <v>57</v>
      </c>
      <c r="B9" s="138"/>
      <c r="C9" s="139"/>
      <c r="D9" s="140"/>
      <c r="E9" s="137"/>
      <c r="F9" s="115"/>
      <c r="G9" s="116"/>
      <c r="H9" s="74"/>
      <c r="I9" s="75"/>
      <c r="J9" s="76"/>
      <c r="K9" s="141"/>
      <c r="L9" s="119"/>
      <c r="M9" s="137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54" t="s">
        <v>58</v>
      </c>
      <c r="B10" s="138"/>
      <c r="C10" s="139"/>
      <c r="D10" s="140"/>
      <c r="E10" s="137"/>
      <c r="F10" s="115"/>
      <c r="G10" s="37"/>
      <c r="H10" s="37"/>
      <c r="I10" s="38"/>
      <c r="J10" s="142"/>
      <c r="K10" s="141"/>
      <c r="L10" s="119"/>
      <c r="M10" s="13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54" t="s">
        <v>59</v>
      </c>
      <c r="B11" s="138"/>
      <c r="C11" s="139"/>
      <c r="D11" s="140"/>
      <c r="E11" s="137"/>
      <c r="F11" s="115"/>
      <c r="G11" s="37"/>
      <c r="H11" s="37"/>
      <c r="I11" s="38"/>
      <c r="J11" s="142"/>
      <c r="K11" s="141"/>
      <c r="L11" s="119"/>
      <c r="M11" s="137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54" t="s">
        <v>60</v>
      </c>
      <c r="B12" s="138"/>
      <c r="C12" s="139"/>
      <c r="D12" s="140"/>
      <c r="E12" s="137"/>
      <c r="F12" s="115"/>
      <c r="G12" s="116"/>
      <c r="H12" s="74"/>
      <c r="I12" s="75"/>
      <c r="J12" s="76"/>
      <c r="K12" s="141"/>
      <c r="L12" s="119"/>
      <c r="M12" s="137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54" t="s">
        <v>61</v>
      </c>
      <c r="B13" s="143"/>
      <c r="C13" s="144"/>
      <c r="D13" s="145"/>
      <c r="E13" s="146"/>
      <c r="F13" s="124"/>
      <c r="G13" s="83"/>
      <c r="H13" s="84"/>
      <c r="I13" s="85"/>
      <c r="J13" s="86"/>
      <c r="K13" s="141"/>
      <c r="L13" s="126"/>
      <c r="M13" s="137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54" t="s">
        <v>62</v>
      </c>
      <c r="B14" s="97"/>
      <c r="C14" s="98"/>
      <c r="D14" s="99"/>
      <c r="E14" s="100"/>
      <c r="F14" s="101"/>
      <c r="G14" s="56"/>
      <c r="H14" s="49"/>
      <c r="I14" s="50"/>
      <c r="J14" s="57"/>
      <c r="K14" s="141"/>
      <c r="L14" s="58"/>
      <c r="M14" s="137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54" t="s">
        <v>63</v>
      </c>
      <c r="B15" s="97"/>
      <c r="C15" s="98"/>
      <c r="D15" s="99"/>
      <c r="E15" s="100"/>
      <c r="F15" s="101"/>
      <c r="G15" s="56"/>
      <c r="H15" s="49"/>
      <c r="I15" s="50"/>
      <c r="J15" s="57"/>
      <c r="K15" s="141"/>
      <c r="L15" s="58"/>
      <c r="M15" s="137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96"/>
      <c r="B16" s="104"/>
      <c r="C16" s="105"/>
      <c r="D16" s="106"/>
      <c r="E16" s="107"/>
      <c r="F16" s="108"/>
      <c r="G16" s="56"/>
      <c r="H16" s="49"/>
      <c r="I16" s="50"/>
      <c r="J16" s="57"/>
      <c r="K16" s="102"/>
      <c r="L16" s="58"/>
      <c r="M16" s="10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96"/>
      <c r="B17" s="104"/>
      <c r="C17" s="105"/>
      <c r="D17" s="106"/>
      <c r="E17" s="107"/>
      <c r="F17" s="109"/>
      <c r="G17" s="56"/>
      <c r="H17" s="49"/>
      <c r="I17" s="50"/>
      <c r="J17" s="57"/>
      <c r="K17" s="102"/>
      <c r="L17" s="58"/>
      <c r="M17" s="10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60"/>
      <c r="B18" s="2"/>
      <c r="C18" s="2"/>
      <c r="D18" s="2"/>
      <c r="E18" s="3"/>
      <c r="F18" s="61">
        <f t="shared" ref="F18:J18" si="1">SUM(F4:F17)</f>
        <v>13650</v>
      </c>
      <c r="G18" s="61">
        <f t="shared" si="1"/>
        <v>0</v>
      </c>
      <c r="H18" s="61">
        <f t="shared" si="1"/>
        <v>0</v>
      </c>
      <c r="I18" s="61">
        <f t="shared" si="1"/>
        <v>0</v>
      </c>
      <c r="J18" s="61">
        <f t="shared" si="1"/>
        <v>0</v>
      </c>
      <c r="K18" s="62"/>
      <c r="L18" s="62"/>
      <c r="M18" s="63"/>
    </row>
    <row r="19" ht="48.0" customHeight="1">
      <c r="F19" s="64">
        <f>F18+G18+H18+I18+J18</f>
        <v>13650</v>
      </c>
      <c r="G19" s="2"/>
      <c r="H19" s="2"/>
      <c r="I19" s="2"/>
      <c r="J1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66" t="s">
        <v>32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11">
        <v>45966.0</v>
      </c>
      <c r="C4" s="112" t="s">
        <v>75</v>
      </c>
      <c r="D4" s="113">
        <v>52669.0</v>
      </c>
      <c r="E4" s="114" t="s">
        <v>18</v>
      </c>
      <c r="F4" s="35">
        <v>19700.0</v>
      </c>
      <c r="G4" s="116"/>
      <c r="H4" s="116"/>
      <c r="I4" s="75"/>
      <c r="J4" s="76"/>
      <c r="K4" s="118" t="s">
        <v>33</v>
      </c>
      <c r="L4" s="148" t="s">
        <v>76</v>
      </c>
      <c r="M4" s="11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11">
        <v>45966.0</v>
      </c>
      <c r="C5" s="112" t="s">
        <v>77</v>
      </c>
      <c r="D5" s="113">
        <v>95495.0</v>
      </c>
      <c r="E5" s="114" t="s">
        <v>78</v>
      </c>
      <c r="F5" s="115"/>
      <c r="G5" s="116"/>
      <c r="H5" s="149">
        <v>12950.0</v>
      </c>
      <c r="I5" s="75"/>
      <c r="J5" s="76"/>
      <c r="K5" s="118" t="s">
        <v>33</v>
      </c>
      <c r="L5" s="148" t="s">
        <v>79</v>
      </c>
      <c r="M5" s="114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 t="s">
        <v>34</v>
      </c>
      <c r="B6" s="111">
        <v>45966.0</v>
      </c>
      <c r="C6" s="112" t="s">
        <v>80</v>
      </c>
      <c r="D6" s="113">
        <v>72839.0</v>
      </c>
      <c r="E6" s="114" t="s">
        <v>81</v>
      </c>
      <c r="F6" s="35">
        <v>35000.0</v>
      </c>
      <c r="G6" s="116"/>
      <c r="H6" s="74"/>
      <c r="I6" s="75"/>
      <c r="J6" s="76"/>
      <c r="K6" s="118" t="s">
        <v>33</v>
      </c>
      <c r="L6" s="148" t="s">
        <v>82</v>
      </c>
      <c r="M6" s="114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96"/>
      <c r="B7" s="104"/>
      <c r="C7" s="105"/>
      <c r="D7" s="106"/>
      <c r="E7" s="107"/>
      <c r="F7" s="108"/>
      <c r="G7" s="56"/>
      <c r="H7" s="49"/>
      <c r="I7" s="50"/>
      <c r="J7" s="57"/>
      <c r="K7" s="102"/>
      <c r="L7" s="58"/>
      <c r="M7" s="10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96"/>
      <c r="B8" s="104"/>
      <c r="C8" s="105"/>
      <c r="D8" s="106"/>
      <c r="E8" s="107"/>
      <c r="F8" s="109"/>
      <c r="G8" s="56"/>
      <c r="H8" s="49"/>
      <c r="I8" s="50"/>
      <c r="J8" s="57"/>
      <c r="K8" s="102"/>
      <c r="L8" s="58"/>
      <c r="M8" s="10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54700</v>
      </c>
      <c r="G9" s="61">
        <f t="shared" si="1"/>
        <v>0</v>
      </c>
      <c r="H9" s="61">
        <f t="shared" si="1"/>
        <v>12950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67650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6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66" t="s">
        <v>32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50">
        <v>45967.0</v>
      </c>
      <c r="C4" s="112" t="s">
        <v>84</v>
      </c>
      <c r="D4" s="151">
        <v>10006.0</v>
      </c>
      <c r="E4" s="114" t="s">
        <v>85</v>
      </c>
      <c r="F4" s="115"/>
      <c r="G4" s="152">
        <v>300.0</v>
      </c>
      <c r="H4" s="153"/>
      <c r="I4" s="154"/>
      <c r="J4" s="155"/>
      <c r="K4" s="156" t="s">
        <v>33</v>
      </c>
      <c r="L4" s="157" t="s">
        <v>86</v>
      </c>
      <c r="M4" s="15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50">
        <v>45967.0</v>
      </c>
      <c r="C5" s="112" t="s">
        <v>87</v>
      </c>
      <c r="D5" s="151">
        <v>78835.0</v>
      </c>
      <c r="E5" s="114" t="s">
        <v>88</v>
      </c>
      <c r="F5" s="115"/>
      <c r="G5" s="159"/>
      <c r="H5" s="160">
        <v>2600.0</v>
      </c>
      <c r="I5" s="154"/>
      <c r="J5" s="155"/>
      <c r="K5" s="156" t="s">
        <v>33</v>
      </c>
      <c r="L5" s="157" t="s">
        <v>89</v>
      </c>
      <c r="M5" s="158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38"/>
      <c r="C6" s="139"/>
      <c r="D6" s="140"/>
      <c r="E6" s="137"/>
      <c r="F6" s="115"/>
      <c r="G6" s="161"/>
      <c r="H6" s="74"/>
      <c r="I6" s="75"/>
      <c r="J6" s="76"/>
      <c r="K6" s="141"/>
      <c r="L6" s="119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38"/>
      <c r="C7" s="139"/>
      <c r="D7" s="140"/>
      <c r="E7" s="137"/>
      <c r="F7" s="115"/>
      <c r="G7" s="116"/>
      <c r="H7" s="74"/>
      <c r="I7" s="75"/>
      <c r="J7" s="76"/>
      <c r="K7" s="141"/>
      <c r="L7" s="119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96"/>
      <c r="B8" s="104"/>
      <c r="C8" s="105"/>
      <c r="D8" s="106"/>
      <c r="E8" s="107"/>
      <c r="F8" s="108"/>
      <c r="G8" s="56"/>
      <c r="H8" s="49"/>
      <c r="I8" s="50"/>
      <c r="J8" s="57"/>
      <c r="K8" s="102"/>
      <c r="L8" s="58"/>
      <c r="M8" s="10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6"/>
      <c r="B9" s="104"/>
      <c r="C9" s="105"/>
      <c r="D9" s="106"/>
      <c r="E9" s="107"/>
      <c r="F9" s="109"/>
      <c r="G9" s="56"/>
      <c r="H9" s="49"/>
      <c r="I9" s="50"/>
      <c r="J9" s="57"/>
      <c r="K9" s="102"/>
      <c r="L9" s="58"/>
      <c r="M9" s="103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0"/>
      <c r="B10" s="2"/>
      <c r="C10" s="2"/>
      <c r="D10" s="2"/>
      <c r="E10" s="3"/>
      <c r="F10" s="61">
        <f t="shared" ref="F10:J10" si="1">SUM(F4:F9)</f>
        <v>0</v>
      </c>
      <c r="G10" s="61">
        <f t="shared" si="1"/>
        <v>300</v>
      </c>
      <c r="H10" s="61">
        <f t="shared" si="1"/>
        <v>2600</v>
      </c>
      <c r="I10" s="61">
        <f t="shared" si="1"/>
        <v>0</v>
      </c>
      <c r="J10" s="61">
        <f t="shared" si="1"/>
        <v>0</v>
      </c>
      <c r="K10" s="62"/>
      <c r="L10" s="62"/>
      <c r="M10" s="63"/>
    </row>
    <row r="11" ht="48.0" customHeight="1">
      <c r="F11" s="64">
        <f>F10+G10+H10+I10+J10</f>
        <v>2900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7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162" t="s">
        <v>10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11">
        <v>45968.0</v>
      </c>
      <c r="C4" s="112" t="s">
        <v>91</v>
      </c>
      <c r="D4" s="113">
        <v>51782.0</v>
      </c>
      <c r="E4" s="114" t="s">
        <v>92</v>
      </c>
      <c r="F4" s="163">
        <v>2500.0</v>
      </c>
      <c r="G4" s="164"/>
      <c r="H4" s="116"/>
      <c r="I4" s="165"/>
      <c r="J4" s="166"/>
      <c r="K4" s="118" t="s">
        <v>43</v>
      </c>
      <c r="L4" s="167" t="s">
        <v>93</v>
      </c>
      <c r="M4" s="11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11">
        <v>45968.0</v>
      </c>
      <c r="C5" s="112" t="s">
        <v>94</v>
      </c>
      <c r="D5" s="113">
        <v>36928.0</v>
      </c>
      <c r="E5" s="114" t="s">
        <v>95</v>
      </c>
      <c r="F5" s="168"/>
      <c r="G5" s="164"/>
      <c r="H5" s="116"/>
      <c r="I5" s="165"/>
      <c r="J5" s="169">
        <v>46.0</v>
      </c>
      <c r="K5" s="118" t="s">
        <v>33</v>
      </c>
      <c r="L5" s="167" t="s">
        <v>96</v>
      </c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38"/>
      <c r="C6" s="139"/>
      <c r="D6" s="140"/>
      <c r="E6" s="137"/>
      <c r="F6" s="168"/>
      <c r="G6" s="164"/>
      <c r="H6" s="116"/>
      <c r="I6" s="165"/>
      <c r="J6" s="166"/>
      <c r="K6" s="141"/>
      <c r="L6" s="119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96"/>
      <c r="B7" s="104"/>
      <c r="C7" s="105"/>
      <c r="D7" s="106"/>
      <c r="E7" s="107"/>
      <c r="F7" s="108"/>
      <c r="G7" s="56"/>
      <c r="H7" s="49"/>
      <c r="I7" s="50"/>
      <c r="J7" s="57"/>
      <c r="K7" s="102"/>
      <c r="L7" s="58"/>
      <c r="M7" s="10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96"/>
      <c r="B8" s="104"/>
      <c r="C8" s="105"/>
      <c r="D8" s="106"/>
      <c r="E8" s="107"/>
      <c r="F8" s="109"/>
      <c r="G8" s="56"/>
      <c r="H8" s="49"/>
      <c r="I8" s="50"/>
      <c r="J8" s="57"/>
      <c r="K8" s="102"/>
      <c r="L8" s="58"/>
      <c r="M8" s="10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2500</v>
      </c>
      <c r="G9" s="61">
        <f t="shared" si="1"/>
        <v>0</v>
      </c>
      <c r="H9" s="61">
        <f t="shared" si="1"/>
        <v>0</v>
      </c>
      <c r="I9" s="61">
        <f t="shared" si="1"/>
        <v>0</v>
      </c>
      <c r="J9" s="61">
        <f t="shared" si="1"/>
        <v>46</v>
      </c>
      <c r="K9" s="62"/>
      <c r="L9" s="62"/>
      <c r="M9" s="63"/>
    </row>
    <row r="10" ht="48.0" customHeight="1">
      <c r="F10" s="64">
        <f>F9+G9+H9+I9+J9</f>
        <v>2546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6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162" t="s">
        <v>10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70">
        <v>45969.0</v>
      </c>
      <c r="C4" s="171" t="s">
        <v>98</v>
      </c>
      <c r="D4" s="172">
        <v>21828.0</v>
      </c>
      <c r="E4" s="173" t="s">
        <v>99</v>
      </c>
      <c r="F4" s="174">
        <v>9500.0</v>
      </c>
      <c r="G4" s="175"/>
      <c r="H4" s="176"/>
      <c r="I4" s="177"/>
      <c r="J4" s="178"/>
      <c r="K4" s="53" t="s">
        <v>33</v>
      </c>
      <c r="L4" s="148" t="s">
        <v>100</v>
      </c>
      <c r="M4" s="156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70">
        <v>45969.0</v>
      </c>
      <c r="C5" s="171" t="s">
        <v>101</v>
      </c>
      <c r="D5" s="172">
        <v>102556.0</v>
      </c>
      <c r="E5" s="173" t="s">
        <v>102</v>
      </c>
      <c r="F5" s="179"/>
      <c r="G5" s="175"/>
      <c r="H5" s="174">
        <v>300.0</v>
      </c>
      <c r="I5" s="177"/>
      <c r="J5" s="178"/>
      <c r="K5" s="53" t="s">
        <v>33</v>
      </c>
      <c r="L5" s="148" t="s">
        <v>103</v>
      </c>
      <c r="M5" s="156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 t="s">
        <v>34</v>
      </c>
      <c r="B6" s="170">
        <v>45969.0</v>
      </c>
      <c r="C6" s="171" t="s">
        <v>104</v>
      </c>
      <c r="D6" s="172">
        <v>51166.0</v>
      </c>
      <c r="E6" s="173" t="s">
        <v>105</v>
      </c>
      <c r="F6" s="174">
        <v>6200.0</v>
      </c>
      <c r="G6" s="175"/>
      <c r="H6" s="176"/>
      <c r="I6" s="177"/>
      <c r="J6" s="178"/>
      <c r="K6" s="53" t="s">
        <v>33</v>
      </c>
      <c r="L6" s="148" t="s">
        <v>106</v>
      </c>
      <c r="M6" s="156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38"/>
      <c r="C7" s="139"/>
      <c r="D7" s="140"/>
      <c r="E7" s="137"/>
      <c r="F7" s="179"/>
      <c r="G7" s="176"/>
      <c r="H7" s="176"/>
      <c r="I7" s="177"/>
      <c r="J7" s="180"/>
      <c r="K7" s="181"/>
      <c r="L7" s="119"/>
      <c r="M7" s="182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96"/>
      <c r="B8" s="104"/>
      <c r="C8" s="105"/>
      <c r="D8" s="106"/>
      <c r="E8" s="183"/>
      <c r="F8" s="108"/>
      <c r="G8" s="56"/>
      <c r="H8" s="49"/>
      <c r="I8" s="50"/>
      <c r="J8" s="57"/>
      <c r="K8" s="102"/>
      <c r="L8" s="58"/>
      <c r="M8" s="10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6"/>
      <c r="B9" s="104"/>
      <c r="C9" s="105"/>
      <c r="D9" s="106"/>
      <c r="E9" s="107"/>
      <c r="F9" s="109"/>
      <c r="G9" s="56"/>
      <c r="H9" s="49"/>
      <c r="I9" s="50"/>
      <c r="J9" s="57"/>
      <c r="K9" s="102"/>
      <c r="L9" s="58"/>
      <c r="M9" s="103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0"/>
      <c r="B10" s="2"/>
      <c r="C10" s="2"/>
      <c r="D10" s="2"/>
      <c r="E10" s="3"/>
      <c r="F10" s="61">
        <f t="shared" ref="F10:J10" si="1">SUM(F4:F9)</f>
        <v>15700</v>
      </c>
      <c r="G10" s="61">
        <f t="shared" si="1"/>
        <v>0</v>
      </c>
      <c r="H10" s="61">
        <f t="shared" si="1"/>
        <v>300</v>
      </c>
      <c r="I10" s="61">
        <f t="shared" si="1"/>
        <v>0</v>
      </c>
      <c r="J10" s="61">
        <f t="shared" si="1"/>
        <v>0</v>
      </c>
      <c r="K10" s="62"/>
      <c r="L10" s="62"/>
      <c r="M10" s="63"/>
    </row>
    <row r="11" ht="48.0" customHeight="1">
      <c r="F11" s="64">
        <f>F10+G10+H10+I10+J10</f>
        <v>16000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7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162" t="s">
        <v>10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11">
        <v>45970.0</v>
      </c>
      <c r="C4" s="112" t="s">
        <v>108</v>
      </c>
      <c r="D4" s="151">
        <v>42278.0</v>
      </c>
      <c r="E4" s="114" t="s">
        <v>109</v>
      </c>
      <c r="F4" s="115"/>
      <c r="G4" s="161"/>
      <c r="H4" s="185"/>
      <c r="I4" s="75"/>
      <c r="J4" s="186">
        <v>35.0</v>
      </c>
      <c r="K4" s="118" t="s">
        <v>33</v>
      </c>
      <c r="L4" s="78" t="s">
        <v>110</v>
      </c>
      <c r="M4" s="11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84" t="s">
        <v>21</v>
      </c>
      <c r="B5" s="111">
        <v>45970.0</v>
      </c>
      <c r="C5" s="112" t="s">
        <v>111</v>
      </c>
      <c r="D5" s="151">
        <v>27880.0</v>
      </c>
      <c r="E5" s="114" t="s">
        <v>112</v>
      </c>
      <c r="F5" s="115"/>
      <c r="G5" s="161"/>
      <c r="H5" s="185"/>
      <c r="I5" s="75"/>
      <c r="J5" s="186">
        <v>74.0</v>
      </c>
      <c r="K5" s="118" t="s">
        <v>33</v>
      </c>
      <c r="L5" s="78" t="s">
        <v>113</v>
      </c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84" t="s">
        <v>34</v>
      </c>
      <c r="B6" s="111">
        <v>45970.0</v>
      </c>
      <c r="C6" s="112" t="s">
        <v>114</v>
      </c>
      <c r="D6" s="151">
        <v>89688.0</v>
      </c>
      <c r="E6" s="114" t="s">
        <v>115</v>
      </c>
      <c r="F6" s="115"/>
      <c r="G6" s="161"/>
      <c r="H6" s="163">
        <v>2400.0</v>
      </c>
      <c r="I6" s="75"/>
      <c r="J6" s="187"/>
      <c r="K6" s="118" t="s">
        <v>33</v>
      </c>
      <c r="L6" s="78" t="s">
        <v>116</v>
      </c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84" t="s">
        <v>35</v>
      </c>
      <c r="B7" s="111">
        <v>45970.0</v>
      </c>
      <c r="C7" s="112" t="s">
        <v>117</v>
      </c>
      <c r="D7" s="151">
        <v>89688.0</v>
      </c>
      <c r="E7" s="114" t="s">
        <v>115</v>
      </c>
      <c r="F7" s="115"/>
      <c r="G7" s="116"/>
      <c r="H7" s="163">
        <v>350.0</v>
      </c>
      <c r="I7" s="75"/>
      <c r="J7" s="188"/>
      <c r="K7" s="118" t="s">
        <v>33</v>
      </c>
      <c r="L7" s="78" t="s">
        <v>118</v>
      </c>
      <c r="M7" s="118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89"/>
      <c r="C8" s="190"/>
      <c r="D8" s="191"/>
      <c r="E8" s="192"/>
      <c r="F8" s="193"/>
      <c r="G8" s="56"/>
      <c r="H8" s="49"/>
      <c r="I8" s="50"/>
      <c r="J8" s="51"/>
      <c r="K8" s="194"/>
      <c r="L8" s="58"/>
      <c r="M8" s="13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2"/>
      <c r="F9" s="193"/>
      <c r="G9" s="56"/>
      <c r="H9" s="49"/>
      <c r="I9" s="50"/>
      <c r="J9" s="51"/>
      <c r="K9" s="194"/>
      <c r="L9" s="58"/>
      <c r="M9" s="1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4"/>
      <c r="B10" s="189"/>
      <c r="C10" s="190"/>
      <c r="D10" s="191"/>
      <c r="E10" s="192"/>
      <c r="F10" s="109"/>
      <c r="G10" s="56"/>
      <c r="H10" s="49"/>
      <c r="I10" s="50"/>
      <c r="J10" s="57"/>
      <c r="K10" s="102"/>
      <c r="L10" s="58"/>
      <c r="M10" s="13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60"/>
      <c r="B11" s="2"/>
      <c r="C11" s="2"/>
      <c r="D11" s="2"/>
      <c r="E11" s="3"/>
      <c r="F11" s="61">
        <f t="shared" ref="F11:J11" si="1">SUM(F4:F10)</f>
        <v>0</v>
      </c>
      <c r="G11" s="61">
        <f t="shared" si="1"/>
        <v>0</v>
      </c>
      <c r="H11" s="61">
        <f t="shared" si="1"/>
        <v>2750</v>
      </c>
      <c r="I11" s="61">
        <f t="shared" si="1"/>
        <v>0</v>
      </c>
      <c r="J11" s="61">
        <f t="shared" si="1"/>
        <v>109</v>
      </c>
      <c r="K11" s="62"/>
      <c r="L11" s="62"/>
      <c r="M11" s="63"/>
    </row>
    <row r="12" ht="48.0" customHeight="1">
      <c r="F12" s="64">
        <f>F11+G11+H11+I11+J11</f>
        <v>2859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162" t="s">
        <v>10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11">
        <v>45971.0</v>
      </c>
      <c r="C4" s="112" t="s">
        <v>120</v>
      </c>
      <c r="D4" s="151">
        <v>10250.0</v>
      </c>
      <c r="E4" s="114" t="s">
        <v>121</v>
      </c>
      <c r="F4" s="115"/>
      <c r="G4" s="195">
        <v>19500.0</v>
      </c>
      <c r="H4" s="185"/>
      <c r="I4" s="75"/>
      <c r="J4" s="76"/>
      <c r="K4" s="141" t="s">
        <v>43</v>
      </c>
      <c r="L4" s="119"/>
      <c r="M4" s="137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11">
        <v>45971.0</v>
      </c>
      <c r="C5" s="112" t="s">
        <v>122</v>
      </c>
      <c r="D5" s="151">
        <v>68284.0</v>
      </c>
      <c r="E5" s="114" t="s">
        <v>123</v>
      </c>
      <c r="F5" s="115"/>
      <c r="G5" s="195">
        <v>8630.0</v>
      </c>
      <c r="H5" s="185"/>
      <c r="I5" s="75"/>
      <c r="J5" s="76"/>
      <c r="K5" s="141" t="s">
        <v>33</v>
      </c>
      <c r="L5" s="119"/>
      <c r="M5" s="137" t="s">
        <v>124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 t="s">
        <v>34</v>
      </c>
      <c r="B6" s="111">
        <v>45971.0</v>
      </c>
      <c r="C6" s="112" t="s">
        <v>125</v>
      </c>
      <c r="D6" s="151">
        <v>87144.0</v>
      </c>
      <c r="E6" s="114" t="s">
        <v>126</v>
      </c>
      <c r="F6" s="35"/>
      <c r="G6" s="161"/>
      <c r="H6" s="196">
        <v>60850.0</v>
      </c>
      <c r="I6" s="75"/>
      <c r="J6" s="76"/>
      <c r="K6" s="141" t="s">
        <v>33</v>
      </c>
      <c r="L6" s="119"/>
      <c r="M6" s="137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38"/>
      <c r="C7" s="139"/>
      <c r="D7" s="197"/>
      <c r="E7" s="137"/>
      <c r="F7" s="115"/>
      <c r="G7" s="116"/>
      <c r="H7" s="185"/>
      <c r="I7" s="75"/>
      <c r="J7" s="188"/>
      <c r="K7" s="141"/>
      <c r="L7" s="119"/>
      <c r="M7" s="137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38"/>
      <c r="C8" s="139"/>
      <c r="D8" s="197"/>
      <c r="E8" s="137"/>
      <c r="F8" s="115"/>
      <c r="G8" s="116"/>
      <c r="H8" s="74"/>
      <c r="I8" s="75"/>
      <c r="J8" s="188"/>
      <c r="K8" s="141"/>
      <c r="L8" s="119"/>
      <c r="M8" s="137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8"/>
      <c r="F9" s="108"/>
      <c r="G9" s="56"/>
      <c r="H9" s="49"/>
      <c r="I9" s="50"/>
      <c r="J9" s="51"/>
      <c r="K9" s="194"/>
      <c r="L9" s="58"/>
      <c r="M9" s="137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4"/>
      <c r="B10" s="189"/>
      <c r="C10" s="190"/>
      <c r="D10" s="191"/>
      <c r="E10" s="192"/>
      <c r="F10" s="109"/>
      <c r="G10" s="56"/>
      <c r="H10" s="49"/>
      <c r="I10" s="50"/>
      <c r="J10" s="51"/>
      <c r="K10" s="194"/>
      <c r="L10" s="58"/>
      <c r="M10" s="137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4"/>
      <c r="B11" s="189"/>
      <c r="C11" s="190"/>
      <c r="D11" s="191"/>
      <c r="E11" s="192"/>
      <c r="F11" s="193"/>
      <c r="G11" s="56"/>
      <c r="H11" s="49"/>
      <c r="I11" s="50"/>
      <c r="J11" s="51"/>
      <c r="K11" s="194"/>
      <c r="L11" s="58"/>
      <c r="M11" s="137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4"/>
      <c r="B12" s="189"/>
      <c r="C12" s="190"/>
      <c r="D12" s="191"/>
      <c r="E12" s="192"/>
      <c r="F12" s="193"/>
      <c r="G12" s="56"/>
      <c r="H12" s="49"/>
      <c r="I12" s="50"/>
      <c r="J12" s="51"/>
      <c r="K12" s="194"/>
      <c r="L12" s="58"/>
      <c r="M12" s="137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54"/>
      <c r="B13" s="189"/>
      <c r="C13" s="190"/>
      <c r="D13" s="191"/>
      <c r="E13" s="192"/>
      <c r="F13" s="109"/>
      <c r="G13" s="56"/>
      <c r="H13" s="49"/>
      <c r="I13" s="50"/>
      <c r="J13" s="57"/>
      <c r="K13" s="102"/>
      <c r="L13" s="58"/>
      <c r="M13" s="137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60"/>
      <c r="B14" s="2"/>
      <c r="C14" s="2"/>
      <c r="D14" s="2"/>
      <c r="E14" s="3"/>
      <c r="F14" s="61">
        <f t="shared" ref="F14:J14" si="1">SUM(F4:F13)</f>
        <v>0</v>
      </c>
      <c r="G14" s="61">
        <f t="shared" si="1"/>
        <v>28130</v>
      </c>
      <c r="H14" s="61">
        <f t="shared" si="1"/>
        <v>60850</v>
      </c>
      <c r="I14" s="61">
        <f t="shared" si="1"/>
        <v>0</v>
      </c>
      <c r="J14" s="61">
        <f t="shared" si="1"/>
        <v>0</v>
      </c>
      <c r="K14" s="62"/>
      <c r="L14" s="62"/>
      <c r="M14" s="63"/>
    </row>
    <row r="15" ht="48.0" customHeight="1">
      <c r="F15" s="64">
        <f>F14+G14+H14+I14+J14</f>
        <v>88980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99" t="s">
        <v>10</v>
      </c>
      <c r="G3" s="162" t="s">
        <v>11</v>
      </c>
      <c r="H3" s="200" t="s">
        <v>12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201">
        <v>45972.0</v>
      </c>
      <c r="C4" s="171" t="s">
        <v>128</v>
      </c>
      <c r="D4" s="202">
        <v>25542.0</v>
      </c>
      <c r="E4" s="203" t="s">
        <v>24</v>
      </c>
      <c r="F4" s="174">
        <v>4500.0</v>
      </c>
      <c r="G4" s="175"/>
      <c r="H4" s="176"/>
      <c r="I4" s="177"/>
      <c r="J4" s="178"/>
      <c r="K4" s="53" t="s">
        <v>33</v>
      </c>
      <c r="L4" s="204" t="s">
        <v>129</v>
      </c>
      <c r="M4" s="53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201">
        <v>45972.0</v>
      </c>
      <c r="C5" s="171" t="s">
        <v>130</v>
      </c>
      <c r="D5" s="202">
        <v>25542.0</v>
      </c>
      <c r="E5" s="203" t="s">
        <v>24</v>
      </c>
      <c r="F5" s="174">
        <v>5140.0</v>
      </c>
      <c r="G5" s="175"/>
      <c r="H5" s="176"/>
      <c r="I5" s="177"/>
      <c r="J5" s="175"/>
      <c r="K5" s="53" t="s">
        <v>33</v>
      </c>
      <c r="L5" s="204" t="s">
        <v>131</v>
      </c>
      <c r="M5" s="53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38"/>
      <c r="C6" s="139"/>
      <c r="D6" s="197"/>
      <c r="E6" s="137"/>
      <c r="F6" s="115"/>
      <c r="G6" s="161"/>
      <c r="H6" s="185"/>
      <c r="I6" s="75"/>
      <c r="J6" s="161"/>
      <c r="K6" s="141"/>
      <c r="L6" s="119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38"/>
      <c r="C7" s="139"/>
      <c r="D7" s="197"/>
      <c r="E7" s="137"/>
      <c r="F7" s="115"/>
      <c r="G7" s="116"/>
      <c r="H7" s="185"/>
      <c r="I7" s="75"/>
      <c r="J7" s="161"/>
      <c r="K7" s="141"/>
      <c r="L7" s="119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89"/>
      <c r="C8" s="190"/>
      <c r="D8" s="191"/>
      <c r="E8" s="192"/>
      <c r="F8" s="193"/>
      <c r="G8" s="56"/>
      <c r="H8" s="49"/>
      <c r="I8" s="50"/>
      <c r="J8" s="51"/>
      <c r="K8" s="194"/>
      <c r="L8" s="58"/>
      <c r="M8" s="13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2"/>
      <c r="F9" s="109"/>
      <c r="G9" s="56"/>
      <c r="H9" s="49"/>
      <c r="I9" s="50"/>
      <c r="J9" s="57"/>
      <c r="K9" s="102"/>
      <c r="L9" s="58"/>
      <c r="M9" s="1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0"/>
      <c r="B10" s="2"/>
      <c r="C10" s="2"/>
      <c r="D10" s="2"/>
      <c r="E10" s="3"/>
      <c r="F10" s="61">
        <f t="shared" ref="F10:J10" si="1">SUM(F4:F9)</f>
        <v>9640</v>
      </c>
      <c r="G10" s="61">
        <f t="shared" si="1"/>
        <v>0</v>
      </c>
      <c r="H10" s="61">
        <f t="shared" si="1"/>
        <v>0</v>
      </c>
      <c r="I10" s="61">
        <f t="shared" si="1"/>
        <v>0</v>
      </c>
      <c r="J10" s="61">
        <f t="shared" si="1"/>
        <v>0</v>
      </c>
      <c r="K10" s="62"/>
      <c r="L10" s="62"/>
      <c r="M10" s="63"/>
    </row>
    <row r="11" ht="48.0" customHeight="1">
      <c r="F11" s="64">
        <f>F10+G10+H10+I10+J10</f>
        <v>9640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205" t="s">
        <v>15</v>
      </c>
      <c r="B4" s="206">
        <v>45973.0</v>
      </c>
      <c r="C4" s="207" t="s">
        <v>133</v>
      </c>
      <c r="D4" s="208">
        <v>59137.0</v>
      </c>
      <c r="E4" s="209" t="s">
        <v>134</v>
      </c>
      <c r="F4" s="210">
        <v>1500.0</v>
      </c>
      <c r="G4" s="211"/>
      <c r="H4" s="212"/>
      <c r="I4" s="213"/>
      <c r="J4" s="214"/>
      <c r="K4" s="215" t="s">
        <v>33</v>
      </c>
      <c r="L4" s="216" t="s">
        <v>135</v>
      </c>
      <c r="M4" s="215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/>
      <c r="B5" s="217"/>
      <c r="C5" s="218"/>
      <c r="D5" s="219"/>
      <c r="E5" s="220"/>
      <c r="F5" s="115"/>
      <c r="G5" s="83"/>
      <c r="H5" s="37"/>
      <c r="I5" s="38"/>
      <c r="J5" s="39"/>
      <c r="K5" s="221"/>
      <c r="L5" s="222"/>
      <c r="M5" s="22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38"/>
      <c r="C6" s="139"/>
      <c r="D6" s="197"/>
      <c r="E6" s="137"/>
      <c r="F6" s="115"/>
      <c r="G6" s="161"/>
      <c r="H6" s="37"/>
      <c r="I6" s="38"/>
      <c r="J6" s="223"/>
      <c r="K6" s="221"/>
      <c r="L6" s="224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89"/>
      <c r="C7" s="190"/>
      <c r="D7" s="191"/>
      <c r="E7" s="192" t="s">
        <v>136</v>
      </c>
      <c r="F7" s="193"/>
      <c r="G7" s="56"/>
      <c r="H7" s="49"/>
      <c r="I7" s="50"/>
      <c r="J7" s="51"/>
      <c r="K7" s="194"/>
      <c r="L7" s="52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89"/>
      <c r="C8" s="190"/>
      <c r="D8" s="191"/>
      <c r="E8" s="192"/>
      <c r="F8" s="193"/>
      <c r="G8" s="56"/>
      <c r="H8" s="49"/>
      <c r="I8" s="50"/>
      <c r="J8" s="51"/>
      <c r="K8" s="194"/>
      <c r="L8" s="52"/>
      <c r="M8" s="13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2"/>
      <c r="F9" s="109"/>
      <c r="G9" s="56"/>
      <c r="H9" s="49"/>
      <c r="I9" s="50"/>
      <c r="J9" s="57"/>
      <c r="K9" s="102"/>
      <c r="L9" s="58"/>
      <c r="M9" s="1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0"/>
      <c r="B10" s="2"/>
      <c r="C10" s="2"/>
      <c r="D10" s="2"/>
      <c r="E10" s="3"/>
      <c r="F10" s="61">
        <f t="shared" ref="F10:J10" si="1">SUM(F4:F9)</f>
        <v>1500</v>
      </c>
      <c r="G10" s="61">
        <f t="shared" si="1"/>
        <v>0</v>
      </c>
      <c r="H10" s="61">
        <f t="shared" si="1"/>
        <v>0</v>
      </c>
      <c r="I10" s="61">
        <f t="shared" si="1"/>
        <v>0</v>
      </c>
      <c r="J10" s="61">
        <f t="shared" si="1"/>
        <v>0</v>
      </c>
      <c r="K10" s="62"/>
      <c r="L10" s="62"/>
      <c r="M10" s="63"/>
    </row>
    <row r="11" ht="48.0" customHeight="1">
      <c r="F11" s="64">
        <f>F10+G10+H10+I10+J10</f>
        <v>1500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65" t="s">
        <v>12</v>
      </c>
      <c r="G3" s="162" t="s">
        <v>10</v>
      </c>
      <c r="H3" s="67" t="s">
        <v>11</v>
      </c>
      <c r="I3" s="68" t="s">
        <v>13</v>
      </c>
      <c r="J3" s="14" t="s">
        <v>14</v>
      </c>
      <c r="K3" s="9"/>
      <c r="L3" s="8"/>
      <c r="M3" s="15"/>
    </row>
    <row r="4" ht="49.5" customHeight="1">
      <c r="A4" s="54" t="s">
        <v>15</v>
      </c>
      <c r="B4" s="111">
        <v>45974.0</v>
      </c>
      <c r="C4" s="225" t="s">
        <v>138</v>
      </c>
      <c r="D4" s="172">
        <v>10288.0</v>
      </c>
      <c r="E4" s="136" t="s">
        <v>139</v>
      </c>
      <c r="F4" s="35">
        <v>15000.0</v>
      </c>
      <c r="G4" s="56"/>
      <c r="H4" s="185"/>
      <c r="I4" s="75"/>
      <c r="J4" s="76"/>
      <c r="K4" s="118" t="s">
        <v>33</v>
      </c>
      <c r="L4" s="78" t="s">
        <v>140</v>
      </c>
      <c r="M4" s="11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 t="s">
        <v>21</v>
      </c>
      <c r="B5" s="111">
        <v>45974.0</v>
      </c>
      <c r="C5" s="225" t="s">
        <v>141</v>
      </c>
      <c r="D5" s="172">
        <v>47787.0</v>
      </c>
      <c r="E5" s="136" t="s">
        <v>142</v>
      </c>
      <c r="F5" s="35">
        <v>10000.0</v>
      </c>
      <c r="G5" s="56"/>
      <c r="H5" s="185"/>
      <c r="I5" s="75"/>
      <c r="J5" s="161"/>
      <c r="K5" s="118" t="s">
        <v>43</v>
      </c>
      <c r="L5" s="78" t="s">
        <v>143</v>
      </c>
      <c r="M5" s="11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89"/>
      <c r="C6" s="190"/>
      <c r="D6" s="191"/>
      <c r="E6" s="192"/>
      <c r="F6" s="193"/>
      <c r="G6" s="56"/>
      <c r="H6" s="49"/>
      <c r="I6" s="50"/>
      <c r="J6" s="51"/>
      <c r="K6" s="194"/>
      <c r="L6" s="58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89"/>
      <c r="C7" s="190"/>
      <c r="D7" s="191"/>
      <c r="E7" s="192"/>
      <c r="F7" s="193"/>
      <c r="G7" s="56"/>
      <c r="H7" s="49"/>
      <c r="I7" s="50"/>
      <c r="J7" s="51"/>
      <c r="K7" s="194"/>
      <c r="L7" s="58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89"/>
      <c r="C8" s="190"/>
      <c r="D8" s="191"/>
      <c r="E8" s="192"/>
      <c r="F8" s="109"/>
      <c r="G8" s="56"/>
      <c r="H8" s="49"/>
      <c r="I8" s="50"/>
      <c r="J8" s="57"/>
      <c r="K8" s="102"/>
      <c r="L8" s="58"/>
      <c r="M8" s="13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25000</v>
      </c>
      <c r="G9" s="61">
        <f t="shared" si="1"/>
        <v>0</v>
      </c>
      <c r="H9" s="61">
        <f t="shared" si="1"/>
        <v>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25000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96" t="s">
        <v>15</v>
      </c>
      <c r="B4" s="226" t="s">
        <v>145</v>
      </c>
      <c r="C4" s="133" t="s">
        <v>146</v>
      </c>
      <c r="D4" s="227">
        <v>103424.0</v>
      </c>
      <c r="E4" s="135" t="s">
        <v>147</v>
      </c>
      <c r="F4" s="228"/>
      <c r="G4" s="56"/>
      <c r="H4" s="229">
        <v>300.0</v>
      </c>
      <c r="I4" s="230"/>
      <c r="J4" s="231"/>
      <c r="K4" s="232"/>
      <c r="L4" s="233"/>
      <c r="M4" s="135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96" t="s">
        <v>21</v>
      </c>
      <c r="B5" s="234"/>
      <c r="C5" s="235"/>
      <c r="D5" s="236"/>
      <c r="E5" s="237"/>
      <c r="F5" s="228"/>
      <c r="G5" s="56"/>
      <c r="H5" s="238"/>
      <c r="I5" s="230"/>
      <c r="J5" s="161"/>
      <c r="K5" s="232"/>
      <c r="L5" s="233"/>
      <c r="M5" s="23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 t="s">
        <v>34</v>
      </c>
      <c r="B6" s="138"/>
      <c r="C6" s="139"/>
      <c r="D6" s="197"/>
      <c r="E6" s="137"/>
      <c r="F6" s="115"/>
      <c r="G6" s="161"/>
      <c r="H6" s="185"/>
      <c r="I6" s="75"/>
      <c r="J6" s="161"/>
      <c r="K6" s="141"/>
      <c r="L6" s="224"/>
      <c r="M6" s="137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 t="s">
        <v>35</v>
      </c>
      <c r="B7" s="138"/>
      <c r="C7" s="139"/>
      <c r="D7" s="197"/>
      <c r="E7" s="137"/>
      <c r="F7" s="115"/>
      <c r="G7" s="116"/>
      <c r="H7" s="185"/>
      <c r="I7" s="75"/>
      <c r="J7" s="161"/>
      <c r="K7" s="141"/>
      <c r="L7" s="224"/>
      <c r="M7" s="13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 t="s">
        <v>36</v>
      </c>
      <c r="B8" s="138"/>
      <c r="C8" s="139"/>
      <c r="D8" s="197"/>
      <c r="E8" s="137"/>
      <c r="F8" s="115"/>
      <c r="G8" s="116"/>
      <c r="H8" s="74"/>
      <c r="I8" s="75"/>
      <c r="J8" s="188"/>
      <c r="K8" s="141"/>
      <c r="L8" s="224"/>
      <c r="M8" s="137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8"/>
      <c r="F9" s="108"/>
      <c r="G9" s="56"/>
      <c r="H9" s="49"/>
      <c r="I9" s="50"/>
      <c r="J9" s="51"/>
      <c r="K9" s="194"/>
      <c r="L9" s="52"/>
      <c r="M9" s="1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4"/>
      <c r="B10" s="189"/>
      <c r="C10" s="190"/>
      <c r="D10" s="191"/>
      <c r="E10" s="192"/>
      <c r="F10" s="109"/>
      <c r="G10" s="56"/>
      <c r="H10" s="49"/>
      <c r="I10" s="50"/>
      <c r="J10" s="51"/>
      <c r="K10" s="194"/>
      <c r="L10" s="52"/>
      <c r="M10" s="13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4"/>
      <c r="B11" s="189"/>
      <c r="C11" s="190"/>
      <c r="D11" s="191"/>
      <c r="E11" s="192" t="s">
        <v>136</v>
      </c>
      <c r="F11" s="193"/>
      <c r="G11" s="56"/>
      <c r="H11" s="49"/>
      <c r="I11" s="50"/>
      <c r="J11" s="51"/>
      <c r="K11" s="194"/>
      <c r="L11" s="52"/>
      <c r="M11" s="13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4"/>
      <c r="B12" s="189"/>
      <c r="C12" s="190"/>
      <c r="D12" s="191"/>
      <c r="E12" s="192"/>
      <c r="F12" s="193"/>
      <c r="G12" s="56"/>
      <c r="H12" s="49"/>
      <c r="I12" s="50"/>
      <c r="J12" s="51"/>
      <c r="K12" s="194"/>
      <c r="L12" s="52"/>
      <c r="M12" s="13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54"/>
      <c r="B13" s="189"/>
      <c r="C13" s="190"/>
      <c r="D13" s="191"/>
      <c r="E13" s="192"/>
      <c r="F13" s="109"/>
      <c r="G13" s="56"/>
      <c r="H13" s="49"/>
      <c r="I13" s="50"/>
      <c r="J13" s="57"/>
      <c r="K13" s="102"/>
      <c r="L13" s="58"/>
      <c r="M13" s="137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60"/>
      <c r="B14" s="2"/>
      <c r="C14" s="2"/>
      <c r="D14" s="2"/>
      <c r="E14" s="3"/>
      <c r="F14" s="61">
        <f t="shared" ref="F14:J14" si="1">SUM(F4:F13)</f>
        <v>0</v>
      </c>
      <c r="G14" s="61">
        <f t="shared" si="1"/>
        <v>0</v>
      </c>
      <c r="H14" s="61">
        <f t="shared" si="1"/>
        <v>300</v>
      </c>
      <c r="I14" s="61">
        <f t="shared" si="1"/>
        <v>0</v>
      </c>
      <c r="J14" s="61">
        <f t="shared" si="1"/>
        <v>0</v>
      </c>
      <c r="K14" s="62"/>
      <c r="L14" s="62"/>
      <c r="M14" s="63"/>
    </row>
    <row r="15" ht="48.0" customHeight="1">
      <c r="F15" s="64">
        <f>F14+G14+H14+I14+J14</f>
        <v>300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239">
        <v>45976.0</v>
      </c>
      <c r="C4" s="207" t="s">
        <v>149</v>
      </c>
      <c r="D4" s="240">
        <v>22332.0</v>
      </c>
      <c r="E4" s="34" t="s">
        <v>150</v>
      </c>
      <c r="F4" s="115"/>
      <c r="G4" s="83"/>
      <c r="H4" s="241">
        <v>35.0</v>
      </c>
      <c r="I4" s="38"/>
      <c r="J4" s="142"/>
      <c r="K4" s="242" t="s">
        <v>33</v>
      </c>
      <c r="L4" s="243" t="s">
        <v>151</v>
      </c>
      <c r="M4" s="24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39">
        <v>45976.0</v>
      </c>
      <c r="C5" s="207" t="s">
        <v>152</v>
      </c>
      <c r="D5" s="240">
        <v>35245.0</v>
      </c>
      <c r="E5" s="34" t="s">
        <v>153</v>
      </c>
      <c r="F5" s="115"/>
      <c r="G5" s="83"/>
      <c r="H5" s="241">
        <v>70.0</v>
      </c>
      <c r="I5" s="38"/>
      <c r="J5" s="39"/>
      <c r="K5" s="242" t="s">
        <v>33</v>
      </c>
      <c r="L5" s="243" t="s">
        <v>154</v>
      </c>
      <c r="M5" s="242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89"/>
      <c r="C6" s="190"/>
      <c r="D6" s="191"/>
      <c r="E6" s="192"/>
      <c r="F6" s="109"/>
      <c r="G6" s="56"/>
      <c r="H6" s="49"/>
      <c r="I6" s="50"/>
      <c r="J6" s="51"/>
      <c r="K6" s="194"/>
      <c r="L6" s="52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89"/>
      <c r="C7" s="190"/>
      <c r="D7" s="191"/>
      <c r="E7" s="192" t="s">
        <v>136</v>
      </c>
      <c r="F7" s="193"/>
      <c r="G7" s="56"/>
      <c r="H7" s="49"/>
      <c r="I7" s="50"/>
      <c r="J7" s="51"/>
      <c r="K7" s="194"/>
      <c r="L7" s="52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89"/>
      <c r="C8" s="190"/>
      <c r="D8" s="191"/>
      <c r="E8" s="192"/>
      <c r="F8" s="193"/>
      <c r="G8" s="56"/>
      <c r="H8" s="49"/>
      <c r="I8" s="50"/>
      <c r="J8" s="51"/>
      <c r="K8" s="194"/>
      <c r="L8" s="52"/>
      <c r="M8" s="13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2"/>
      <c r="F9" s="109"/>
      <c r="G9" s="56"/>
      <c r="H9" s="49"/>
      <c r="I9" s="50"/>
      <c r="J9" s="57"/>
      <c r="K9" s="102"/>
      <c r="L9" s="58"/>
      <c r="M9" s="1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0"/>
      <c r="B10" s="2"/>
      <c r="C10" s="2"/>
      <c r="D10" s="2"/>
      <c r="E10" s="3"/>
      <c r="F10" s="61">
        <f t="shared" ref="F10:J10" si="1">SUM(F4:F9)</f>
        <v>0</v>
      </c>
      <c r="G10" s="61">
        <f t="shared" si="1"/>
        <v>0</v>
      </c>
      <c r="H10" s="61">
        <f t="shared" si="1"/>
        <v>105</v>
      </c>
      <c r="I10" s="61">
        <f t="shared" si="1"/>
        <v>0</v>
      </c>
      <c r="J10" s="61">
        <f t="shared" si="1"/>
        <v>0</v>
      </c>
      <c r="K10" s="62"/>
      <c r="L10" s="62"/>
      <c r="M10" s="63"/>
    </row>
    <row r="11" ht="48.0" customHeight="1">
      <c r="F11" s="64">
        <f>F10+G10+H10+I10+J10</f>
        <v>105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205" t="s">
        <v>15</v>
      </c>
      <c r="B4" s="245"/>
      <c r="C4" s="246"/>
      <c r="D4" s="247"/>
      <c r="E4" s="213"/>
      <c r="F4" s="248"/>
      <c r="G4" s="211"/>
      <c r="H4" s="212"/>
      <c r="I4" s="213"/>
      <c r="J4" s="214"/>
      <c r="K4" s="249"/>
      <c r="L4" s="250"/>
      <c r="M4" s="213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/>
      <c r="B5" s="217"/>
      <c r="C5" s="218"/>
      <c r="D5" s="219"/>
      <c r="E5" s="251" t="s">
        <v>156</v>
      </c>
      <c r="F5" s="115"/>
      <c r="G5" s="83"/>
      <c r="H5" s="37"/>
      <c r="I5" s="38"/>
      <c r="J5" s="39"/>
      <c r="K5" s="221"/>
      <c r="L5" s="222"/>
      <c r="M5" s="22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38"/>
      <c r="C6" s="139"/>
      <c r="D6" s="197"/>
      <c r="E6" s="137"/>
      <c r="F6" s="115"/>
      <c r="G6" s="161"/>
      <c r="H6" s="37"/>
      <c r="I6" s="38"/>
      <c r="J6" s="223"/>
      <c r="K6" s="141"/>
      <c r="L6" s="224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38"/>
      <c r="C7" s="139"/>
      <c r="D7" s="197"/>
      <c r="E7" s="137"/>
      <c r="F7" s="115"/>
      <c r="G7" s="116"/>
      <c r="H7" s="37"/>
      <c r="I7" s="38"/>
      <c r="J7" s="223"/>
      <c r="K7" s="141"/>
      <c r="L7" s="224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38"/>
      <c r="C8" s="139"/>
      <c r="D8" s="197"/>
      <c r="E8" s="137"/>
      <c r="F8" s="115"/>
      <c r="G8" s="116"/>
      <c r="H8" s="37"/>
      <c r="I8" s="38"/>
      <c r="J8" s="252"/>
      <c r="K8" s="141"/>
      <c r="L8" s="224"/>
      <c r="M8" s="13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8"/>
      <c r="F9" s="108"/>
      <c r="G9" s="56"/>
      <c r="H9" s="253"/>
      <c r="I9" s="254"/>
      <c r="J9" s="51"/>
      <c r="K9" s="255"/>
      <c r="L9" s="233"/>
      <c r="M9" s="1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4"/>
      <c r="B10" s="189"/>
      <c r="C10" s="190"/>
      <c r="D10" s="191"/>
      <c r="E10" s="192"/>
      <c r="F10" s="109"/>
      <c r="G10" s="56"/>
      <c r="H10" s="49"/>
      <c r="I10" s="50"/>
      <c r="J10" s="51"/>
      <c r="K10" s="194"/>
      <c r="L10" s="52"/>
      <c r="M10" s="13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4"/>
      <c r="B11" s="189"/>
      <c r="C11" s="190"/>
      <c r="D11" s="191"/>
      <c r="E11" s="192" t="s">
        <v>136</v>
      </c>
      <c r="F11" s="193"/>
      <c r="G11" s="56"/>
      <c r="H11" s="49"/>
      <c r="I11" s="50"/>
      <c r="J11" s="51"/>
      <c r="K11" s="194"/>
      <c r="L11" s="52"/>
      <c r="M11" s="13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4"/>
      <c r="B12" s="189"/>
      <c r="C12" s="190"/>
      <c r="D12" s="191"/>
      <c r="E12" s="192"/>
      <c r="F12" s="193"/>
      <c r="G12" s="56"/>
      <c r="H12" s="49"/>
      <c r="I12" s="50"/>
      <c r="J12" s="51"/>
      <c r="K12" s="194"/>
      <c r="L12" s="52"/>
      <c r="M12" s="13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54"/>
      <c r="B13" s="189"/>
      <c r="C13" s="190"/>
      <c r="D13" s="191"/>
      <c r="E13" s="192"/>
      <c r="F13" s="109"/>
      <c r="G13" s="56"/>
      <c r="H13" s="49"/>
      <c r="I13" s="50"/>
      <c r="J13" s="57"/>
      <c r="K13" s="102"/>
      <c r="L13" s="58"/>
      <c r="M13" s="137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60"/>
      <c r="B14" s="2"/>
      <c r="C14" s="2"/>
      <c r="D14" s="2"/>
      <c r="E14" s="3"/>
      <c r="F14" s="61">
        <f t="shared" ref="F14:J14" si="1">SUM(F4:F13)</f>
        <v>0</v>
      </c>
      <c r="G14" s="61">
        <f t="shared" si="1"/>
        <v>0</v>
      </c>
      <c r="H14" s="61">
        <f t="shared" si="1"/>
        <v>0</v>
      </c>
      <c r="I14" s="61">
        <f t="shared" si="1"/>
        <v>0</v>
      </c>
      <c r="J14" s="61">
        <f t="shared" si="1"/>
        <v>0</v>
      </c>
      <c r="K14" s="62"/>
      <c r="L14" s="62"/>
      <c r="M14" s="63"/>
    </row>
    <row r="15" ht="48.0" customHeight="1">
      <c r="F15" s="64">
        <f>F14+G14+H14+I14+J14</f>
        <v>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256" t="s">
        <v>15</v>
      </c>
      <c r="B4" s="206">
        <v>45978.0</v>
      </c>
      <c r="C4" s="207" t="s">
        <v>158</v>
      </c>
      <c r="D4" s="208">
        <v>88485.0</v>
      </c>
      <c r="E4" s="209" t="s">
        <v>159</v>
      </c>
      <c r="F4" s="248"/>
      <c r="G4" s="257">
        <v>5000.0</v>
      </c>
      <c r="H4" s="212"/>
      <c r="I4" s="213"/>
      <c r="J4" s="214"/>
      <c r="K4" s="215" t="s">
        <v>33</v>
      </c>
      <c r="L4" s="216" t="s">
        <v>160</v>
      </c>
      <c r="M4" s="25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54"/>
      <c r="B5" s="217"/>
      <c r="C5" s="218"/>
      <c r="D5" s="219"/>
      <c r="E5" s="220"/>
      <c r="F5" s="115"/>
      <c r="G5" s="83"/>
      <c r="H5" s="37"/>
      <c r="I5" s="38"/>
      <c r="J5" s="39"/>
      <c r="K5" s="221"/>
      <c r="L5" s="222"/>
      <c r="M5" s="22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89"/>
      <c r="C6" s="190"/>
      <c r="D6" s="191"/>
      <c r="E6" s="192"/>
      <c r="F6" s="193"/>
      <c r="G6" s="56"/>
      <c r="H6" s="49"/>
      <c r="I6" s="50"/>
      <c r="J6" s="51"/>
      <c r="K6" s="194"/>
      <c r="L6" s="52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89"/>
      <c r="C7" s="190"/>
      <c r="D7" s="191"/>
      <c r="E7" s="192"/>
      <c r="F7" s="109"/>
      <c r="G7" s="56"/>
      <c r="H7" s="49"/>
      <c r="I7" s="50"/>
      <c r="J7" s="57"/>
      <c r="K7" s="102"/>
      <c r="L7" s="58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60"/>
      <c r="B8" s="2"/>
      <c r="C8" s="2"/>
      <c r="D8" s="2"/>
      <c r="E8" s="3"/>
      <c r="F8" s="61">
        <f t="shared" ref="F8:J8" si="1">SUM(F4:F7)</f>
        <v>0</v>
      </c>
      <c r="G8" s="61">
        <f t="shared" si="1"/>
        <v>5000</v>
      </c>
      <c r="H8" s="61">
        <f t="shared" si="1"/>
        <v>0</v>
      </c>
      <c r="I8" s="61">
        <f t="shared" si="1"/>
        <v>0</v>
      </c>
      <c r="J8" s="61">
        <f t="shared" si="1"/>
        <v>0</v>
      </c>
      <c r="K8" s="62"/>
      <c r="L8" s="62"/>
      <c r="M8" s="63"/>
    </row>
    <row r="9" ht="48.0" customHeight="1">
      <c r="F9" s="64">
        <f>F8+G8+H8+I8+J8</f>
        <v>5000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7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256" t="s">
        <v>15</v>
      </c>
      <c r="B4" s="259">
        <v>45978.0</v>
      </c>
      <c r="C4" s="32" t="s">
        <v>162</v>
      </c>
      <c r="D4" s="33">
        <v>88485.0</v>
      </c>
      <c r="E4" s="34" t="s">
        <v>159</v>
      </c>
      <c r="F4" s="248"/>
      <c r="G4" s="257"/>
      <c r="H4" s="160">
        <v>280.0</v>
      </c>
      <c r="I4" s="213"/>
      <c r="J4" s="214"/>
      <c r="K4" s="215" t="s">
        <v>33</v>
      </c>
      <c r="L4" s="216"/>
      <c r="M4" s="25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59">
        <v>45979.0</v>
      </c>
      <c r="C5" s="32" t="s">
        <v>163</v>
      </c>
      <c r="D5" s="33">
        <v>47787.0</v>
      </c>
      <c r="E5" s="34" t="s">
        <v>142</v>
      </c>
      <c r="F5" s="35">
        <v>10000.0</v>
      </c>
      <c r="G5" s="83"/>
      <c r="H5" s="37"/>
      <c r="I5" s="38"/>
      <c r="J5" s="39"/>
      <c r="K5" s="221"/>
      <c r="L5" s="222"/>
      <c r="M5" s="22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54"/>
      <c r="B6" s="189"/>
      <c r="C6" s="190"/>
      <c r="D6" s="191"/>
      <c r="E6" s="192"/>
      <c r="F6" s="193"/>
      <c r="G6" s="56"/>
      <c r="H6" s="49"/>
      <c r="I6" s="50"/>
      <c r="J6" s="51"/>
      <c r="K6" s="194"/>
      <c r="L6" s="52"/>
      <c r="M6" s="13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4"/>
      <c r="B7" s="189"/>
      <c r="C7" s="190"/>
      <c r="D7" s="191"/>
      <c r="E7" s="192"/>
      <c r="F7" s="109"/>
      <c r="G7" s="56"/>
      <c r="H7" s="49"/>
      <c r="I7" s="50"/>
      <c r="J7" s="57"/>
      <c r="K7" s="102"/>
      <c r="L7" s="58"/>
      <c r="M7" s="13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60"/>
      <c r="B8" s="2"/>
      <c r="C8" s="2"/>
      <c r="D8" s="2"/>
      <c r="E8" s="3"/>
      <c r="F8" s="61">
        <f t="shared" ref="F8:J8" si="1">SUM(F4:F7)</f>
        <v>10000</v>
      </c>
      <c r="G8" s="61">
        <f t="shared" si="1"/>
        <v>0</v>
      </c>
      <c r="H8" s="61">
        <f t="shared" si="1"/>
        <v>280</v>
      </c>
      <c r="I8" s="61">
        <f t="shared" si="1"/>
        <v>0</v>
      </c>
      <c r="J8" s="61">
        <f t="shared" si="1"/>
        <v>0</v>
      </c>
      <c r="K8" s="62"/>
      <c r="L8" s="62"/>
      <c r="M8" s="63"/>
    </row>
    <row r="9" ht="48.0" customHeight="1">
      <c r="F9" s="64">
        <f>F8+G8+H8+I8+J8</f>
        <v>10280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7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256" t="s">
        <v>15</v>
      </c>
      <c r="B4" s="259">
        <v>45980.0</v>
      </c>
      <c r="C4" s="32" t="s">
        <v>165</v>
      </c>
      <c r="D4" s="33">
        <v>45227.0</v>
      </c>
      <c r="E4" s="34" t="s">
        <v>166</v>
      </c>
      <c r="F4" s="174">
        <v>5100.0</v>
      </c>
      <c r="G4" s="257"/>
      <c r="H4" s="160"/>
      <c r="I4" s="213"/>
      <c r="J4" s="214"/>
      <c r="K4" s="215" t="s">
        <v>19</v>
      </c>
      <c r="L4" s="216"/>
      <c r="M4" s="25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59">
        <v>45980.0</v>
      </c>
      <c r="C5" s="32" t="s">
        <v>167</v>
      </c>
      <c r="D5" s="33">
        <v>103862.0</v>
      </c>
      <c r="E5" s="34" t="s">
        <v>168</v>
      </c>
      <c r="F5" s="35"/>
      <c r="G5" s="36">
        <v>2800.0</v>
      </c>
      <c r="H5" s="37"/>
      <c r="I5" s="38"/>
      <c r="J5" s="39"/>
      <c r="K5" s="40" t="s">
        <v>19</v>
      </c>
      <c r="L5" s="222"/>
      <c r="M5" s="42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>
        <v>45980.0</v>
      </c>
      <c r="C6" s="44" t="s">
        <v>169</v>
      </c>
      <c r="D6" s="45">
        <v>104269.0</v>
      </c>
      <c r="E6" s="46" t="s">
        <v>170</v>
      </c>
      <c r="F6" s="193"/>
      <c r="G6" s="48">
        <v>2800.0</v>
      </c>
      <c r="H6" s="49"/>
      <c r="I6" s="50"/>
      <c r="J6" s="51"/>
      <c r="K6" s="261" t="s">
        <v>19</v>
      </c>
      <c r="L6" s="52"/>
      <c r="M6" s="53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35</v>
      </c>
      <c r="B7" s="260">
        <v>45980.0</v>
      </c>
      <c r="C7" s="44" t="s">
        <v>171</v>
      </c>
      <c r="D7" s="45">
        <v>104270.0</v>
      </c>
      <c r="E7" s="46" t="s">
        <v>172</v>
      </c>
      <c r="F7" s="193"/>
      <c r="G7" s="48">
        <v>3250.0</v>
      </c>
      <c r="H7" s="49"/>
      <c r="I7" s="50"/>
      <c r="J7" s="51"/>
      <c r="K7" s="261" t="s">
        <v>19</v>
      </c>
      <c r="L7" s="52"/>
      <c r="M7" s="53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36</v>
      </c>
      <c r="B8" s="260">
        <v>45980.0</v>
      </c>
      <c r="C8" s="44" t="s">
        <v>173</v>
      </c>
      <c r="D8" s="45">
        <v>104272.0</v>
      </c>
      <c r="E8" s="46" t="s">
        <v>174</v>
      </c>
      <c r="F8" s="193"/>
      <c r="G8" s="48">
        <v>2700.0</v>
      </c>
      <c r="H8" s="49"/>
      <c r="I8" s="50"/>
      <c r="J8" s="51"/>
      <c r="K8" s="262" t="s">
        <v>19</v>
      </c>
      <c r="L8" s="52"/>
      <c r="M8" s="5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4"/>
      <c r="B9" s="189"/>
      <c r="C9" s="190"/>
      <c r="D9" s="191"/>
      <c r="E9" s="192"/>
      <c r="F9" s="109"/>
      <c r="G9" s="56"/>
      <c r="H9" s="49"/>
      <c r="I9" s="50"/>
      <c r="J9" s="57"/>
      <c r="K9" s="102"/>
      <c r="L9" s="58"/>
      <c r="M9" s="1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0"/>
      <c r="B10" s="2"/>
      <c r="C10" s="2"/>
      <c r="D10" s="2"/>
      <c r="E10" s="3"/>
      <c r="F10" s="61">
        <f t="shared" ref="F10:J10" si="1">SUM(F4:F9)</f>
        <v>5100</v>
      </c>
      <c r="G10" s="61">
        <f t="shared" si="1"/>
        <v>11550</v>
      </c>
      <c r="H10" s="61">
        <f t="shared" si="1"/>
        <v>0</v>
      </c>
      <c r="I10" s="61">
        <f t="shared" si="1"/>
        <v>0</v>
      </c>
      <c r="J10" s="61">
        <f t="shared" si="1"/>
        <v>0</v>
      </c>
      <c r="K10" s="62"/>
      <c r="L10" s="62"/>
      <c r="M10" s="63"/>
    </row>
    <row r="11" ht="48.0" customHeight="1">
      <c r="F11" s="64">
        <f>F10+G10+H10+I10+J10</f>
        <v>16650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263" t="s">
        <v>15</v>
      </c>
      <c r="B4" s="264">
        <v>45980.0</v>
      </c>
      <c r="C4" s="265" t="s">
        <v>176</v>
      </c>
      <c r="D4" s="266">
        <v>104312.0</v>
      </c>
      <c r="E4" s="267" t="s">
        <v>177</v>
      </c>
      <c r="F4" s="268">
        <v>300.0</v>
      </c>
      <c r="G4" s="269"/>
      <c r="H4" s="270"/>
      <c r="I4" s="271"/>
      <c r="J4" s="272"/>
      <c r="K4" s="273" t="s">
        <v>19</v>
      </c>
      <c r="L4" s="274" t="s">
        <v>178</v>
      </c>
      <c r="M4" s="275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59">
        <v>45981.0</v>
      </c>
      <c r="C5" s="32" t="s">
        <v>179</v>
      </c>
      <c r="D5" s="33">
        <v>21828.0</v>
      </c>
      <c r="E5" s="34" t="s">
        <v>99</v>
      </c>
      <c r="F5" s="35"/>
      <c r="G5" s="36">
        <v>5100.0</v>
      </c>
      <c r="H5" s="37"/>
      <c r="I5" s="38"/>
      <c r="J5" s="39"/>
      <c r="K5" s="40" t="s">
        <v>19</v>
      </c>
      <c r="L5" s="41" t="s">
        <v>180</v>
      </c>
      <c r="M5" s="42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/>
      <c r="B6" s="260"/>
      <c r="C6" s="44"/>
      <c r="D6" s="45"/>
      <c r="E6" s="46"/>
      <c r="F6" s="193"/>
      <c r="G6" s="48"/>
      <c r="H6" s="49"/>
      <c r="I6" s="50"/>
      <c r="J6" s="51"/>
      <c r="K6" s="261"/>
      <c r="L6" s="52"/>
      <c r="M6" s="53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260"/>
      <c r="C7" s="44"/>
      <c r="D7" s="45"/>
      <c r="E7" s="46"/>
      <c r="F7" s="193"/>
      <c r="G7" s="48"/>
      <c r="H7" s="49"/>
      <c r="I7" s="50"/>
      <c r="J7" s="51"/>
      <c r="K7" s="261"/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189"/>
      <c r="C8" s="190"/>
      <c r="D8" s="191"/>
      <c r="E8" s="192"/>
      <c r="F8" s="109"/>
      <c r="G8" s="56"/>
      <c r="H8" s="49"/>
      <c r="I8" s="50"/>
      <c r="J8" s="57"/>
      <c r="K8" s="102"/>
      <c r="L8" s="58"/>
      <c r="M8" s="13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300</v>
      </c>
      <c r="G9" s="61">
        <f t="shared" si="1"/>
        <v>5100</v>
      </c>
      <c r="H9" s="61">
        <f t="shared" si="1"/>
        <v>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5400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>
        <v>45983.0</v>
      </c>
      <c r="C4" s="18" t="s">
        <v>182</v>
      </c>
      <c r="D4" s="19">
        <v>10006.0</v>
      </c>
      <c r="E4" s="20" t="s">
        <v>85</v>
      </c>
      <c r="F4" s="21">
        <v>4500.0</v>
      </c>
      <c r="G4" s="22"/>
      <c r="H4" s="23"/>
      <c r="I4" s="24"/>
      <c r="J4" s="25"/>
      <c r="K4" s="26" t="s">
        <v>19</v>
      </c>
      <c r="L4" s="27" t="s">
        <v>183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>
        <v>45983.0</v>
      </c>
      <c r="C5" s="32" t="s">
        <v>184</v>
      </c>
      <c r="D5" s="33">
        <v>50342.0</v>
      </c>
      <c r="E5" s="34" t="s">
        <v>42</v>
      </c>
      <c r="F5" s="35">
        <v>2500.0</v>
      </c>
      <c r="G5" s="36"/>
      <c r="H5" s="37"/>
      <c r="I5" s="38"/>
      <c r="J5" s="39"/>
      <c r="K5" s="40" t="s">
        <v>43</v>
      </c>
      <c r="L5" s="41" t="s">
        <v>185</v>
      </c>
      <c r="M5" s="42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/>
      <c r="B6" s="43"/>
      <c r="C6" s="44"/>
      <c r="D6" s="45"/>
      <c r="E6" s="46"/>
      <c r="F6" s="47"/>
      <c r="G6" s="48"/>
      <c r="H6" s="49"/>
      <c r="I6" s="50"/>
      <c r="J6" s="51"/>
      <c r="K6" s="40"/>
      <c r="L6" s="52"/>
      <c r="M6" s="53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43"/>
      <c r="C7" s="44"/>
      <c r="D7" s="45"/>
      <c r="E7" s="46"/>
      <c r="F7" s="47"/>
      <c r="G7" s="48"/>
      <c r="H7" s="49"/>
      <c r="I7" s="50"/>
      <c r="J7" s="51"/>
      <c r="K7" s="40"/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43"/>
      <c r="C8" s="44"/>
      <c r="D8" s="45"/>
      <c r="E8" s="46"/>
      <c r="F8" s="55"/>
      <c r="G8" s="56"/>
      <c r="H8" s="49"/>
      <c r="I8" s="50"/>
      <c r="J8" s="57"/>
      <c r="K8" s="40"/>
      <c r="L8" s="58"/>
      <c r="M8" s="11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7000</v>
      </c>
      <c r="G9" s="61">
        <f t="shared" si="1"/>
        <v>0</v>
      </c>
      <c r="H9" s="61">
        <f t="shared" si="1"/>
        <v>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7000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 t="s">
        <v>187</v>
      </c>
      <c r="C4" s="18" t="s">
        <v>188</v>
      </c>
      <c r="D4" s="19">
        <v>10008.0</v>
      </c>
      <c r="E4" s="20" t="s">
        <v>189</v>
      </c>
      <c r="F4" s="21"/>
      <c r="G4" s="22">
        <v>300.0</v>
      </c>
      <c r="H4" s="23"/>
      <c r="I4" s="24"/>
      <c r="J4" s="25"/>
      <c r="K4" s="26" t="s">
        <v>19</v>
      </c>
      <c r="L4" s="27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31" t="s">
        <v>190</v>
      </c>
      <c r="C5" s="32" t="s">
        <v>191</v>
      </c>
      <c r="D5" s="33">
        <v>85172.0</v>
      </c>
      <c r="E5" s="34" t="s">
        <v>192</v>
      </c>
      <c r="F5" s="35"/>
      <c r="G5" s="36"/>
      <c r="H5" s="241">
        <v>34500.0</v>
      </c>
      <c r="I5" s="38"/>
      <c r="J5" s="39"/>
      <c r="K5" s="40" t="s">
        <v>43</v>
      </c>
      <c r="L5" s="41"/>
      <c r="M5" s="42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/>
      <c r="B6" s="43"/>
      <c r="C6" s="44"/>
      <c r="D6" s="45"/>
      <c r="E6" s="46"/>
      <c r="F6" s="47"/>
      <c r="G6" s="48"/>
      <c r="H6" s="49"/>
      <c r="I6" s="50"/>
      <c r="J6" s="51"/>
      <c r="K6" s="40"/>
      <c r="L6" s="52"/>
      <c r="M6" s="53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43"/>
      <c r="C7" s="44"/>
      <c r="D7" s="45"/>
      <c r="E7" s="46"/>
      <c r="F7" s="47"/>
      <c r="G7" s="48"/>
      <c r="H7" s="49"/>
      <c r="I7" s="50"/>
      <c r="J7" s="51"/>
      <c r="K7" s="40"/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4"/>
      <c r="B8" s="43"/>
      <c r="C8" s="44"/>
      <c r="D8" s="45"/>
      <c r="E8" s="46"/>
      <c r="F8" s="55"/>
      <c r="G8" s="56"/>
      <c r="H8" s="49"/>
      <c r="I8" s="50"/>
      <c r="J8" s="57"/>
      <c r="K8" s="40"/>
      <c r="L8" s="58"/>
      <c r="M8" s="11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0</v>
      </c>
      <c r="G9" s="61">
        <f t="shared" si="1"/>
        <v>300</v>
      </c>
      <c r="H9" s="61">
        <f t="shared" si="1"/>
        <v>34500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34800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>
        <v>45985.0</v>
      </c>
      <c r="C4" s="18" t="s">
        <v>194</v>
      </c>
      <c r="D4" s="19">
        <v>59793.0</v>
      </c>
      <c r="E4" s="20" t="s">
        <v>195</v>
      </c>
      <c r="F4" s="21"/>
      <c r="G4" s="22"/>
      <c r="H4" s="23">
        <v>300.0</v>
      </c>
      <c r="I4" s="24"/>
      <c r="J4" s="25"/>
      <c r="K4" s="26" t="s">
        <v>19</v>
      </c>
      <c r="L4" s="27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>
        <v>45985.0</v>
      </c>
      <c r="C5" s="32" t="s">
        <v>196</v>
      </c>
      <c r="D5" s="33">
        <v>59793.0</v>
      </c>
      <c r="E5" s="34" t="s">
        <v>195</v>
      </c>
      <c r="F5" s="35">
        <v>5000.0</v>
      </c>
      <c r="G5" s="36"/>
      <c r="H5" s="241"/>
      <c r="I5" s="38"/>
      <c r="J5" s="39"/>
      <c r="K5" s="40" t="s">
        <v>43</v>
      </c>
      <c r="L5" s="41"/>
      <c r="M5" s="42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>
        <v>45985.0</v>
      </c>
      <c r="C6" s="44" t="s">
        <v>197</v>
      </c>
      <c r="D6" s="45">
        <v>105015.0</v>
      </c>
      <c r="E6" s="46" t="s">
        <v>198</v>
      </c>
      <c r="F6" s="47">
        <v>2950.0</v>
      </c>
      <c r="G6" s="48"/>
      <c r="H6" s="49"/>
      <c r="I6" s="50"/>
      <c r="J6" s="51"/>
      <c r="K6" s="40"/>
      <c r="L6" s="52"/>
      <c r="M6" s="53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35</v>
      </c>
      <c r="B7" s="260">
        <v>45985.0</v>
      </c>
      <c r="C7" s="44" t="s">
        <v>199</v>
      </c>
      <c r="D7" s="45">
        <v>105016.0</v>
      </c>
      <c r="E7" s="46" t="s">
        <v>200</v>
      </c>
      <c r="F7" s="47">
        <v>2950.0</v>
      </c>
      <c r="G7" s="48"/>
      <c r="H7" s="49"/>
      <c r="I7" s="50"/>
      <c r="J7" s="51"/>
      <c r="K7" s="40"/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36</v>
      </c>
      <c r="B8" s="260">
        <v>45985.0</v>
      </c>
      <c r="C8" s="44" t="s">
        <v>201</v>
      </c>
      <c r="D8" s="45">
        <v>105021.0</v>
      </c>
      <c r="E8" s="46" t="s">
        <v>202</v>
      </c>
      <c r="F8" s="55"/>
      <c r="G8" s="56"/>
      <c r="H8" s="278">
        <v>300.0</v>
      </c>
      <c r="I8" s="50"/>
      <c r="J8" s="57"/>
      <c r="K8" s="40"/>
      <c r="L8" s="58"/>
      <c r="M8" s="11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10900</v>
      </c>
      <c r="G9" s="61">
        <f t="shared" si="1"/>
        <v>0</v>
      </c>
      <c r="H9" s="61">
        <f t="shared" si="1"/>
        <v>600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11500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>
        <v>45986.0</v>
      </c>
      <c r="C4" s="18" t="s">
        <v>204</v>
      </c>
      <c r="D4" s="19">
        <v>30613.0</v>
      </c>
      <c r="E4" s="20" t="s">
        <v>205</v>
      </c>
      <c r="F4" s="279">
        <v>1400.0</v>
      </c>
      <c r="G4" s="22"/>
      <c r="H4" s="23"/>
      <c r="I4" s="24"/>
      <c r="J4" s="25"/>
      <c r="K4" s="26" t="s">
        <v>19</v>
      </c>
      <c r="L4" s="27">
        <v>8.33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>
        <v>45986.0</v>
      </c>
      <c r="C5" s="32" t="s">
        <v>206</v>
      </c>
      <c r="D5" s="33">
        <v>83352.0</v>
      </c>
      <c r="E5" s="34" t="s">
        <v>55</v>
      </c>
      <c r="F5" s="280">
        <v>25600.0</v>
      </c>
      <c r="G5" s="36"/>
      <c r="H5" s="241"/>
      <c r="I5" s="38"/>
      <c r="J5" s="39"/>
      <c r="K5" s="26" t="s">
        <v>19</v>
      </c>
      <c r="L5" s="41">
        <v>9.54</v>
      </c>
      <c r="M5" s="42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>
        <v>45986.0</v>
      </c>
      <c r="C6" s="44" t="s">
        <v>207</v>
      </c>
      <c r="D6" s="45">
        <v>43380.0</v>
      </c>
      <c r="E6" s="46" t="s">
        <v>52</v>
      </c>
      <c r="F6" s="281">
        <v>10000.0</v>
      </c>
      <c r="G6" s="48"/>
      <c r="H6" s="49"/>
      <c r="I6" s="50"/>
      <c r="J6" s="51"/>
      <c r="K6" s="26" t="s">
        <v>19</v>
      </c>
      <c r="L6" s="282">
        <v>12.53</v>
      </c>
      <c r="M6" s="53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35</v>
      </c>
      <c r="B7" s="260"/>
      <c r="C7" s="44"/>
      <c r="D7" s="45"/>
      <c r="E7" s="46"/>
      <c r="F7" s="47"/>
      <c r="G7" s="48"/>
      <c r="H7" s="49"/>
      <c r="I7" s="50"/>
      <c r="J7" s="51"/>
      <c r="K7" s="40"/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36</v>
      </c>
      <c r="B8" s="260"/>
      <c r="C8" s="44"/>
      <c r="D8" s="45"/>
      <c r="E8" s="46"/>
      <c r="F8" s="55"/>
      <c r="G8" s="56"/>
      <c r="H8" s="278"/>
      <c r="I8" s="50"/>
      <c r="J8" s="57"/>
      <c r="K8" s="40"/>
      <c r="L8" s="58"/>
      <c r="M8" s="11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37000</v>
      </c>
      <c r="G9" s="61">
        <f t="shared" si="1"/>
        <v>0</v>
      </c>
      <c r="H9" s="61">
        <f t="shared" si="1"/>
        <v>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37000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/>
      <c r="C4" s="18"/>
      <c r="D4" s="19"/>
      <c r="E4" s="20"/>
      <c r="F4" s="279"/>
      <c r="G4" s="22"/>
      <c r="H4" s="23"/>
      <c r="I4" s="24"/>
      <c r="J4" s="25"/>
      <c r="K4" s="26"/>
      <c r="L4" s="27"/>
      <c r="M4" s="28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/>
      <c r="C5" s="32"/>
      <c r="D5" s="33"/>
      <c r="E5" s="283" t="s">
        <v>156</v>
      </c>
      <c r="F5" s="280"/>
      <c r="G5" s="36"/>
      <c r="H5" s="241"/>
      <c r="I5" s="38"/>
      <c r="J5" s="39"/>
      <c r="K5" s="26"/>
      <c r="L5" s="41"/>
      <c r="M5" s="42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/>
      <c r="C6" s="44"/>
      <c r="D6" s="45"/>
      <c r="E6" s="46"/>
      <c r="F6" s="281"/>
      <c r="G6" s="48"/>
      <c r="H6" s="49"/>
      <c r="I6" s="50"/>
      <c r="J6" s="51"/>
      <c r="K6" s="26"/>
      <c r="L6" s="282"/>
      <c r="M6" s="53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35</v>
      </c>
      <c r="B7" s="260"/>
      <c r="C7" s="44"/>
      <c r="D7" s="45"/>
      <c r="E7" s="46"/>
      <c r="F7" s="47"/>
      <c r="G7" s="48"/>
      <c r="H7" s="49"/>
      <c r="I7" s="50"/>
      <c r="J7" s="51"/>
      <c r="K7" s="40"/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36</v>
      </c>
      <c r="B8" s="260"/>
      <c r="C8" s="44"/>
      <c r="D8" s="45"/>
      <c r="E8" s="46"/>
      <c r="F8" s="55"/>
      <c r="G8" s="56"/>
      <c r="H8" s="278"/>
      <c r="I8" s="50"/>
      <c r="J8" s="57"/>
      <c r="K8" s="40"/>
      <c r="L8" s="58"/>
      <c r="M8" s="11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0</v>
      </c>
      <c r="G9" s="61">
        <f t="shared" si="1"/>
        <v>0</v>
      </c>
      <c r="H9" s="61">
        <f t="shared" si="1"/>
        <v>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>
        <v>45988.0</v>
      </c>
      <c r="C4" s="18" t="s">
        <v>210</v>
      </c>
      <c r="D4" s="19">
        <v>97731.0</v>
      </c>
      <c r="E4" s="20" t="s">
        <v>211</v>
      </c>
      <c r="F4" s="279">
        <v>9600.0</v>
      </c>
      <c r="G4" s="22"/>
      <c r="H4" s="23"/>
      <c r="I4" s="24"/>
      <c r="J4" s="25"/>
      <c r="K4" s="26" t="s">
        <v>212</v>
      </c>
      <c r="L4" s="27" t="s">
        <v>213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>
        <v>45988.0</v>
      </c>
      <c r="C5" s="32" t="s">
        <v>214</v>
      </c>
      <c r="D5" s="33">
        <v>97731.0</v>
      </c>
      <c r="E5" s="20" t="s">
        <v>211</v>
      </c>
      <c r="F5" s="280">
        <v>600.0</v>
      </c>
      <c r="G5" s="36"/>
      <c r="H5" s="241"/>
      <c r="I5" s="38"/>
      <c r="J5" s="39"/>
      <c r="K5" s="26" t="s">
        <v>212</v>
      </c>
      <c r="L5" s="41" t="s">
        <v>215</v>
      </c>
      <c r="M5" s="42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>
        <v>45988.0</v>
      </c>
      <c r="C6" s="44" t="s">
        <v>216</v>
      </c>
      <c r="D6" s="45">
        <v>97731.0</v>
      </c>
      <c r="E6" s="46" t="s">
        <v>211</v>
      </c>
      <c r="F6" s="281">
        <v>4500.0</v>
      </c>
      <c r="G6" s="48"/>
      <c r="H6" s="49"/>
      <c r="I6" s="50"/>
      <c r="J6" s="51"/>
      <c r="K6" s="26" t="s">
        <v>212</v>
      </c>
      <c r="L6" s="282" t="s">
        <v>217</v>
      </c>
      <c r="M6" s="5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260"/>
      <c r="C7" s="44"/>
      <c r="D7" s="45"/>
      <c r="E7" s="46"/>
      <c r="F7" s="47"/>
      <c r="G7" s="48"/>
      <c r="H7" s="49"/>
      <c r="I7" s="50"/>
      <c r="J7" s="51"/>
      <c r="K7" s="40"/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260"/>
      <c r="C8" s="44"/>
      <c r="D8" s="45"/>
      <c r="E8" s="46"/>
      <c r="F8" s="55"/>
      <c r="G8" s="56"/>
      <c r="H8" s="278"/>
      <c r="I8" s="50"/>
      <c r="J8" s="57"/>
      <c r="K8" s="40"/>
      <c r="L8" s="58"/>
      <c r="M8" s="11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0"/>
      <c r="B9" s="2"/>
      <c r="C9" s="2"/>
      <c r="D9" s="2"/>
      <c r="E9" s="3"/>
      <c r="F9" s="61">
        <f t="shared" ref="F9:J9" si="1">SUM(F4:F8)</f>
        <v>14700</v>
      </c>
      <c r="G9" s="61">
        <f t="shared" si="1"/>
        <v>0</v>
      </c>
      <c r="H9" s="61">
        <f t="shared" si="1"/>
        <v>0</v>
      </c>
      <c r="I9" s="61">
        <f t="shared" si="1"/>
        <v>0</v>
      </c>
      <c r="J9" s="61">
        <f t="shared" si="1"/>
        <v>0</v>
      </c>
      <c r="K9" s="62"/>
      <c r="L9" s="62"/>
      <c r="M9" s="63"/>
    </row>
    <row r="10" ht="48.0" customHeight="1">
      <c r="F10" s="64">
        <f>F9+G9+H9+I9+J9</f>
        <v>14700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>
        <v>45988.0</v>
      </c>
      <c r="C4" s="18" t="s">
        <v>219</v>
      </c>
      <c r="D4" s="19">
        <v>10006.0</v>
      </c>
      <c r="E4" s="20" t="s">
        <v>85</v>
      </c>
      <c r="F4" s="279"/>
      <c r="G4" s="22"/>
      <c r="H4" s="23">
        <v>300.0</v>
      </c>
      <c r="I4" s="24"/>
      <c r="J4" s="25"/>
      <c r="K4" s="26" t="s">
        <v>212</v>
      </c>
      <c r="L4" s="27" t="s">
        <v>213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>
        <v>45989.0</v>
      </c>
      <c r="C5" s="32" t="s">
        <v>220</v>
      </c>
      <c r="D5" s="33">
        <v>80066.0</v>
      </c>
      <c r="E5" s="20" t="s">
        <v>221</v>
      </c>
      <c r="F5" s="280"/>
      <c r="G5" s="36"/>
      <c r="H5" s="241">
        <v>5100.0</v>
      </c>
      <c r="I5" s="38"/>
      <c r="J5" s="39"/>
      <c r="K5" s="26" t="s">
        <v>212</v>
      </c>
      <c r="L5" s="41" t="s">
        <v>215</v>
      </c>
      <c r="M5" s="42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>
        <v>45989.0</v>
      </c>
      <c r="C6" s="44" t="s">
        <v>222</v>
      </c>
      <c r="D6" s="45">
        <v>97731.0</v>
      </c>
      <c r="E6" s="46" t="s">
        <v>211</v>
      </c>
      <c r="F6" s="281"/>
      <c r="G6" s="48"/>
      <c r="H6" s="278">
        <v>300.0</v>
      </c>
      <c r="I6" s="50"/>
      <c r="J6" s="51"/>
      <c r="K6" s="26" t="s">
        <v>212</v>
      </c>
      <c r="L6" s="282" t="s">
        <v>217</v>
      </c>
      <c r="M6" s="5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35</v>
      </c>
      <c r="B7" s="260">
        <v>45989.0</v>
      </c>
      <c r="C7" s="44" t="s">
        <v>223</v>
      </c>
      <c r="D7" s="45">
        <v>105729.0</v>
      </c>
      <c r="E7" s="46" t="s">
        <v>224</v>
      </c>
      <c r="F7" s="47">
        <v>3050.0</v>
      </c>
      <c r="G7" s="48"/>
      <c r="H7" s="49"/>
      <c r="I7" s="50"/>
      <c r="J7" s="51"/>
      <c r="K7" s="26" t="s">
        <v>212</v>
      </c>
      <c r="L7" s="52"/>
      <c r="M7" s="5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36</v>
      </c>
      <c r="B8" s="260">
        <v>45989.0</v>
      </c>
      <c r="C8" s="44" t="s">
        <v>225</v>
      </c>
      <c r="D8" s="45">
        <v>68284.0</v>
      </c>
      <c r="E8" s="46" t="s">
        <v>123</v>
      </c>
      <c r="F8" s="55">
        <v>6770.0</v>
      </c>
      <c r="G8" s="56"/>
      <c r="H8" s="278"/>
      <c r="I8" s="50"/>
      <c r="J8" s="57"/>
      <c r="K8" s="26" t="s">
        <v>212</v>
      </c>
      <c r="L8" s="58"/>
      <c r="M8" s="11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57</v>
      </c>
      <c r="B9" s="260">
        <v>45989.0</v>
      </c>
      <c r="C9" s="44" t="s">
        <v>226</v>
      </c>
      <c r="D9" s="45">
        <v>103853.0</v>
      </c>
      <c r="E9" s="46" t="s">
        <v>227</v>
      </c>
      <c r="F9" s="55">
        <v>2400.0</v>
      </c>
      <c r="G9" s="284"/>
      <c r="H9" s="278"/>
      <c r="I9" s="50"/>
      <c r="J9" s="57"/>
      <c r="K9" s="26" t="s">
        <v>212</v>
      </c>
      <c r="L9" s="58"/>
      <c r="M9" s="114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58</v>
      </c>
      <c r="B10" s="260">
        <v>45989.0</v>
      </c>
      <c r="C10" s="44" t="s">
        <v>228</v>
      </c>
      <c r="D10" s="45">
        <v>105558.0</v>
      </c>
      <c r="E10" s="46" t="s">
        <v>229</v>
      </c>
      <c r="F10" s="55">
        <v>2400.0</v>
      </c>
      <c r="G10" s="284"/>
      <c r="H10" s="278"/>
      <c r="I10" s="50"/>
      <c r="J10" s="57"/>
      <c r="K10" s="26" t="s">
        <v>212</v>
      </c>
      <c r="L10" s="58"/>
      <c r="M10" s="114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59</v>
      </c>
      <c r="B11" s="260">
        <v>45989.0</v>
      </c>
      <c r="C11" s="44" t="s">
        <v>230</v>
      </c>
      <c r="D11" s="45">
        <v>105559.0</v>
      </c>
      <c r="E11" s="46" t="s">
        <v>231</v>
      </c>
      <c r="F11" s="55">
        <v>2400.0</v>
      </c>
      <c r="G11" s="284"/>
      <c r="H11" s="278"/>
      <c r="I11" s="50"/>
      <c r="J11" s="57"/>
      <c r="K11" s="26" t="s">
        <v>212</v>
      </c>
      <c r="L11" s="58"/>
      <c r="M11" s="114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60</v>
      </c>
      <c r="B12" s="260">
        <v>45989.0</v>
      </c>
      <c r="C12" s="44" t="s">
        <v>232</v>
      </c>
      <c r="D12" s="45">
        <v>105565.0</v>
      </c>
      <c r="E12" s="46" t="s">
        <v>233</v>
      </c>
      <c r="F12" s="55">
        <v>2500.0</v>
      </c>
      <c r="G12" s="284"/>
      <c r="H12" s="278"/>
      <c r="I12" s="50"/>
      <c r="J12" s="57"/>
      <c r="K12" s="26" t="s">
        <v>212</v>
      </c>
      <c r="L12" s="58"/>
      <c r="M12" s="114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0"/>
      <c r="B13" s="2"/>
      <c r="C13" s="2"/>
      <c r="D13" s="2"/>
      <c r="E13" s="3"/>
      <c r="F13" s="61">
        <f>F4+F5+F6+F7+F8+F9+F10+F11+F12</f>
        <v>19520</v>
      </c>
      <c r="G13" s="61">
        <f t="shared" ref="G13:J13" si="1">SUM(G4:G8)</f>
        <v>0</v>
      </c>
      <c r="H13" s="61">
        <f t="shared" si="1"/>
        <v>5700</v>
      </c>
      <c r="I13" s="61">
        <f t="shared" si="1"/>
        <v>0</v>
      </c>
      <c r="J13" s="61">
        <f t="shared" si="1"/>
        <v>0</v>
      </c>
      <c r="K13" s="62"/>
      <c r="L13" s="62"/>
      <c r="M13" s="63"/>
    </row>
    <row r="14" ht="48.0" customHeight="1">
      <c r="F14" s="64">
        <f>F13+G13+H13+I13+J13</f>
        <v>25220</v>
      </c>
      <c r="G14" s="2"/>
      <c r="H14" s="2"/>
      <c r="I14" s="2"/>
      <c r="J1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>
        <v>45989.0</v>
      </c>
      <c r="C4" s="18" t="s">
        <v>235</v>
      </c>
      <c r="D4" s="19">
        <v>10008.0</v>
      </c>
      <c r="E4" s="285" t="s">
        <v>189</v>
      </c>
      <c r="F4" s="279"/>
      <c r="G4" s="22">
        <v>300.0</v>
      </c>
      <c r="H4" s="23"/>
      <c r="I4" s="24"/>
      <c r="J4" s="25"/>
      <c r="K4" s="26" t="s">
        <v>19</v>
      </c>
      <c r="L4" s="286" t="s">
        <v>236</v>
      </c>
      <c r="M4" s="287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>
        <v>45990.0</v>
      </c>
      <c r="C5" s="32" t="s">
        <v>237</v>
      </c>
      <c r="D5" s="33">
        <v>10006.0</v>
      </c>
      <c r="E5" s="285" t="s">
        <v>85</v>
      </c>
      <c r="F5" s="280">
        <v>300.0</v>
      </c>
      <c r="G5" s="36"/>
      <c r="H5" s="241"/>
      <c r="I5" s="38"/>
      <c r="J5" s="39"/>
      <c r="K5" s="26" t="s">
        <v>19</v>
      </c>
      <c r="L5" s="288" t="s">
        <v>238</v>
      </c>
      <c r="M5" s="289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>
        <v>45990.0</v>
      </c>
      <c r="C6" s="44" t="s">
        <v>239</v>
      </c>
      <c r="D6" s="45">
        <v>59793.0</v>
      </c>
      <c r="E6" s="290" t="s">
        <v>195</v>
      </c>
      <c r="F6" s="281">
        <v>300.0</v>
      </c>
      <c r="G6" s="48"/>
      <c r="H6" s="278"/>
      <c r="I6" s="50"/>
      <c r="J6" s="51"/>
      <c r="K6" s="26" t="s">
        <v>19</v>
      </c>
      <c r="L6" s="286" t="s">
        <v>240</v>
      </c>
      <c r="M6" s="291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35</v>
      </c>
      <c r="B7" s="260">
        <v>45990.0</v>
      </c>
      <c r="C7" s="44" t="s">
        <v>241</v>
      </c>
      <c r="D7" s="45">
        <v>105968.0</v>
      </c>
      <c r="E7" s="290" t="s">
        <v>242</v>
      </c>
      <c r="F7" s="47">
        <v>4500.0</v>
      </c>
      <c r="G7" s="48"/>
      <c r="H7" s="49"/>
      <c r="I7" s="50"/>
      <c r="J7" s="51"/>
      <c r="K7" s="26" t="s">
        <v>19</v>
      </c>
      <c r="L7" s="286" t="s">
        <v>243</v>
      </c>
      <c r="M7" s="291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36</v>
      </c>
      <c r="B8" s="260">
        <v>45990.0</v>
      </c>
      <c r="C8" s="44" t="s">
        <v>244</v>
      </c>
      <c r="D8" s="45">
        <v>69346.0</v>
      </c>
      <c r="E8" s="290" t="s">
        <v>245</v>
      </c>
      <c r="F8" s="55">
        <v>2500.0</v>
      </c>
      <c r="G8" s="56"/>
      <c r="H8" s="278"/>
      <c r="I8" s="50"/>
      <c r="J8" s="57"/>
      <c r="K8" s="26" t="s">
        <v>19</v>
      </c>
      <c r="L8" s="286" t="s">
        <v>246</v>
      </c>
      <c r="M8" s="291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57</v>
      </c>
      <c r="B9" s="260">
        <v>45990.0</v>
      </c>
      <c r="C9" s="44" t="s">
        <v>247</v>
      </c>
      <c r="D9" s="45">
        <v>57201.0</v>
      </c>
      <c r="E9" s="290" t="s">
        <v>248</v>
      </c>
      <c r="F9" s="55">
        <v>6000.0</v>
      </c>
      <c r="G9" s="284"/>
      <c r="H9" s="278"/>
      <c r="I9" s="50"/>
      <c r="J9" s="57"/>
      <c r="K9" s="26" t="s">
        <v>43</v>
      </c>
      <c r="L9" s="286" t="s">
        <v>249</v>
      </c>
      <c r="M9" s="291" t="s">
        <v>44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58</v>
      </c>
      <c r="B10" s="260">
        <v>45990.0</v>
      </c>
      <c r="C10" s="44" t="s">
        <v>250</v>
      </c>
      <c r="D10" s="45">
        <v>30895.0</v>
      </c>
      <c r="E10" s="290" t="s">
        <v>251</v>
      </c>
      <c r="F10" s="55">
        <v>12900.0</v>
      </c>
      <c r="G10" s="284"/>
      <c r="H10" s="278"/>
      <c r="I10" s="50"/>
      <c r="J10" s="57"/>
      <c r="K10" s="26" t="s">
        <v>19</v>
      </c>
      <c r="L10" s="286" t="s">
        <v>252</v>
      </c>
      <c r="M10" s="291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260"/>
      <c r="C11" s="44"/>
      <c r="D11" s="45"/>
      <c r="E11" s="46"/>
      <c r="F11" s="55"/>
      <c r="G11" s="284"/>
      <c r="H11" s="278"/>
      <c r="I11" s="50"/>
      <c r="J11" s="57"/>
      <c r="K11" s="26"/>
      <c r="L11" s="58"/>
      <c r="M11" s="114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/>
      <c r="B12" s="260"/>
      <c r="C12" s="44"/>
      <c r="D12" s="45"/>
      <c r="E12" s="46"/>
      <c r="F12" s="55"/>
      <c r="G12" s="284"/>
      <c r="H12" s="278"/>
      <c r="I12" s="50"/>
      <c r="J12" s="57"/>
      <c r="K12" s="26"/>
      <c r="L12" s="58"/>
      <c r="M12" s="114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0"/>
      <c r="B13" s="2"/>
      <c r="C13" s="2"/>
      <c r="D13" s="2"/>
      <c r="E13" s="3"/>
      <c r="F13" s="61">
        <f>F4+F5+F6+F7+F8+F9+F10+F11+F12</f>
        <v>26500</v>
      </c>
      <c r="G13" s="61">
        <f t="shared" ref="G13:J13" si="1">SUM(G4:G8)</f>
        <v>300</v>
      </c>
      <c r="H13" s="61">
        <f t="shared" si="1"/>
        <v>0</v>
      </c>
      <c r="I13" s="61">
        <f t="shared" si="1"/>
        <v>0</v>
      </c>
      <c r="J13" s="61">
        <f t="shared" si="1"/>
        <v>0</v>
      </c>
      <c r="K13" s="62"/>
      <c r="L13" s="62"/>
      <c r="M13" s="63"/>
    </row>
    <row r="14" ht="48.0" customHeight="1">
      <c r="F14" s="64">
        <f>F13+G13+H13+I13+J13</f>
        <v>26800</v>
      </c>
      <c r="G14" s="2"/>
      <c r="H14" s="2"/>
      <c r="I14" s="2"/>
      <c r="J1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9.88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76">
        <v>45990.0</v>
      </c>
      <c r="C4" s="18" t="s">
        <v>254</v>
      </c>
      <c r="D4" s="19">
        <v>51660.0</v>
      </c>
      <c r="E4" s="285" t="s">
        <v>46</v>
      </c>
      <c r="F4" s="292">
        <v>4500.0</v>
      </c>
      <c r="G4" s="22"/>
      <c r="H4" s="23"/>
      <c r="I4" s="24"/>
      <c r="J4" s="25"/>
      <c r="K4" s="26" t="s">
        <v>19</v>
      </c>
      <c r="L4" s="286"/>
      <c r="M4" s="287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77">
        <v>45990.0</v>
      </c>
      <c r="C5" s="32" t="s">
        <v>255</v>
      </c>
      <c r="D5" s="33">
        <v>45937.0</v>
      </c>
      <c r="E5" s="285" t="s">
        <v>256</v>
      </c>
      <c r="F5" s="293">
        <v>22050.0</v>
      </c>
      <c r="G5" s="36"/>
      <c r="H5" s="241"/>
      <c r="I5" s="38"/>
      <c r="J5" s="39"/>
      <c r="K5" s="26" t="s">
        <v>19</v>
      </c>
      <c r="L5" s="288"/>
      <c r="M5" s="289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34</v>
      </c>
      <c r="B6" s="260">
        <v>45990.0</v>
      </c>
      <c r="C6" s="44" t="s">
        <v>257</v>
      </c>
      <c r="D6" s="45">
        <v>45937.0</v>
      </c>
      <c r="E6" s="290" t="s">
        <v>256</v>
      </c>
      <c r="F6" s="294">
        <v>2700.0</v>
      </c>
      <c r="G6" s="48"/>
      <c r="H6" s="278"/>
      <c r="I6" s="50"/>
      <c r="J6" s="51"/>
      <c r="K6" s="26" t="s">
        <v>19</v>
      </c>
      <c r="L6" s="286"/>
      <c r="M6" s="291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35</v>
      </c>
      <c r="B7" s="260">
        <v>45991.0</v>
      </c>
      <c r="C7" s="44" t="s">
        <v>258</v>
      </c>
      <c r="D7" s="45">
        <v>10006.0</v>
      </c>
      <c r="E7" s="290" t="s">
        <v>85</v>
      </c>
      <c r="F7" s="294">
        <v>2400.0</v>
      </c>
      <c r="G7" s="48"/>
      <c r="H7" s="49"/>
      <c r="I7" s="50"/>
      <c r="J7" s="51"/>
      <c r="K7" s="26" t="s">
        <v>19</v>
      </c>
      <c r="L7" s="286"/>
      <c r="M7" s="291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36</v>
      </c>
      <c r="B8" s="260">
        <v>45991.0</v>
      </c>
      <c r="C8" s="44" t="s">
        <v>259</v>
      </c>
      <c r="D8" s="45">
        <v>21821.0</v>
      </c>
      <c r="E8" s="290" t="s">
        <v>260</v>
      </c>
      <c r="F8" s="295">
        <v>41400.0</v>
      </c>
      <c r="G8" s="56"/>
      <c r="H8" s="278"/>
      <c r="I8" s="50"/>
      <c r="J8" s="57"/>
      <c r="K8" s="26" t="s">
        <v>19</v>
      </c>
      <c r="L8" s="286"/>
      <c r="M8" s="291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57</v>
      </c>
      <c r="B9" s="260">
        <v>45991.0</v>
      </c>
      <c r="C9" s="44" t="s">
        <v>261</v>
      </c>
      <c r="D9" s="45">
        <v>55864.0</v>
      </c>
      <c r="E9" s="290" t="s">
        <v>262</v>
      </c>
      <c r="F9" s="295"/>
      <c r="G9" s="284"/>
      <c r="H9" s="278">
        <v>2600.0</v>
      </c>
      <c r="I9" s="50"/>
      <c r="J9" s="57"/>
      <c r="K9" s="26" t="s">
        <v>19</v>
      </c>
      <c r="L9" s="286"/>
      <c r="M9" s="291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58</v>
      </c>
      <c r="B10" s="260">
        <v>45991.0</v>
      </c>
      <c r="C10" s="44" t="s">
        <v>263</v>
      </c>
      <c r="D10" s="45">
        <v>52669.0</v>
      </c>
      <c r="E10" s="290" t="s">
        <v>18</v>
      </c>
      <c r="F10" s="295">
        <v>10200.0</v>
      </c>
      <c r="G10" s="284"/>
      <c r="H10" s="278"/>
      <c r="I10" s="50"/>
      <c r="J10" s="57"/>
      <c r="K10" s="26" t="s">
        <v>19</v>
      </c>
      <c r="L10" s="286"/>
      <c r="M10" s="291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59</v>
      </c>
      <c r="B11" s="296">
        <v>45991.0</v>
      </c>
      <c r="C11" s="44" t="s">
        <v>264</v>
      </c>
      <c r="D11" s="297">
        <v>47787.0</v>
      </c>
      <c r="E11" s="298" t="s">
        <v>142</v>
      </c>
      <c r="F11" s="295">
        <v>15000.0</v>
      </c>
      <c r="G11" s="284"/>
      <c r="H11" s="278"/>
      <c r="I11" s="50"/>
      <c r="J11" s="57"/>
      <c r="K11" s="26" t="s">
        <v>43</v>
      </c>
      <c r="L11" s="58"/>
      <c r="M11" s="291" t="s">
        <v>44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60</v>
      </c>
      <c r="B12" s="296">
        <v>45991.0</v>
      </c>
      <c r="C12" s="44" t="s">
        <v>265</v>
      </c>
      <c r="D12" s="297">
        <v>42095.0</v>
      </c>
      <c r="E12" s="298" t="s">
        <v>30</v>
      </c>
      <c r="F12" s="295"/>
      <c r="G12" s="284"/>
      <c r="H12" s="278">
        <v>320.0</v>
      </c>
      <c r="I12" s="50"/>
      <c r="J12" s="57"/>
      <c r="K12" s="26" t="s">
        <v>19</v>
      </c>
      <c r="L12" s="58"/>
      <c r="M12" s="291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61</v>
      </c>
      <c r="B13" s="296">
        <v>45991.0</v>
      </c>
      <c r="C13" s="44" t="s">
        <v>266</v>
      </c>
      <c r="D13" s="297">
        <v>87114.0</v>
      </c>
      <c r="E13" s="298" t="s">
        <v>267</v>
      </c>
      <c r="F13" s="295"/>
      <c r="G13" s="299">
        <v>300.0</v>
      </c>
      <c r="H13" s="278"/>
      <c r="I13" s="50"/>
      <c r="J13" s="57"/>
      <c r="K13" s="26" t="s">
        <v>19</v>
      </c>
      <c r="L13" s="58"/>
      <c r="M13" s="291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62</v>
      </c>
      <c r="B14" s="296">
        <v>45991.0</v>
      </c>
      <c r="C14" s="44" t="s">
        <v>268</v>
      </c>
      <c r="D14" s="297">
        <v>10006.0</v>
      </c>
      <c r="E14" s="298" t="s">
        <v>85</v>
      </c>
      <c r="F14" s="295">
        <v>10000.0</v>
      </c>
      <c r="G14" s="284"/>
      <c r="H14" s="278"/>
      <c r="I14" s="50"/>
      <c r="J14" s="57"/>
      <c r="K14" s="26" t="s">
        <v>19</v>
      </c>
      <c r="L14" s="58"/>
      <c r="M14" s="291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63</v>
      </c>
      <c r="B15" s="296">
        <v>45991.0</v>
      </c>
      <c r="C15" s="44" t="s">
        <v>269</v>
      </c>
      <c r="D15" s="297">
        <v>10006.0</v>
      </c>
      <c r="E15" s="298" t="s">
        <v>85</v>
      </c>
      <c r="F15" s="295">
        <v>6090.0</v>
      </c>
      <c r="G15" s="284"/>
      <c r="H15" s="278"/>
      <c r="I15" s="50"/>
      <c r="J15" s="57"/>
      <c r="K15" s="26" t="s">
        <v>19</v>
      </c>
      <c r="L15" s="58"/>
      <c r="M15" s="291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30"/>
      <c r="B16" s="260"/>
      <c r="C16" s="44"/>
      <c r="D16" s="45"/>
      <c r="E16" s="46"/>
      <c r="F16" s="55"/>
      <c r="G16" s="284"/>
      <c r="H16" s="278"/>
      <c r="I16" s="50"/>
      <c r="J16" s="57"/>
      <c r="K16" s="26"/>
      <c r="L16" s="58"/>
      <c r="M16" s="11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260"/>
      <c r="C17" s="44"/>
      <c r="D17" s="45"/>
      <c r="E17" s="46"/>
      <c r="F17" s="55"/>
      <c r="G17" s="284"/>
      <c r="H17" s="278"/>
      <c r="I17" s="50"/>
      <c r="J17" s="57"/>
      <c r="K17" s="26"/>
      <c r="L17" s="58"/>
      <c r="M17" s="114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30"/>
      <c r="B18" s="260"/>
      <c r="C18" s="44"/>
      <c r="D18" s="45"/>
      <c r="E18" s="46"/>
      <c r="F18" s="55"/>
      <c r="G18" s="284"/>
      <c r="H18" s="278"/>
      <c r="I18" s="50"/>
      <c r="J18" s="57"/>
      <c r="K18" s="26"/>
      <c r="L18" s="58"/>
      <c r="M18" s="114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60"/>
      <c r="B19" s="2"/>
      <c r="C19" s="2"/>
      <c r="D19" s="2"/>
      <c r="E19" s="3"/>
      <c r="F19" s="61">
        <f>F4+F5+F6+F7+F8+F9+F10+F11+F12+F13+F14+F15</f>
        <v>114340</v>
      </c>
      <c r="G19" s="61">
        <f>G4+G5+G6+G7+G8+G9+G10+G11+G12+G13+G14+G15+G16+G17+G18</f>
        <v>300</v>
      </c>
      <c r="H19" s="61">
        <f t="shared" ref="H19:J19" si="1">H4+H5+H6+H7+H8+H9+H10+H17+H18</f>
        <v>2600</v>
      </c>
      <c r="I19" s="61">
        <f t="shared" si="1"/>
        <v>0</v>
      </c>
      <c r="J19" s="61">
        <f t="shared" si="1"/>
        <v>0</v>
      </c>
      <c r="K19" s="62"/>
      <c r="L19" s="62"/>
      <c r="M19" s="63"/>
    </row>
    <row r="20" ht="48.0" customHeight="1">
      <c r="F20" s="64">
        <f>F19+G19+H19+I19</f>
        <v>117240</v>
      </c>
      <c r="G20" s="2"/>
      <c r="H20" s="2"/>
      <c r="I20" s="2"/>
      <c r="J2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2">
    <mergeCell ref="K2:K3"/>
    <mergeCell ref="L2:L3"/>
    <mergeCell ref="E2:E3"/>
    <mergeCell ref="A19:E19"/>
    <mergeCell ref="F20:J2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
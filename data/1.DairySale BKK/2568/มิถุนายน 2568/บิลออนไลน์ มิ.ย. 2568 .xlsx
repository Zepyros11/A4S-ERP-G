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5.68" sheetId="1" r:id="rId4"/>
    <sheet state="visible" name="23.5.68" sheetId="2" r:id="rId5"/>
    <sheet state="visible" name="24.5.68" sheetId="3" r:id="rId6"/>
    <sheet state="visible" name="25.5.68" sheetId="4" r:id="rId7"/>
    <sheet state="visible" name="26.5.68" sheetId="5" r:id="rId8"/>
    <sheet state="visible" name="27.5.68" sheetId="6" r:id="rId9"/>
    <sheet state="visible" name=" 28.5.68" sheetId="7" r:id="rId10"/>
    <sheet state="visible" name="29.5.68" sheetId="8" r:id="rId11"/>
    <sheet state="visible" name="30.5.68" sheetId="9" r:id="rId12"/>
    <sheet state="visible" name="31.5.68" sheetId="10" r:id="rId13"/>
    <sheet state="visible" name="31-5-68-2-6-68" sheetId="11" r:id="rId14"/>
    <sheet state="visible" name="3-6-68" sheetId="12" r:id="rId15"/>
    <sheet state="visible" name="4-6-68" sheetId="13" r:id="rId16"/>
    <sheet state="visible" name="5-6-68" sheetId="14" r:id="rId17"/>
    <sheet state="visible" name="6-6-68" sheetId="15" r:id="rId18"/>
    <sheet state="visible" name="7-6-68" sheetId="16" r:id="rId19"/>
    <sheet state="visible" name="8-6-68" sheetId="17" r:id="rId20"/>
    <sheet state="visible" name="9-6-68" sheetId="18" r:id="rId21"/>
    <sheet state="visible" name="10-6-68" sheetId="19" r:id="rId22"/>
    <sheet state="visible" name="11-6-68" sheetId="20" r:id="rId23"/>
    <sheet state="visible" name="12-6-68" sheetId="21" r:id="rId24"/>
    <sheet state="visible" name="13-6-68" sheetId="22" r:id="rId25"/>
    <sheet state="visible" name="14-6-68" sheetId="23" r:id="rId26"/>
    <sheet state="visible" name="15-6-68" sheetId="24" r:id="rId27"/>
    <sheet state="visible" name="16-6-68" sheetId="25" r:id="rId28"/>
    <sheet state="visible" name="17-6-68" sheetId="26" r:id="rId29"/>
    <sheet state="visible" name="18-6-68" sheetId="27" r:id="rId30"/>
    <sheet state="visible" name="19-6-68" sheetId="28" r:id="rId31"/>
    <sheet state="visible" name="20-6-68" sheetId="29" r:id="rId32"/>
    <sheet state="visible" name="21-6-68" sheetId="30" r:id="rId33"/>
    <sheet state="visible" name="22-6-68" sheetId="31" r:id="rId34"/>
    <sheet state="visible" name="23-6-68" sheetId="32" r:id="rId35"/>
    <sheet state="visible" name="24-6-68" sheetId="33" r:id="rId36"/>
    <sheet state="visible" name="25-6-68" sheetId="34" r:id="rId37"/>
    <sheet state="visible" name="26-6-68" sheetId="35" r:id="rId38"/>
    <sheet state="visible" name="27-6-68" sheetId="36" r:id="rId39"/>
    <sheet state="visible" name="28-6-68" sheetId="37" r:id="rId40"/>
    <sheet state="visible" name="29-6-68" sheetId="38" r:id="rId41"/>
    <sheet state="visible" name="30-6-68" sheetId="39" r:id="rId42"/>
    <sheet state="visible" name="สำเนาของ 30-6-68" sheetId="40" r:id="rId43"/>
  </sheets>
  <definedNames/>
  <calcPr/>
  <extLst>
    <ext uri="GoogleSheetsCustomDataVersion2">
      <go:sheetsCustomData xmlns:go="http://customooxmlschemas.google.com/" r:id="rId44" roundtripDataChecksum="GLQTP7+lk3VFqrXwVj+9rBlTtRf8bvPfs6etqCN4Hag="/>
    </ext>
  </extLst>
</workbook>
</file>

<file path=xl/sharedStrings.xml><?xml version="1.0" encoding="utf-8"?>
<sst xmlns="http://schemas.openxmlformats.org/spreadsheetml/2006/main" count="1923" uniqueCount="588">
  <si>
    <r>
      <rPr>
        <rFont val="Aptos Narrow"/>
        <b/>
        <color theme="1"/>
        <sz val="36.0"/>
      </rPr>
      <t xml:space="preserve">              สรุปยอด </t>
    </r>
    <r>
      <rPr>
        <rFont val="Aptos Narrow"/>
        <b/>
        <color rgb="FFFF0000"/>
        <sz val="36.0"/>
        <u/>
      </rPr>
      <t>บิลออนไลน์</t>
    </r>
    <r>
      <rPr>
        <rFont val="Aptos Narrow"/>
        <b/>
        <color theme="1"/>
        <sz val="36.0"/>
      </rPr>
      <t xml:space="preserve">  จัดส่ง / นำเข้า DP</t>
    </r>
    <r>
      <rPr>
        <rFont val="Aptos Narrow"/>
        <b/>
        <color rgb="FFFF0000"/>
        <sz val="36.0"/>
      </rPr>
      <t xml:space="preserve"> ดึงตั้งแต่ 21/5/68</t>
    </r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</si>
  <si>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</si>
  <si>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</si>
  <si>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</si>
  <si>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</si>
  <si>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</si>
  <si>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</si>
  <si>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</si>
  <si>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</si>
  <si>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</si>
  <si>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QR</t>
  </si>
  <si>
    <t>payment</t>
  </si>
  <si>
    <t>e-wallet</t>
  </si>
  <si>
    <t>หักคอม</t>
  </si>
  <si>
    <t>arp</t>
  </si>
  <si>
    <t>STHONLIN2505000987</t>
  </si>
  <si>
    <t>นาย ธนบูลย์ แสงฐิตาพันธุ์</t>
  </si>
  <si>
    <t>BKK01</t>
  </si>
  <si>
    <t>รับเอง</t>
  </si>
  <si>
    <t>2</t>
  </si>
  <si>
    <t>STHONLIN2505001013</t>
  </si>
  <si>
    <t>บริษัท โคบาราเอฟโวลูชั่น (ประเทศไทย)จำกัด ( สำนักงานใหญ่ )</t>
  </si>
  <si>
    <t>ส่งแกร๊ป</t>
  </si>
  <si>
    <t>3</t>
  </si>
  <si>
    <t>STHONLIN2505001014</t>
  </si>
  <si>
    <t>บริษัท  ต.ศรีโสภณ จำกัด (สำนักงานใหญ่)</t>
  </si>
  <si>
    <t>STHONLIN2505001018</t>
  </si>
  <si>
    <t>บริษัท แก้วแกมทอง เทรดดิ้ง จำกัด (สำนักงานใหญ่)</t>
  </si>
  <si>
    <t>4</t>
  </si>
  <si>
    <t>STHONLIN2505001019</t>
  </si>
  <si>
    <t>5</t>
  </si>
  <si>
    <t>STHONLIN2505001020</t>
  </si>
  <si>
    <t>นาย สิปปภาส  โรจนวสุธร</t>
  </si>
  <si>
    <t>จัดส่งBKK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</si>
  <si>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23/5/68</t>
    </r>
  </si>
  <si>
    <t>1</t>
  </si>
  <si>
    <t>5/23/2025</t>
  </si>
  <si>
    <t>STHONLIN2505001167</t>
  </si>
  <si>
    <t>นาย อนันต์กฤช เต็มศิริพันธุ์</t>
  </si>
  <si>
    <t>ฝากไว้รอมารับ</t>
  </si>
  <si>
    <t>STHONLIN2505001168</t>
  </si>
  <si>
    <t>บริษัท เอ็น.พี มาร์เก็ตติ้ง แบรนด์ จำกัด(สำนักงานใหญ่)</t>
  </si>
  <si>
    <t>NB</t>
  </si>
  <si>
    <t>เข้า DP</t>
  </si>
  <si>
    <t>STHONLIN2505001171</t>
  </si>
  <si>
    <t>นางสาว คณาง ไพรบึง</t>
  </si>
  <si>
    <t>ส่งBKK</t>
  </si>
  <si>
    <t>STHONLIN2505001172</t>
  </si>
  <si>
    <t>นาง ดุษณี  เจมส์</t>
  </si>
  <si>
    <t>STHONLIN2505001173</t>
  </si>
  <si>
    <t>นางสาว พิมพ์ชญา  สุริยปรีชาพงษ์</t>
  </si>
  <si>
    <t>STHONLIN2505001178</t>
  </si>
  <si>
    <t xml:space="preserve">นาย ทนงศักดิ์ รัตนบุรี		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</si>
  <si>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24/5/68</t>
    </r>
  </si>
  <si>
    <t>STHONLIN2505001234</t>
  </si>
  <si>
    <t>บริษัท ดีเวย์ ริชคอร์ป จำกัด(สำนักงานใหญ่)</t>
  </si>
  <si>
    <t>STHONLIN2505001235</t>
  </si>
  <si>
    <t>นางสาว พัชรมณฑ์ พรมทา</t>
  </si>
  <si>
    <t>STHONLIN2505001236</t>
  </si>
  <si>
    <t>STHONLIN2505001237</t>
  </si>
  <si>
    <t>STHONLIN2505001238</t>
  </si>
  <si>
    <t>นาย สุเมธ กลิ่นเย็น</t>
  </si>
  <si>
    <t>STHONLIN2505001239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</si>
  <si>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25/5/68</t>
    </r>
  </si>
  <si>
    <t>5/24/2025</t>
  </si>
  <si>
    <t>STHONLIN2505001240</t>
  </si>
  <si>
    <t>นาง ภัคภร ทองประสม</t>
  </si>
  <si>
    <t>5/25/2025</t>
  </si>
  <si>
    <t>STHONLIN2505001280</t>
  </si>
  <si>
    <t>STHONLIN2505001282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</si>
  <si>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26/5/68</t>
    </r>
  </si>
  <si>
    <t>STHONLIN2505001297</t>
  </si>
  <si>
    <t>5/26/2025</t>
  </si>
  <si>
    <t>STHONLIN2505001307</t>
  </si>
  <si>
    <t>นาย สุวชัช  อมตวงษ์</t>
  </si>
  <si>
    <t>STHONLIN2505001354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</si>
  <si>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27/5/68</t>
    </r>
  </si>
  <si>
    <t>STHONLIN2505001379</t>
  </si>
  <si>
    <t>นางสาว จิราภรณ์ เมฆพยนต์</t>
  </si>
  <si>
    <t>บิลสมัครออนไลน์</t>
  </si>
  <si>
    <t>STHONLIN2505001407</t>
  </si>
  <si>
    <t>นาย วินัย แพทย์รังสี</t>
  </si>
  <si>
    <t>STHONLIN2505001408</t>
  </si>
  <si>
    <t>นางสาว สิริกร ทองสิริ</t>
  </si>
  <si>
    <t>STHONLIN2505001438</t>
  </si>
  <si>
    <t>STHONLIN2505001439</t>
  </si>
  <si>
    <t>นางสาว กมลชนก อ่อนศรี</t>
  </si>
  <si>
    <t>6</t>
  </si>
  <si>
    <t>STHONLIN2505001440</t>
  </si>
  <si>
    <t>นาย จักรพงศ์ สินธุรักษ์</t>
  </si>
  <si>
    <t xml:space="preserve">เข้า DP 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</si>
  <si>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28/5/68</t>
    </r>
  </si>
  <si>
    <t>STHONLIN2505001480</t>
  </si>
  <si>
    <t>นางสาว รจน์สมาย จันทร์วชิร</t>
  </si>
  <si>
    <t>20:46.06</t>
  </si>
  <si>
    <t>รอมารับ</t>
  </si>
  <si>
    <t>STHONLIN2505001487</t>
  </si>
  <si>
    <t>22.48:32</t>
  </si>
  <si>
    <t>มารับเอง</t>
  </si>
  <si>
    <t>STHONLIN2505001497</t>
  </si>
  <si>
    <t>บริษัท ฟองใหญ่ จำกัด (สำนักงานใหญ่)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</si>
  <si>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29/5/68</t>
    </r>
  </si>
  <si>
    <t>STHONLIN2505001547</t>
  </si>
  <si>
    <t>บริษัท สยามทวีทิพย์ จำกัด(สำนักงานใหญ่)</t>
  </si>
  <si>
    <t>08:41.11</t>
  </si>
  <si>
    <t>STHONLIN2505001548</t>
  </si>
  <si>
    <t>นางสาว ประภัสสร  ดีดวงพันธ์</t>
  </si>
  <si>
    <t>10.24:57</t>
  </si>
  <si>
    <t>จัดส่ง BKK</t>
  </si>
  <si>
    <t>STHONLIN2505001550</t>
  </si>
  <si>
    <t>STHONLIN2505001557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</si>
  <si>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30/5/68</t>
    </r>
  </si>
  <si>
    <t>STHONLIN2505001581</t>
  </si>
  <si>
    <t>นาง พรทิพย์ ฤทธิรณ</t>
  </si>
  <si>
    <t>STHONLIN2505001690</t>
  </si>
  <si>
    <t>STHONLIN2505001692</t>
  </si>
  <si>
    <t>STHONLIN2505001693</t>
  </si>
  <si>
    <t>STHONLIN2505001694</t>
  </si>
  <si>
    <t>STHONLIN2505001696</t>
  </si>
  <si>
    <t>นาย ดำรงค์ ปฏิสังข์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</si>
  <si>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31/5/68</t>
    </r>
  </si>
  <si>
    <t>STHONLIN2505001706</t>
  </si>
  <si>
    <t>STHONLIN2505001756</t>
  </si>
  <si>
    <t>STHONLIN2505001783</t>
  </si>
  <si>
    <t>STHONLIN2505001784</t>
  </si>
  <si>
    <t>เรียกแกร๊ป</t>
  </si>
  <si>
    <t>STHONLIN2505001785</t>
  </si>
  <si>
    <t>นาย พชร จิรรัตน์พิทักษ์</t>
  </si>
  <si>
    <t>STHONLIN2505001786</t>
  </si>
  <si>
    <t>นาง สมหมาย จิรรัตน์พิทักษ์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</si>
  <si>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31/5/68 - 2  มิถุนายน  2568</t>
    </r>
  </si>
  <si>
    <t>STHONLIN2505001809</t>
  </si>
  <si>
    <t>บริษัท เศรษฐกวี จำกัด ( สำนักงานใหญ่ )</t>
  </si>
  <si>
    <t>23.20.20</t>
  </si>
  <si>
    <t>STHONLIN2506000002</t>
  </si>
  <si>
    <t>นางสาว ณัฐวดี เดยะดี</t>
  </si>
  <si>
    <t>STHONLIN2506000003</t>
  </si>
  <si>
    <t>นาง อรพรรณ ผ่านพินิจ</t>
  </si>
  <si>
    <t>02.28.10</t>
  </si>
  <si>
    <t>STHONLIN2506000009</t>
  </si>
  <si>
    <t>นาย พิสิฐพงษ์  ยอดจันทร์</t>
  </si>
  <si>
    <t>จัดส่งกทม.</t>
  </si>
  <si>
    <t>STHONLIN2506000013</t>
  </si>
  <si>
    <t>Ms. Rebecca Nuengjamnong</t>
  </si>
  <si>
    <t>21.35.17</t>
  </si>
  <si>
    <t>STHONLIN2506000014</t>
  </si>
  <si>
    <t>EMEKA FRANK</t>
  </si>
  <si>
    <t>21.49.00</t>
  </si>
  <si>
    <t>7</t>
  </si>
  <si>
    <t>STHONLIN2506000015</t>
  </si>
  <si>
    <t>นาย เศรษฐพร ระวังป่า</t>
  </si>
  <si>
    <t>21.59.18</t>
  </si>
  <si>
    <t>8</t>
  </si>
  <si>
    <t>STHONLIN2506000016</t>
  </si>
  <si>
    <t>นางสาว วนิดา สร้อยระยับ</t>
  </si>
  <si>
    <t>22.05.33</t>
  </si>
  <si>
    <t>9</t>
  </si>
  <si>
    <t>STHONLIN2506000017</t>
  </si>
  <si>
    <t>นาย สมชาย บุญเลิศ</t>
  </si>
  <si>
    <t>00.02.44</t>
  </si>
  <si>
    <t>10</t>
  </si>
  <si>
    <t>STHONLIN2506000036</t>
  </si>
  <si>
    <t>10.42.22</t>
  </si>
  <si>
    <t>11</t>
  </si>
  <si>
    <t>STHONLIN2506000038</t>
  </si>
  <si>
    <t>10.49.42</t>
  </si>
  <si>
    <t>12</t>
  </si>
  <si>
    <t>STHONLIN2506000041</t>
  </si>
  <si>
    <t>42.38.24</t>
  </si>
  <si>
    <t>13</t>
  </si>
  <si>
    <t>STHONLIN2506000053</t>
  </si>
  <si>
    <t>ห้างหุ้นส่วน ไดม่อนอันดามัน เน็ตเวิร์ค  (สำนักงานใหญ่)</t>
  </si>
  <si>
    <t>15.40.21</t>
  </si>
  <si>
    <t>14</t>
  </si>
  <si>
    <t>STHONLIN2506000062</t>
  </si>
  <si>
    <t>Mr. Simon John</t>
  </si>
  <si>
    <t>16.16.22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</si>
  <si>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  มิถุนายน  2568</t>
    </r>
  </si>
  <si>
    <t>STHONLIN2506000064</t>
  </si>
  <si>
    <t>Mr. FREDERICK BALOKO</t>
  </si>
  <si>
    <t>17.11.02</t>
  </si>
  <si>
    <t>STHONLIN2506000065</t>
  </si>
  <si>
    <t>17.47.41</t>
  </si>
  <si>
    <t>รับเองกทม.</t>
  </si>
  <si>
    <t>STHONLIN2506000106</t>
  </si>
  <si>
    <t>นางสาว นิภาภรณ์  ปะตังเวสา</t>
  </si>
  <si>
    <t>15.55.32</t>
  </si>
  <si>
    <t>STHONLIN2506000107</t>
  </si>
  <si>
    <t>15.57.40</t>
  </si>
  <si>
    <t>STHONLIN2506000068</t>
  </si>
  <si>
    <t>นาง ทูนศรี บัวนุช</t>
  </si>
  <si>
    <t>18.20.40</t>
  </si>
  <si>
    <t>STHONLIN2506000094</t>
  </si>
  <si>
    <t>นาง ชนิดา สามารถ</t>
  </si>
  <si>
    <t>10.34.20</t>
  </si>
  <si>
    <t>STHONLIN2506000095</t>
  </si>
  <si>
    <t>นางสาว พิชาวีร์ บวรธีราเศรษฐ์</t>
  </si>
  <si>
    <t>10.52.46</t>
  </si>
  <si>
    <t>STHONLIN2506000105</t>
  </si>
  <si>
    <t>นางสาว สุชานันท์ สะตะ</t>
  </si>
  <si>
    <t>14.42.42</t>
  </si>
  <si>
    <t>STHONLIN2506000111</t>
  </si>
  <si>
    <t>นาย ธีรภัทร สงวนวงศ์ชัย</t>
  </si>
  <si>
    <t>16.38.04</t>
  </si>
  <si>
    <t>รอจัดส่ง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</si>
  <si>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4  มิถุนายน  2568</t>
    </r>
  </si>
  <si>
    <t>STHONLIN2506000113</t>
  </si>
  <si>
    <t>17.02.49</t>
  </si>
  <si>
    <t>เรียกแกร็ป</t>
  </si>
  <si>
    <t>STHONLIN2506000168</t>
  </si>
  <si>
    <t>ห้างหุ้นส่วน โกรท โกลเบิล เน็ตเวิร์ก (สำนักงานใหญ่)</t>
  </si>
  <si>
    <t>11.13.43</t>
  </si>
  <si>
    <t>ส่งDP</t>
  </si>
  <si>
    <t>STHONLIN2506000172</t>
  </si>
  <si>
    <t>นางสาว จิณัฐตา ทองถาวรวงศ์</t>
  </si>
  <si>
    <t>12.57.27</t>
  </si>
  <si>
    <t>STHONLIN2506000173</t>
  </si>
  <si>
    <t>13.01.45</t>
  </si>
  <si>
    <t>STHONLIN2506000174</t>
  </si>
  <si>
    <t>นางสาว โนนประภัสสร  พูนนะปันโน</t>
  </si>
  <si>
    <t>13.04.49</t>
  </si>
  <si>
    <t>STHONLIN2506000177</t>
  </si>
  <si>
    <t>13.03.49</t>
  </si>
  <si>
    <t>STHONLIN2506000186</t>
  </si>
  <si>
    <t>นาย สุรวัฒน์ ตั้งพงศ์ศิรประภา</t>
  </si>
  <si>
    <t>14.08.15</t>
  </si>
  <si>
    <t>STHONLIN2506000212</t>
  </si>
  <si>
    <t>นาง ชัยศิริ ปราชญานุกุล</t>
  </si>
  <si>
    <t>16.48.07</t>
  </si>
  <si>
    <t>STHONLIN2506000213</t>
  </si>
  <si>
    <t>16.48.43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</si>
  <si>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5  มิถุนายน  2568</t>
    </r>
  </si>
  <si>
    <t>STHONLIN2506000247</t>
  </si>
  <si>
    <t>07.27.01</t>
  </si>
  <si>
    <t>STHONLIN2506000248</t>
  </si>
  <si>
    <t>นาย สุวิทย์  รองชูเพ็ง</t>
  </si>
  <si>
    <t>07.31.53</t>
  </si>
  <si>
    <t>STHONLIN2506000249</t>
  </si>
  <si>
    <t>07.54.44</t>
  </si>
  <si>
    <t>STHONLIN2506000255</t>
  </si>
  <si>
    <t>12.23.52</t>
  </si>
  <si>
    <t>STHONLIN2506000264</t>
  </si>
  <si>
    <t>นางสาว ลำใย  เจริญศิริ</t>
  </si>
  <si>
    <t>14.06.27</t>
  </si>
  <si>
    <t>STHONLIN2506000273</t>
  </si>
  <si>
    <t>นาย อำพล ทรายทอง</t>
  </si>
  <si>
    <t>15.46.44</t>
  </si>
  <si>
    <t>รอจัดส่ง 6-6</t>
  </si>
  <si>
    <t>STHONLIN2506000276</t>
  </si>
  <si>
    <t>16.30.47</t>
  </si>
  <si>
    <t>STHONLIN2506000277</t>
  </si>
  <si>
    <t>16.34.05</t>
  </si>
  <si>
    <t>STHONLIN2506000219</t>
  </si>
  <si>
    <t>นาย วิเชษฐ สกุลหอม</t>
  </si>
  <si>
    <t>18.05.29</t>
  </si>
  <si>
    <t>STHONLIN2506000246</t>
  </si>
  <si>
    <t>นภัสธนันท์ ปั้นตะกั่ว</t>
  </si>
  <si>
    <t>06.37.11</t>
  </si>
  <si>
    <t>STHONLIN2506000250</t>
  </si>
  <si>
    <t>นางสาว สมหมาย เดชบำรุง</t>
  </si>
  <si>
    <t>08.57.07</t>
  </si>
  <si>
    <t>STHONLIN2506000251</t>
  </si>
  <si>
    <t>นาย ไพทูรย์​ วัดเวียงคำ</t>
  </si>
  <si>
    <t>STHONLIN2506000252</t>
  </si>
  <si>
    <t>นาย น้อย. หล้าสุด</t>
  </si>
  <si>
    <t>09.03.17</t>
  </si>
  <si>
    <t>STHONLIN2506000253</t>
  </si>
  <si>
    <t>นาย สำราญ. ศรีอุชา</t>
  </si>
  <si>
    <t>09.09.06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</si>
  <si>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6  มิถุนายน  2568</t>
    </r>
  </si>
  <si>
    <t>arp (usd)</t>
  </si>
  <si>
    <t>STHONLIN2506000278</t>
  </si>
  <si>
    <t>อรุณรุ่ง บุญบุษกร</t>
  </si>
  <si>
    <t>17.38.42</t>
  </si>
  <si>
    <t>STHONLIN2506000299</t>
  </si>
  <si>
    <t>นางสาว ธีรตี พูลพิพัฒน์</t>
  </si>
  <si>
    <t>22.15.58</t>
  </si>
  <si>
    <t>STHONLIN2506000376</t>
  </si>
  <si>
    <t>นาง ทัศนา เลื่อมสำราญ</t>
  </si>
  <si>
    <t>11.32.29</t>
  </si>
  <si>
    <t>STHONLIN2506000377</t>
  </si>
  <si>
    <t>11.39.22</t>
  </si>
  <si>
    <t>STHONLIN2506000380</t>
  </si>
  <si>
    <t>นาย ณรงค์ชัย บุญจันทร์</t>
  </si>
  <si>
    <t>12.20.48</t>
  </si>
  <si>
    <t>STHONLIN2506000384</t>
  </si>
  <si>
    <t>15.04.09</t>
  </si>
  <si>
    <t>STHONLIN2506000379</t>
  </si>
  <si>
    <t>นาง ทิพยาภรณ์ ฆ้องวงษ์</t>
  </si>
  <si>
    <t>12.17.06</t>
  </si>
  <si>
    <t>ส่ง DP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</si>
  <si>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7  มิถุนายน  2568</t>
    </r>
  </si>
  <si>
    <t>STHONLIN2506000429</t>
  </si>
  <si>
    <t>10.10.43</t>
  </si>
  <si>
    <t>STHONLIN2506000430</t>
  </si>
  <si>
    <t>10.44.18</t>
  </si>
  <si>
    <t>STHONLIN2506000431</t>
  </si>
  <si>
    <t>11.47.06</t>
  </si>
  <si>
    <t>STHONLIN2506000433</t>
  </si>
  <si>
    <t>นาย สุรัตน์  สุขเพ็ง</t>
  </si>
  <si>
    <t>14.00.06</t>
  </si>
  <si>
    <t>STHONLIN2506000434</t>
  </si>
  <si>
    <t>15.20.20</t>
  </si>
  <si>
    <t>STHBKK012506000159</t>
  </si>
  <si>
    <t>13.00.00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</si>
  <si>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8  มิถุนายน  2568</t>
    </r>
  </si>
  <si>
    <t>STHONLIN2506000456</t>
  </si>
  <si>
    <t>10.00.36</t>
  </si>
  <si>
    <t>STHONLIN2506000457</t>
  </si>
  <si>
    <t>10.59.48</t>
  </si>
  <si>
    <t>STHONLIN2506000458</t>
  </si>
  <si>
    <t>12.30.05</t>
  </si>
  <si>
    <t>STHONLIN2506000459</t>
  </si>
  <si>
    <t>12.31.29</t>
  </si>
  <si>
    <t>STHONLIN2506000462</t>
  </si>
  <si>
    <t>14.28.48</t>
  </si>
  <si>
    <t>STHONLIN2506000463</t>
  </si>
  <si>
    <t>14.36.14</t>
  </si>
  <si>
    <t>STHONLIN2506000464</t>
  </si>
  <si>
    <t>นาย ไทคูณ ไพรบึง</t>
  </si>
  <si>
    <t>15.43.05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</si>
  <si>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9  มิถุนายน  2568</t>
    </r>
  </si>
  <si>
    <t>STHONLIN2506000516</t>
  </si>
  <si>
    <t>08.41.35</t>
  </si>
  <si>
    <t>STHONLIN2506000517</t>
  </si>
  <si>
    <t>นางสาว วาสนา บุญเกษม</t>
  </si>
  <si>
    <t>08.47.47</t>
  </si>
  <si>
    <t>STHONLIN2506000519</t>
  </si>
  <si>
    <t>08.55.15</t>
  </si>
  <si>
    <t>STHONLIN2506000521</t>
  </si>
  <si>
    <t>นาย ธนวรรธน์  ปราชญ์เรืองนนท์</t>
  </si>
  <si>
    <t>09.23.20</t>
  </si>
  <si>
    <t>STHONLIN2506000524</t>
  </si>
  <si>
    <t>16.09.54</t>
  </si>
  <si>
    <t>จัดส่งกทม.10-8-68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</si>
  <si>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10  มิถุนายน  2568</t>
    </r>
  </si>
  <si>
    <t>STHONLIN2506000585</t>
  </si>
  <si>
    <t>นางสาว เสาวลักษณ์ ทองบัว</t>
  </si>
  <si>
    <t>09.10.52</t>
  </si>
  <si>
    <t>STHONLIN2506000592</t>
  </si>
  <si>
    <t>นาย เก่งภพ ศุภาภพปภาส</t>
  </si>
  <si>
    <t>11.30.55</t>
  </si>
  <si>
    <t>STHONLIN2506000604</t>
  </si>
  <si>
    <t>15.59.43</t>
  </si>
  <si>
    <t>STHONLIN2506000606</t>
  </si>
  <si>
    <t>นาง วรางค์ศิริ ภัทรเดชกวีทิพย์</t>
  </si>
  <si>
    <t>16.08.15</t>
  </si>
  <si>
    <t>STHONLIN2506000605</t>
  </si>
  <si>
    <t>นาย พิชัย  อาษาสุข</t>
  </si>
  <si>
    <t>16.05.28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</si>
  <si>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11  มิถุนายน  2568</t>
    </r>
  </si>
  <si>
    <t>STHONLIN2506000609</t>
  </si>
  <si>
    <t>นาย ธีรเทพ  ดวงอัมพร</t>
  </si>
  <si>
    <t>17.43.45</t>
  </si>
  <si>
    <t>STHONLIN2506000610</t>
  </si>
  <si>
    <t>นาง สวรรค์ เกตุสวาสดิ์</t>
  </si>
  <si>
    <t>17.52.28</t>
  </si>
  <si>
    <t>STHONLIN2506000620</t>
  </si>
  <si>
    <t>19.02.22</t>
  </si>
  <si>
    <t>STHONLIN2506000632</t>
  </si>
  <si>
    <t>นางสาว ปราวีณา แย้มละออ</t>
  </si>
  <si>
    <t>20.16.55</t>
  </si>
  <si>
    <t>STHONLIN2506000634</t>
  </si>
  <si>
    <t>นาง บุญยพร มณีฉาย</t>
  </si>
  <si>
    <t>20.33.07</t>
  </si>
  <si>
    <t>STHONLIN2506000644</t>
  </si>
  <si>
    <t>23.07.28</t>
  </si>
  <si>
    <t>STHONLIN2506000665</t>
  </si>
  <si>
    <t>13.14.08</t>
  </si>
  <si>
    <t>STHONLIN2506000672</t>
  </si>
  <si>
    <t>15.08.57</t>
  </si>
  <si>
    <t>STHONLIN2506000675</t>
  </si>
  <si>
    <t>15.57.58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</si>
  <si>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12  มิถุนายน  2568</t>
    </r>
  </si>
  <si>
    <t>STHONLIN2506000725</t>
  </si>
  <si>
    <t>นาย ธนกร อภัยพงศ์</t>
  </si>
  <si>
    <t>8.30น</t>
  </si>
  <si>
    <t>STHONLIN2506000726</t>
  </si>
  <si>
    <t>นางสาว พรทิพย์  นาสวน</t>
  </si>
  <si>
    <t>11.08น</t>
  </si>
  <si>
    <t>รับเองBKK</t>
  </si>
  <si>
    <t>STHONLIN2506000727</t>
  </si>
  <si>
    <t>11.25น</t>
  </si>
  <si>
    <t>STHONLIN2506000728</t>
  </si>
  <si>
    <t>12.21น</t>
  </si>
  <si>
    <t>STHONLIN2506000729</t>
  </si>
  <si>
    <t xml:space="preserve"> 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</si>
  <si>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13  มิถุนายน  2568</t>
    </r>
  </si>
  <si>
    <t>STHONLIN2506000799</t>
  </si>
  <si>
    <t>ส่งกรุงเทพ</t>
  </si>
  <si>
    <t>STHONLIN2506000800</t>
  </si>
  <si>
    <t>รับเองกรุงเทพ</t>
  </si>
  <si>
    <t>STHONLIN2506000803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</si>
  <si>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14  มิถุนายน  2568</t>
    </r>
  </si>
  <si>
    <t>6/14/2025</t>
  </si>
  <si>
    <t>STHONLIN2506000881</t>
  </si>
  <si>
    <t>08.23น.</t>
  </si>
  <si>
    <t>เรียกแกรป</t>
  </si>
  <si>
    <t>STHONLIN2506000884</t>
  </si>
  <si>
    <t>12.00น.</t>
  </si>
  <si>
    <t>STHONLIN2506000885</t>
  </si>
  <si>
    <t>12.19น.</t>
  </si>
  <si>
    <t>STHONLIN2506000913</t>
  </si>
  <si>
    <t>17.06น.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</si>
  <si>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15  มิถุนายน  2568</t>
    </r>
  </si>
  <si>
    <t>STHONLIN2506000917</t>
  </si>
  <si>
    <t>นาย จิระวัฒน์  ใจอารีย์</t>
  </si>
  <si>
    <t>17.52น.</t>
  </si>
  <si>
    <t>STHONLIN2506000946</t>
  </si>
  <si>
    <t>สนั่น ปริมาณ</t>
  </si>
  <si>
    <t>12.18น.</t>
  </si>
  <si>
    <t>STHONLIN2506000948</t>
  </si>
  <si>
    <t>15.16น.</t>
  </si>
  <si>
    <t>STHONLIN2506000949</t>
  </si>
  <si>
    <t>นาย เมธาวัสส์ เจียรเศรษฐการ</t>
  </si>
  <si>
    <t>15.50น.</t>
  </si>
  <si>
    <t>STHONLIN2506000944</t>
  </si>
  <si>
    <t>นาย ชุติเมธ ดียิ่ง</t>
  </si>
  <si>
    <t>10.22น.</t>
  </si>
  <si>
    <t>STHONLIN2506000945</t>
  </si>
  <si>
    <t>นาง ฐานมญ ชลคีรี</t>
  </si>
  <si>
    <t>10.38น.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</si>
  <si>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16  มิถุนายน  2568</t>
    </r>
  </si>
  <si>
    <t>6/15/2025</t>
  </si>
  <si>
    <t>STHONLIN2506000957</t>
  </si>
  <si>
    <t>18.59 น.</t>
  </si>
  <si>
    <t>STHONLIN2506000950</t>
  </si>
  <si>
    <t>นาง อรทัย นิพขันธ์</t>
  </si>
  <si>
    <t>BKK02</t>
  </si>
  <si>
    <t>17.13 น.</t>
  </si>
  <si>
    <t>STHONLIN2506000951</t>
  </si>
  <si>
    <t>นางสาว สุธรรมา กุสันเทียะ</t>
  </si>
  <si>
    <t>BKK03</t>
  </si>
  <si>
    <t>17.15 น.</t>
  </si>
  <si>
    <t>6/16/2025</t>
  </si>
  <si>
    <t>STHONLIN2506000980</t>
  </si>
  <si>
    <t>09.02น.</t>
  </si>
  <si>
    <t>STHONLIN2506000981</t>
  </si>
  <si>
    <t>นางสาว มารยาท อ่อนศรี</t>
  </si>
  <si>
    <t>09.56น.</t>
  </si>
  <si>
    <t>STHONLIN2506000982</t>
  </si>
  <si>
    <t>11.27น.</t>
  </si>
  <si>
    <t>STHONLIN2506000983</t>
  </si>
  <si>
    <t>12.51น.</t>
  </si>
  <si>
    <t>STHBKK012506000343</t>
  </si>
  <si>
    <t>10.32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</si>
  <si>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17  มิถุนายน  2568</t>
    </r>
  </si>
  <si>
    <t>STHONLIN2506001043</t>
  </si>
  <si>
    <t>09.22 น.</t>
  </si>
  <si>
    <t>STHONLIN2506001052</t>
  </si>
  <si>
    <t>17.16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</si>
  <si>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18  มิถุนายน  2568</t>
    </r>
  </si>
  <si>
    <t>STHONLIN2506001138</t>
  </si>
  <si>
    <t>10.21น.</t>
  </si>
  <si>
    <t>STHONLIN2506001139</t>
  </si>
  <si>
    <t>BKK</t>
  </si>
  <si>
    <t>10.35น.</t>
  </si>
  <si>
    <t>STHONLIN2506001149</t>
  </si>
  <si>
    <t>บริษัท สวนสุข จำกัด(สำนักงานใหญ่)</t>
  </si>
  <si>
    <t>11.57น.</t>
  </si>
  <si>
    <t>STHONLIN2506001166</t>
  </si>
  <si>
    <t>STHONLIN2506001173</t>
  </si>
  <si>
    <t>15.41น.</t>
  </si>
  <si>
    <t>STHBKK012506000383</t>
  </si>
  <si>
    <t>นางสาว จินดาภรณ์ นิลชาติ</t>
  </si>
  <si>
    <t>10.57น.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</si>
  <si>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19  มิถุนายน  2568</t>
    </r>
  </si>
  <si>
    <t>STHONLIN2506001176</t>
  </si>
  <si>
    <t>17.03น</t>
  </si>
  <si>
    <t>STHONLIN2506001179</t>
  </si>
  <si>
    <t>นาย ณนินธรณ์ กรมธนาประสิทธิ์</t>
  </si>
  <si>
    <t>19.33น</t>
  </si>
  <si>
    <t>STHONLIN2506001205</t>
  </si>
  <si>
    <t>7.52น</t>
  </si>
  <si>
    <t>STHONLIN2506001206</t>
  </si>
  <si>
    <t>11.18น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</si>
  <si>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20  มิถุนายน  2568</t>
    </r>
  </si>
  <si>
    <t>STHONLIN2506001246</t>
  </si>
  <si>
    <t>19.07น</t>
  </si>
  <si>
    <t>STHONLIN2506001307</t>
  </si>
  <si>
    <t>11.43น</t>
  </si>
  <si>
    <t>รับเองNB</t>
  </si>
  <si>
    <t>STHONLIN2506001310</t>
  </si>
  <si>
    <t>12.11น</t>
  </si>
  <si>
    <t>STHONLIN2506001339</t>
  </si>
  <si>
    <t>นางสาว ดารดี ญาณกวี</t>
  </si>
  <si>
    <t>15.27น</t>
  </si>
  <si>
    <t>STHONLIN2506001349</t>
  </si>
  <si>
    <t>16.56น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</si>
  <si>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21  มิถุนายน  2568</t>
    </r>
  </si>
  <si>
    <t>STHONLIN2506001458</t>
  </si>
  <si>
    <t>นาย ปริญพัชร์ ศรีศุภณัฐธนากุล</t>
  </si>
  <si>
    <t>10.22น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</si>
  <si>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22  มิถุนายน  2568</t>
    </r>
  </si>
  <si>
    <t>6/21/2025</t>
  </si>
  <si>
    <t>STHONLIN2506001477</t>
  </si>
  <si>
    <t>นาย ปรีชาพล ปิ่นดี</t>
  </si>
  <si>
    <t>18.11น.</t>
  </si>
  <si>
    <t>จัดส่งกทม.23-6-68</t>
  </si>
  <si>
    <t>6/22/2025</t>
  </si>
  <si>
    <t>STHONLIN2506001542</t>
  </si>
  <si>
    <t>11.02น.</t>
  </si>
  <si>
    <t>STHONLIN2506001545</t>
  </si>
  <si>
    <t>16.45น.</t>
  </si>
  <si>
    <t>รอส่ง DP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</si>
  <si>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23  มิถุนายน  2568</t>
    </r>
  </si>
  <si>
    <t>STHONLIN2506001589</t>
  </si>
  <si>
    <t>นางสาว จิรัชยา บุญสวัสดิ์</t>
  </si>
  <si>
    <t>12.54น</t>
  </si>
  <si>
    <t>STHONLIN2506001591</t>
  </si>
  <si>
    <t>นาย วัชรชัย ขุนศรีรักษา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</si>
  <si>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24  มิถุนายน  2568</t>
    </r>
  </si>
  <si>
    <t>STHONLIN2506001622</t>
  </si>
  <si>
    <t>STHONLIN2506001656</t>
  </si>
  <si>
    <t>6.40.</t>
  </si>
  <si>
    <t>รับเอง กทม.</t>
  </si>
  <si>
    <t>STHONLIN2506001658</t>
  </si>
  <si>
    <t>นางสาว อรณิกร บุญเกษม</t>
  </si>
  <si>
    <t>STHONLIN2506001678</t>
  </si>
  <si>
    <t>นางสาว ธนพรรษ​ ยี่ภู</t>
  </si>
  <si>
    <t>STHONLIN2506001679</t>
  </si>
  <si>
    <t>STHONLIN2506001688</t>
  </si>
  <si>
    <t>นาย สมยศ อภิรัชนากุล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</si>
  <si>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25  มิถุนายน  2568</t>
    </r>
  </si>
  <si>
    <t>6/25/2025</t>
  </si>
  <si>
    <t>STHONLIN2506001771</t>
  </si>
  <si>
    <t>9.29 น.</t>
  </si>
  <si>
    <t>STHONLIN2506001772</t>
  </si>
  <si>
    <t>นาย ยงยุทธ บุญปก</t>
  </si>
  <si>
    <t>10.10 น.</t>
  </si>
  <si>
    <t>STHONLIN2506001774</t>
  </si>
  <si>
    <t>13.40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</si>
  <si>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26  มิถุนายน  2568</t>
    </r>
  </si>
  <si>
    <t>STHONLIN2506001778</t>
  </si>
  <si>
    <t>นางสาว กิ่งแก้ว บุญโยประการ</t>
  </si>
  <si>
    <t>18.08 น.</t>
  </si>
  <si>
    <t>STHONLIN2506001857</t>
  </si>
  <si>
    <t>08.19 น.</t>
  </si>
  <si>
    <t>STHONLIN2506001866</t>
  </si>
  <si>
    <t>นาย ธนาศุภเดช ภุชพัชราธาดาณัช</t>
  </si>
  <si>
    <t>13.10 น.</t>
  </si>
  <si>
    <t>STHONLIN2506001880</t>
  </si>
  <si>
    <t>14.51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</si>
  <si>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27  มิถุนายน  2568</t>
    </r>
  </si>
  <si>
    <t>6/27/2025</t>
  </si>
  <si>
    <t>STHBKK012506000571</t>
  </si>
  <si>
    <t>นาย สงขลา กายพันธุ์</t>
  </si>
  <si>
    <t>13.01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</si>
  <si>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28 มิถุนายน  2568</t>
    </r>
  </si>
  <si>
    <t>STHONLIN2506002006</t>
  </si>
  <si>
    <t>นาย ณฐพนธ์ ศรีศักดา</t>
  </si>
  <si>
    <t>9.55น</t>
  </si>
  <si>
    <t>รับเอง BKK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</si>
  <si>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29 มิถุนายน  2568</t>
    </r>
  </si>
  <si>
    <t>STHONLIN2506002146</t>
  </si>
  <si>
    <t>11.56น</t>
  </si>
  <si>
    <t>รับเอง DP</t>
  </si>
  <si>
    <t>STHONLIN2506002162</t>
  </si>
  <si>
    <t>15.23o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</si>
  <si>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30 มิถุนายน  2568</t>
    </r>
  </si>
  <si>
    <t>STHONLIN2506002228</t>
  </si>
  <si>
    <t>20.34น</t>
  </si>
  <si>
    <t>STHONLIN2506002367</t>
  </si>
  <si>
    <t>08.36น</t>
  </si>
  <si>
    <t>STHONLIN2506002418</t>
  </si>
  <si>
    <t>บริษัท เค24 โกลบอล จำกัด (สำนักงานใหญ่)</t>
  </si>
  <si>
    <t>ฝากไว้ก่อน</t>
  </si>
  <si>
    <t>STHONLIN2506002420</t>
  </si>
  <si>
    <t>12.32น</t>
  </si>
  <si>
    <t>มารับเองกทม.</t>
  </si>
  <si>
    <t>STHONLIN2506002429</t>
  </si>
  <si>
    <t>นางสาว จิลลดา ลอยลม</t>
  </si>
  <si>
    <t>13.33น</t>
  </si>
  <si>
    <t>STHONLIN2506002435</t>
  </si>
  <si>
    <t>14.09น</t>
  </si>
  <si>
    <t>STHONLIN2506002438</t>
  </si>
  <si>
    <t>14.39น</t>
  </si>
  <si>
    <t>รอจัดส่่ง</t>
  </si>
  <si>
    <t>STHONLIN2506002448</t>
  </si>
  <si>
    <t>นาง อุบล พวงชุ่มชื่น</t>
  </si>
  <si>
    <t>17.26น</t>
  </si>
  <si>
    <t>STHONLIN2506002451</t>
  </si>
  <si>
    <t>17.34น</t>
  </si>
  <si>
    <t>STHONLIN2506002452</t>
  </si>
  <si>
    <t>17.38น</t>
  </si>
  <si>
    <t>STHBKK012506000638</t>
  </si>
  <si>
    <t>10.12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</si>
  <si>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30 มิถุนายน  2568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</si>
</sst>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yyyy-mm-dd"/>
    <numFmt numFmtId="166" formatCode="m/d/yyyy"/>
    <numFmt numFmtId="167" formatCode="[$฿-41E]#,##0.00"/>
  </numFmts>
  <fonts count="49">
    <font>
      <sz val="11.0"/>
      <color theme="1"/>
      <name val="Aptos Narrow"/>
      <scheme val="minor"/>
    </font>
    <font>
      <b/>
      <sz val="36.0"/>
      <color theme="1"/>
      <name val="Aptos Narrow"/>
    </font>
    <font/>
    <font>
      <b/>
      <sz val="26.0"/>
      <color theme="1"/>
      <name val="Aptos Narrow"/>
    </font>
    <font>
      <b/>
      <sz val="28.0"/>
      <color rgb="FF000000"/>
      <name val="Angsana New"/>
    </font>
    <font>
      <b/>
      <sz val="24.0"/>
      <color theme="1"/>
      <name val="Aptos Narrow"/>
    </font>
    <font>
      <b/>
      <sz val="20.0"/>
      <color theme="1"/>
      <name val="Arial"/>
    </font>
    <font>
      <b/>
      <sz val="24.0"/>
      <color rgb="FF000000"/>
      <name val="Aptos Narrow"/>
    </font>
    <font>
      <b/>
      <sz val="24.0"/>
      <color rgb="FFFF0000"/>
      <name val="Aptos Narrow"/>
    </font>
    <font>
      <b/>
      <u/>
      <sz val="28.0"/>
      <color rgb="FF000000"/>
      <name val="Angsana New"/>
    </font>
    <font>
      <b/>
      <u/>
      <sz val="28.0"/>
      <color rgb="FF000000"/>
      <name val="Angsana New"/>
    </font>
    <font>
      <sz val="28.0"/>
      <color theme="1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b/>
      <sz val="24.0"/>
      <color theme="1"/>
      <name val="Arial"/>
    </font>
    <font>
      <b/>
      <sz val="24.0"/>
      <color rgb="FFFF0000"/>
      <name val="Arial"/>
    </font>
    <font>
      <b/>
      <u/>
      <sz val="28.0"/>
      <color rgb="FF000000"/>
      <name val="Angsana New"/>
    </font>
    <font>
      <b/>
      <u/>
      <sz val="28.0"/>
      <color rgb="FF000000"/>
      <name val="Angsana New"/>
    </font>
    <font>
      <b/>
      <u/>
      <sz val="28.0"/>
      <color rgb="FF000000"/>
      <name val="Angsana New"/>
    </font>
    <font>
      <b/>
      <u/>
      <sz val="28.0"/>
      <color rgb="FF000000"/>
      <name val="Angsana New"/>
    </font>
    <font>
      <b/>
      <u/>
      <sz val="28.0"/>
      <color rgb="FF000000"/>
      <name val="Angsana New"/>
    </font>
    <font>
      <b/>
      <u/>
      <sz val="28.0"/>
      <color rgb="FF000000"/>
      <name val="Angsana New"/>
    </font>
    <font>
      <b/>
      <sz val="29.0"/>
      <color rgb="FF000000"/>
      <name val="Angsana New"/>
    </font>
    <font>
      <b/>
      <sz val="29.0"/>
      <color theme="1"/>
      <name val="Aptos Narrow"/>
    </font>
    <font>
      <b/>
      <sz val="29.0"/>
      <color theme="1"/>
      <name val="Arial"/>
    </font>
    <font>
      <b/>
      <sz val="29.0"/>
      <color rgb="FF000000"/>
      <name val="Aptos Narrow"/>
    </font>
    <font>
      <b/>
      <sz val="29.0"/>
      <color rgb="FFFF0000"/>
      <name val="Arial"/>
    </font>
    <font>
      <sz val="29.0"/>
      <color theme="1"/>
      <name val="Aptos Narrow"/>
      <scheme val="minor"/>
    </font>
    <font>
      <b/>
      <sz val="44.0"/>
      <color rgb="FFFF0000"/>
      <name val="Angsana New"/>
    </font>
    <font>
      <b/>
      <sz val="18.0"/>
      <color theme="1"/>
      <name val="Arial"/>
    </font>
    <font>
      <color theme="1"/>
      <name val="Arial"/>
    </font>
    <font>
      <sz val="20.0"/>
      <color theme="1"/>
      <name val="Arial"/>
    </font>
    <font>
      <b/>
      <sz val="29.0"/>
      <color rgb="FF000000"/>
      <name val="Arial"/>
    </font>
    <font>
      <b/>
      <sz val="21.0"/>
      <color theme="1"/>
      <name val="Arial"/>
    </font>
    <font>
      <sz val="21.0"/>
      <color theme="1"/>
      <name val="Arial"/>
    </font>
    <font>
      <b/>
      <sz val="21.0"/>
      <color theme="1"/>
      <name val="Aptos Narrow"/>
    </font>
    <font>
      <b/>
      <sz val="19.0"/>
      <color theme="1"/>
      <name val="Arial"/>
    </font>
    <font>
      <b/>
      <sz val="26.0"/>
      <color rgb="FF000000"/>
      <name val="Aptos Narrow"/>
    </font>
    <font>
      <b/>
      <sz val="26.0"/>
      <color rgb="FF000000"/>
      <name val="Arial"/>
    </font>
    <font>
      <b/>
      <sz val="20.0"/>
      <color theme="1"/>
      <name val="Times New Roman"/>
    </font>
    <font>
      <b/>
      <sz val="23.0"/>
      <color theme="1"/>
      <name val="Arial"/>
    </font>
    <font>
      <sz val="23.0"/>
      <color theme="1"/>
      <name val="Arial"/>
    </font>
    <font>
      <b/>
      <sz val="23.0"/>
      <color theme="1"/>
      <name val="Aptos Narrow"/>
    </font>
    <font>
      <sz val="24.0"/>
      <color theme="1"/>
      <name val="Arial"/>
    </font>
    <font>
      <sz val="31.0"/>
      <color theme="1"/>
      <name val="Aptos Narrow"/>
      <scheme val="minor"/>
    </font>
    <font>
      <sz val="30.0"/>
      <color theme="1"/>
      <name val="Aptos Narrow"/>
      <scheme val="minor"/>
    </font>
    <font>
      <b/>
      <sz val="25.0"/>
      <color theme="1"/>
      <name val="Arial"/>
    </font>
    <font>
      <b/>
      <sz val="25.0"/>
      <color theme="1"/>
      <name val="Aptos Narrow"/>
    </font>
    <font>
      <b/>
      <sz val="22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</fills>
  <borders count="4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top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/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3" fillId="3" fontId="3" numFmtId="0" xfId="0" applyAlignment="1" applyBorder="1" applyFont="1">
      <alignment horizontal="center"/>
    </xf>
    <xf borderId="14" fillId="3" fontId="3" numFmtId="0" xfId="0" applyAlignment="1" applyBorder="1" applyFont="1">
      <alignment horizontal="center"/>
    </xf>
    <xf borderId="15" fillId="4" fontId="4" numFmtId="49" xfId="0" applyAlignment="1" applyBorder="1" applyFill="1" applyFont="1" applyNumberFormat="1">
      <alignment horizontal="center" vertical="center"/>
    </xf>
    <xf borderId="15" fillId="4" fontId="4" numFmtId="164" xfId="0" applyAlignment="1" applyBorder="1" applyFont="1" applyNumberFormat="1">
      <alignment horizontal="center" vertical="center"/>
    </xf>
    <xf borderId="11" fillId="4" fontId="4" numFmtId="164" xfId="0" applyAlignment="1" applyBorder="1" applyFont="1" applyNumberFormat="1">
      <alignment horizontal="center" vertical="center"/>
    </xf>
    <xf borderId="11" fillId="4" fontId="4" numFmtId="1" xfId="0" applyAlignment="1" applyBorder="1" applyFont="1" applyNumberFormat="1">
      <alignment horizontal="center" vertical="center"/>
    </xf>
    <xf borderId="11" fillId="4" fontId="4" numFmtId="164" xfId="0" applyAlignment="1" applyBorder="1" applyFont="1" applyNumberFormat="1">
      <alignment horizontal="left" vertical="center"/>
    </xf>
    <xf borderId="16" fillId="4" fontId="5" numFmtId="3" xfId="0" applyAlignment="1" applyBorder="1" applyFont="1" applyNumberFormat="1">
      <alignment horizontal="right" shrinkToFit="0" wrapText="1"/>
    </xf>
    <xf borderId="11" fillId="4" fontId="5" numFmtId="3" xfId="0" applyAlignment="1" applyBorder="1" applyFont="1" applyNumberFormat="1">
      <alignment horizontal="center" shrinkToFit="0" vertical="center" wrapText="1"/>
    </xf>
    <xf borderId="11" fillId="4" fontId="6" numFmtId="3" xfId="0" applyAlignment="1" applyBorder="1" applyFont="1" applyNumberFormat="1">
      <alignment horizontal="right" shrinkToFit="0" wrapText="1"/>
    </xf>
    <xf borderId="11" fillId="4" fontId="5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vertical="center"/>
    </xf>
    <xf borderId="11" fillId="4" fontId="8" numFmtId="21" xfId="0" applyAlignment="1" applyBorder="1" applyFont="1" applyNumberFormat="1">
      <alignment horizontal="center" vertical="center"/>
    </xf>
    <xf borderId="11" fillId="4" fontId="9" numFmtId="0" xfId="0" applyAlignment="1" applyBorder="1" applyFont="1">
      <alignment horizontal="center" vertical="center"/>
    </xf>
    <xf borderId="15" fillId="5" fontId="4" numFmtId="49" xfId="0" applyAlignment="1" applyBorder="1" applyFill="1" applyFont="1" applyNumberFormat="1">
      <alignment horizontal="center" vertical="center"/>
    </xf>
    <xf borderId="15" fillId="5" fontId="4" numFmtId="164" xfId="0" applyAlignment="1" applyBorder="1" applyFont="1" applyNumberFormat="1">
      <alignment horizontal="center" vertical="center"/>
    </xf>
    <xf borderId="11" fillId="5" fontId="4" numFmtId="164" xfId="0" applyAlignment="1" applyBorder="1" applyFont="1" applyNumberFormat="1">
      <alignment horizontal="center" vertical="center"/>
    </xf>
    <xf borderId="11" fillId="5" fontId="4" numFmtId="1" xfId="0" applyAlignment="1" applyBorder="1" applyFont="1" applyNumberFormat="1">
      <alignment horizontal="center" vertical="center"/>
    </xf>
    <xf borderId="11" fillId="5" fontId="4" numFmtId="164" xfId="0" applyAlignment="1" applyBorder="1" applyFont="1" applyNumberFormat="1">
      <alignment horizontal="left" vertical="center"/>
    </xf>
    <xf borderId="16" fillId="5" fontId="5" numFmtId="3" xfId="0" applyAlignment="1" applyBorder="1" applyFont="1" applyNumberFormat="1">
      <alignment horizontal="right" shrinkToFit="0" wrapText="1"/>
    </xf>
    <xf borderId="11" fillId="5" fontId="5" numFmtId="3" xfId="0" applyAlignment="1" applyBorder="1" applyFont="1" applyNumberFormat="1">
      <alignment horizontal="center" shrinkToFit="0" vertical="center" wrapText="1"/>
    </xf>
    <xf borderId="16" fillId="6" fontId="6" numFmtId="3" xfId="0" applyAlignment="1" applyBorder="1" applyFill="1" applyFont="1" applyNumberFormat="1">
      <alignment horizontal="right" shrinkToFit="0" wrapText="1"/>
    </xf>
    <xf borderId="11" fillId="5" fontId="5" numFmtId="0" xfId="0" applyAlignment="1" applyBorder="1" applyFont="1">
      <alignment horizontal="center" shrinkToFit="0" vertical="center" wrapText="1"/>
    </xf>
    <xf borderId="11" fillId="5" fontId="7" numFmtId="0" xfId="0" applyAlignment="1" applyBorder="1" applyFont="1">
      <alignment horizontal="center" vertical="center"/>
    </xf>
    <xf borderId="11" fillId="5" fontId="8" numFmtId="21" xfId="0" applyAlignment="1" applyBorder="1" applyFont="1" applyNumberFormat="1">
      <alignment horizontal="center" vertical="center"/>
    </xf>
    <xf borderId="11" fillId="7" fontId="10" numFmtId="0" xfId="0" applyAlignment="1" applyBorder="1" applyFill="1" applyFont="1">
      <alignment horizontal="center" vertical="center"/>
    </xf>
    <xf borderId="11" fillId="8" fontId="11" numFmtId="0" xfId="0" applyAlignment="1" applyBorder="1" applyFill="1" applyFont="1">
      <alignment horizontal="center"/>
    </xf>
    <xf borderId="17" fillId="8" fontId="11" numFmtId="0" xfId="0" applyAlignment="1" applyBorder="1" applyFont="1">
      <alignment horizontal="center"/>
    </xf>
    <xf borderId="11" fillId="8" fontId="11" numFmtId="164" xfId="0" applyAlignment="1" applyBorder="1" applyFont="1" applyNumberFormat="1">
      <alignment horizontal="center"/>
    </xf>
    <xf borderId="11" fillId="8" fontId="12" numFmtId="3" xfId="0" applyAlignment="1" applyBorder="1" applyFont="1" applyNumberFormat="1">
      <alignment horizontal="center"/>
    </xf>
    <xf borderId="11" fillId="8" fontId="13" numFmtId="3" xfId="0" applyAlignment="1" applyBorder="1" applyFont="1" applyNumberFormat="1">
      <alignment horizontal="right"/>
    </xf>
    <xf borderId="18" fillId="2" fontId="1" numFmtId="0" xfId="0" applyAlignment="1" applyBorder="1" applyFont="1">
      <alignment horizontal="center" readingOrder="0" vertical="center"/>
    </xf>
    <xf borderId="19" fillId="0" fontId="2" numFmtId="0" xfId="0" applyBorder="1" applyFont="1"/>
    <xf borderId="20" fillId="0" fontId="2" numFmtId="0" xfId="0" applyBorder="1" applyFont="1"/>
    <xf borderId="21" fillId="3" fontId="3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3" fontId="3" numFmtId="0" xfId="0" applyAlignment="1" applyBorder="1" applyFont="1">
      <alignment horizontal="center"/>
    </xf>
    <xf borderId="27" fillId="3" fontId="3" numFmtId="0" xfId="0" applyAlignment="1" applyBorder="1" applyFont="1">
      <alignment horizontal="center"/>
    </xf>
    <xf borderId="28" fillId="3" fontId="3" numFmtId="0" xfId="0" applyAlignment="1" applyBorder="1" applyFont="1">
      <alignment horizontal="center"/>
    </xf>
    <xf borderId="29" fillId="3" fontId="3" numFmtId="0" xfId="0" applyAlignment="1" applyBorder="1" applyFont="1">
      <alignment horizontal="center"/>
    </xf>
    <xf borderId="18" fillId="3" fontId="3" numFmtId="0" xfId="0" applyAlignment="1" applyBorder="1" applyFont="1">
      <alignment horizontal="center"/>
    </xf>
    <xf borderId="30" fillId="0" fontId="2" numFmtId="0" xfId="0" applyBorder="1" applyFont="1"/>
    <xf borderId="29" fillId="5" fontId="4" numFmtId="49" xfId="0" applyAlignment="1" applyBorder="1" applyFont="1" applyNumberFormat="1">
      <alignment horizontal="center" readingOrder="0" vertical="center"/>
    </xf>
    <xf borderId="31" fillId="5" fontId="4" numFmtId="0" xfId="0" applyAlignment="1" applyBorder="1" applyFont="1">
      <alignment horizontal="center" readingOrder="0" vertical="center"/>
    </xf>
    <xf borderId="9" fillId="5" fontId="4" numFmtId="0" xfId="0" applyAlignment="1" applyBorder="1" applyFont="1">
      <alignment horizontal="center" readingOrder="0" vertical="center"/>
    </xf>
    <xf borderId="9" fillId="5" fontId="4" numFmtId="1" xfId="0" applyAlignment="1" applyBorder="1" applyFont="1" applyNumberFormat="1">
      <alignment horizontal="center" readingOrder="0" vertical="center"/>
    </xf>
    <xf borderId="9" fillId="5" fontId="4" numFmtId="0" xfId="0" applyAlignment="1" applyBorder="1" applyFont="1">
      <alignment horizontal="left" readingOrder="0" vertical="center"/>
    </xf>
    <xf borderId="9" fillId="5" fontId="5" numFmtId="3" xfId="0" applyAlignment="1" applyBorder="1" applyFont="1" applyNumberFormat="1">
      <alignment horizontal="right" shrinkToFit="0" wrapText="1"/>
    </xf>
    <xf borderId="9" fillId="5" fontId="14" numFmtId="3" xfId="0" applyAlignment="1" applyBorder="1" applyFont="1" applyNumberFormat="1">
      <alignment horizontal="center" readingOrder="0" shrinkToFit="0" vertical="center" wrapText="1"/>
    </xf>
    <xf borderId="31" fillId="5" fontId="5" numFmtId="0" xfId="0" applyAlignment="1" applyBorder="1" applyFont="1">
      <alignment horizontal="center" shrinkToFit="0" vertical="center" wrapText="1"/>
    </xf>
    <xf borderId="9" fillId="5" fontId="5" numFmtId="3" xfId="0" applyAlignment="1" applyBorder="1" applyFont="1" applyNumberFormat="1">
      <alignment horizontal="center" shrinkToFit="0" vertical="center" wrapText="1"/>
    </xf>
    <xf borderId="9" fillId="5" fontId="7" numFmtId="0" xfId="0" applyAlignment="1" applyBorder="1" applyFont="1">
      <alignment horizontal="center" readingOrder="0" vertical="center"/>
    </xf>
    <xf borderId="9" fillId="5" fontId="15" numFmtId="21" xfId="0" applyAlignment="1" applyBorder="1" applyFont="1" applyNumberFormat="1">
      <alignment horizontal="center" readingOrder="0" vertical="center"/>
    </xf>
    <xf borderId="9" fillId="7" fontId="16" numFmtId="0" xfId="0" applyAlignment="1" applyBorder="1" applyFont="1">
      <alignment horizontal="center" readingOrder="0" vertical="center"/>
    </xf>
    <xf borderId="29" fillId="5" fontId="4" numFmtId="49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readingOrder="0" vertical="center"/>
    </xf>
    <xf borderId="11" fillId="5" fontId="4" numFmtId="0" xfId="0" applyAlignment="1" applyBorder="1" applyFont="1">
      <alignment horizontal="center" readingOrder="0" vertical="center"/>
    </xf>
    <xf borderId="11" fillId="5" fontId="4" numFmtId="1" xfId="0" applyAlignment="1" applyBorder="1" applyFont="1" applyNumberFormat="1">
      <alignment horizontal="center" readingOrder="0" vertical="center"/>
    </xf>
    <xf borderId="11" fillId="5" fontId="4" numFmtId="0" xfId="0" applyAlignment="1" applyBorder="1" applyFont="1">
      <alignment horizontal="left" readingOrder="0" vertical="center"/>
    </xf>
    <xf borderId="9" fillId="6" fontId="6" numFmtId="3" xfId="0" applyAlignment="1" applyBorder="1" applyFont="1" applyNumberFormat="1">
      <alignment horizontal="right" readingOrder="0" shrinkToFit="0" wrapText="1"/>
    </xf>
    <xf borderId="11" fillId="5" fontId="7" numFmtId="0" xfId="0" applyAlignment="1" applyBorder="1" applyFont="1">
      <alignment horizontal="center" readingOrder="0" vertical="center"/>
    </xf>
    <xf borderId="11" fillId="5" fontId="15" numFmtId="21" xfId="0" applyAlignment="1" applyBorder="1" applyFont="1" applyNumberFormat="1">
      <alignment horizontal="center" readingOrder="0" vertical="center"/>
    </xf>
    <xf borderId="11" fillId="7" fontId="17" numFmtId="0" xfId="0" applyAlignment="1" applyBorder="1" applyFont="1">
      <alignment horizontal="center" readingOrder="0" vertical="center"/>
    </xf>
    <xf borderId="16" fillId="6" fontId="6" numFmtId="3" xfId="0" applyAlignment="1" applyBorder="1" applyFont="1" applyNumberFormat="1">
      <alignment horizontal="right" readingOrder="0" shrinkToFit="0" wrapText="1"/>
    </xf>
    <xf borderId="11" fillId="5" fontId="5" numFmtId="3" xfId="0" applyAlignment="1" applyBorder="1" applyFont="1" applyNumberFormat="1">
      <alignment horizontal="center" readingOrder="0" shrinkToFit="0" vertical="center" wrapText="1"/>
    </xf>
    <xf borderId="7" fillId="5" fontId="7" numFmtId="0" xfId="0" applyAlignment="1" applyBorder="1" applyFont="1">
      <alignment horizontal="center" readingOrder="0" vertical="center"/>
    </xf>
    <xf borderId="1" fillId="5" fontId="5" numFmtId="3" xfId="0" applyAlignment="1" applyBorder="1" applyFont="1" applyNumberFormat="1">
      <alignment horizontal="center" shrinkToFit="0" vertical="center" wrapText="1"/>
    </xf>
    <xf borderId="29" fillId="5" fontId="7" numFmtId="0" xfId="0" applyAlignment="1" applyBorder="1" applyFont="1">
      <alignment horizontal="center" readingOrder="0" vertical="center"/>
    </xf>
    <xf borderId="3" fillId="5" fontId="15" numFmtId="21" xfId="0" applyAlignment="1" applyBorder="1" applyFont="1" applyNumberFormat="1">
      <alignment horizontal="center" readingOrder="0" vertical="center"/>
    </xf>
    <xf borderId="29" fillId="8" fontId="11" numFmtId="0" xfId="0" applyAlignment="1" applyBorder="1" applyFont="1">
      <alignment horizontal="center"/>
    </xf>
    <xf borderId="32" fillId="8" fontId="11" numFmtId="0" xfId="0" applyAlignment="1" applyBorder="1" applyFont="1">
      <alignment horizontal="center"/>
    </xf>
    <xf borderId="9" fillId="8" fontId="12" numFmtId="3" xfId="0" applyAlignment="1" applyBorder="1" applyFont="1" applyNumberFormat="1">
      <alignment horizontal="center"/>
    </xf>
    <xf borderId="31" fillId="5" fontId="4" numFmtId="165" xfId="0" applyAlignment="1" applyBorder="1" applyFont="1" applyNumberFormat="1">
      <alignment horizontal="center" readingOrder="0" vertical="center"/>
    </xf>
    <xf borderId="3" fillId="5" fontId="4" numFmtId="165" xfId="0" applyAlignment="1" applyBorder="1" applyFont="1" applyNumberFormat="1">
      <alignment horizontal="center" readingOrder="0" vertical="center"/>
    </xf>
    <xf borderId="29" fillId="9" fontId="4" numFmtId="49" xfId="0" applyAlignment="1" applyBorder="1" applyFill="1" applyFont="1" applyNumberFormat="1">
      <alignment horizontal="center" readingOrder="0" vertical="center"/>
    </xf>
    <xf borderId="33" fillId="9" fontId="4" numFmtId="0" xfId="0" applyAlignment="1" applyBorder="1" applyFont="1">
      <alignment horizontal="center" readingOrder="0" vertical="center"/>
    </xf>
    <xf borderId="27" fillId="9" fontId="4" numFmtId="0" xfId="0" applyAlignment="1" applyBorder="1" applyFont="1">
      <alignment horizontal="center" readingOrder="0" vertical="center"/>
    </xf>
    <xf borderId="27" fillId="9" fontId="4" numFmtId="1" xfId="0" applyAlignment="1" applyBorder="1" applyFont="1" applyNumberFormat="1">
      <alignment horizontal="center" readingOrder="0" vertical="center"/>
    </xf>
    <xf borderId="27" fillId="9" fontId="4" numFmtId="0" xfId="0" applyAlignment="1" applyBorder="1" applyFont="1">
      <alignment horizontal="left" readingOrder="0" vertical="center"/>
    </xf>
    <xf borderId="27" fillId="9" fontId="5" numFmtId="3" xfId="0" applyAlignment="1" applyBorder="1" applyFont="1" applyNumberFormat="1">
      <alignment horizontal="right" shrinkToFit="0" wrapText="1"/>
    </xf>
    <xf borderId="27" fillId="9" fontId="14" numFmtId="3" xfId="0" applyAlignment="1" applyBorder="1" applyFont="1" applyNumberFormat="1">
      <alignment horizontal="center" readingOrder="0" shrinkToFit="0" vertical="center" wrapText="1"/>
    </xf>
    <xf borderId="33" fillId="9" fontId="5" numFmtId="0" xfId="0" applyAlignment="1" applyBorder="1" applyFont="1">
      <alignment horizontal="center" shrinkToFit="0" vertical="center" wrapText="1"/>
    </xf>
    <xf borderId="27" fillId="9" fontId="5" numFmtId="3" xfId="0" applyAlignment="1" applyBorder="1" applyFont="1" applyNumberFormat="1">
      <alignment horizontal="center" shrinkToFit="0" vertical="center" wrapText="1"/>
    </xf>
    <xf borderId="27" fillId="9" fontId="7" numFmtId="0" xfId="0" applyAlignment="1" applyBorder="1" applyFont="1">
      <alignment horizontal="center" readingOrder="0" vertical="center"/>
    </xf>
    <xf borderId="27" fillId="9" fontId="15" numFmtId="21" xfId="0" applyAlignment="1" applyBorder="1" applyFont="1" applyNumberFormat="1">
      <alignment horizontal="center" readingOrder="0" vertical="center"/>
    </xf>
    <xf borderId="34" fillId="9" fontId="18" numFmtId="0" xfId="0" applyAlignment="1" applyBorder="1" applyFont="1">
      <alignment horizontal="center" readingOrder="0" vertical="center"/>
    </xf>
    <xf borderId="29" fillId="6" fontId="4" numFmtId="49" xfId="0" applyAlignment="1" applyBorder="1" applyFont="1" applyNumberFormat="1">
      <alignment horizontal="center" vertical="center"/>
    </xf>
    <xf borderId="31" fillId="6" fontId="4" numFmtId="0" xfId="0" applyAlignment="1" applyBorder="1" applyFont="1">
      <alignment horizontal="center" readingOrder="0" vertical="center"/>
    </xf>
    <xf borderId="9" fillId="6" fontId="4" numFmtId="0" xfId="0" applyAlignment="1" applyBorder="1" applyFont="1">
      <alignment horizontal="center" readingOrder="0" vertical="center"/>
    </xf>
    <xf borderId="9" fillId="6" fontId="4" numFmtId="1" xfId="0" applyAlignment="1" applyBorder="1" applyFont="1" applyNumberFormat="1">
      <alignment horizontal="center" readingOrder="0" vertical="center"/>
    </xf>
    <xf borderId="9" fillId="6" fontId="4" numFmtId="0" xfId="0" applyAlignment="1" applyBorder="1" applyFont="1">
      <alignment horizontal="left" readingOrder="0" vertical="center"/>
    </xf>
    <xf borderId="9" fillId="6" fontId="5" numFmtId="3" xfId="0" applyAlignment="1" applyBorder="1" applyFont="1" applyNumberFormat="1">
      <alignment horizontal="right" shrinkToFit="0" wrapText="1"/>
    </xf>
    <xf borderId="9" fillId="6" fontId="5" numFmtId="3" xfId="0" applyAlignment="1" applyBorder="1" applyFont="1" applyNumberFormat="1">
      <alignment horizontal="center" readingOrder="0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9" fillId="6" fontId="5" numFmtId="3" xfId="0" applyAlignment="1" applyBorder="1" applyFont="1" applyNumberFormat="1">
      <alignment horizontal="center" shrinkToFit="0" vertical="center" wrapText="1"/>
    </xf>
    <xf borderId="9" fillId="6" fontId="7" numFmtId="0" xfId="0" applyAlignment="1" applyBorder="1" applyFont="1">
      <alignment horizontal="center" readingOrder="0" vertical="center"/>
    </xf>
    <xf borderId="9" fillId="6" fontId="15" numFmtId="21" xfId="0" applyAlignment="1" applyBorder="1" applyFont="1" applyNumberFormat="1">
      <alignment horizontal="center" readingOrder="0" vertical="center"/>
    </xf>
    <xf borderId="9" fillId="6" fontId="19" numFmtId="0" xfId="0" applyAlignment="1" applyBorder="1" applyFont="1">
      <alignment horizontal="center" readingOrder="0" vertical="center"/>
    </xf>
    <xf borderId="3" fillId="6" fontId="4" numFmtId="0" xfId="0" applyAlignment="1" applyBorder="1" applyFont="1">
      <alignment horizontal="center" readingOrder="0" vertical="center"/>
    </xf>
    <xf borderId="11" fillId="6" fontId="4" numFmtId="0" xfId="0" applyAlignment="1" applyBorder="1" applyFont="1">
      <alignment horizontal="center" readingOrder="0" vertical="center"/>
    </xf>
    <xf borderId="11" fillId="6" fontId="4" numFmtId="1" xfId="0" applyAlignment="1" applyBorder="1" applyFont="1" applyNumberFormat="1">
      <alignment horizontal="center" readingOrder="0" vertical="center"/>
    </xf>
    <xf borderId="11" fillId="6" fontId="4" numFmtId="0" xfId="0" applyAlignment="1" applyBorder="1" applyFont="1">
      <alignment horizontal="left" readingOrder="0" vertical="center"/>
    </xf>
    <xf borderId="16" fillId="6" fontId="5" numFmtId="3" xfId="0" applyAlignment="1" applyBorder="1" applyFont="1" applyNumberFormat="1">
      <alignment horizontal="right" shrinkToFit="0" wrapText="1"/>
    </xf>
    <xf borderId="11" fillId="6" fontId="5" numFmtId="3" xfId="0" applyAlignment="1" applyBorder="1" applyFont="1" applyNumberFormat="1">
      <alignment horizontal="center" readingOrder="0" shrinkToFit="0" vertical="center" wrapText="1"/>
    </xf>
    <xf borderId="11" fillId="6" fontId="5" numFmtId="0" xfId="0" applyAlignment="1" applyBorder="1" applyFont="1">
      <alignment horizontal="center" shrinkToFit="0" vertical="center" wrapText="1"/>
    </xf>
    <xf borderId="11" fillId="6" fontId="5" numFmtId="3" xfId="0" applyAlignment="1" applyBorder="1" applyFont="1" applyNumberFormat="1">
      <alignment horizontal="center" shrinkToFit="0" vertical="center" wrapText="1"/>
    </xf>
    <xf borderId="11" fillId="6" fontId="7" numFmtId="0" xfId="0" applyAlignment="1" applyBorder="1" applyFont="1">
      <alignment horizontal="center" readingOrder="0" vertical="center"/>
    </xf>
    <xf borderId="11" fillId="6" fontId="15" numFmtId="21" xfId="0" applyAlignment="1" applyBorder="1" applyFont="1" applyNumberFormat="1">
      <alignment horizontal="center" readingOrder="0" vertical="center"/>
    </xf>
    <xf borderId="11" fillId="6" fontId="20" numFmtId="0" xfId="0" applyAlignment="1" applyBorder="1" applyFont="1">
      <alignment horizontal="center" readingOrder="0" vertical="center"/>
    </xf>
    <xf borderId="9" fillId="6" fontId="5" numFmtId="3" xfId="0" applyAlignment="1" applyBorder="1" applyFont="1" applyNumberFormat="1">
      <alignment horizontal="right" readingOrder="0" shrinkToFit="0" wrapText="1"/>
    </xf>
    <xf borderId="7" fillId="6" fontId="7" numFmtId="0" xfId="0" applyAlignment="1" applyBorder="1" applyFont="1">
      <alignment horizontal="center" readingOrder="0" vertical="center"/>
    </xf>
    <xf borderId="7" fillId="6" fontId="15" numFmtId="21" xfId="0" applyAlignment="1" applyBorder="1" applyFont="1" applyNumberFormat="1">
      <alignment horizontal="center" readingOrder="0" vertical="center"/>
    </xf>
    <xf borderId="35" fillId="7" fontId="21" numFmtId="0" xfId="0" applyAlignment="1" applyBorder="1" applyFont="1">
      <alignment horizontal="center" readingOrder="0" vertical="center"/>
    </xf>
    <xf borderId="18" fillId="8" fontId="11" numFmtId="0" xfId="0" applyAlignment="1" applyBorder="1" applyFont="1">
      <alignment horizontal="center"/>
    </xf>
    <xf borderId="7" fillId="8" fontId="12" numFmtId="3" xfId="0" applyAlignment="1" applyBorder="1" applyFont="1" applyNumberFormat="1">
      <alignment horizontal="center" readingOrder="0"/>
    </xf>
    <xf borderId="7" fillId="8" fontId="12" numFmtId="3" xfId="0" applyAlignment="1" applyBorder="1" applyFont="1" applyNumberFormat="1">
      <alignment horizontal="center"/>
    </xf>
    <xf borderId="36" fillId="8" fontId="12" numFmtId="3" xfId="0" applyAlignment="1" applyBorder="1" applyFont="1" applyNumberFormat="1">
      <alignment horizontal="center" readingOrder="0"/>
    </xf>
    <xf borderId="29" fillId="8" fontId="12" numFmtId="3" xfId="0" applyAlignment="1" applyBorder="1" applyFont="1" applyNumberFormat="1">
      <alignment horizontal="center"/>
    </xf>
    <xf borderId="29" fillId="8" fontId="13" numFmtId="3" xfId="0" applyAlignment="1" applyBorder="1" applyFont="1" applyNumberFormat="1">
      <alignment horizontal="right"/>
    </xf>
    <xf borderId="18" fillId="7" fontId="12" numFmtId="3" xfId="0" applyAlignment="1" applyBorder="1" applyFont="1" applyNumberFormat="1">
      <alignment horizontal="center" readingOrder="0"/>
    </xf>
    <xf borderId="29" fillId="6" fontId="4" numFmtId="49" xfId="0" applyAlignment="1" applyBorder="1" applyFont="1" applyNumberFormat="1">
      <alignment horizontal="center" readingOrder="0" vertical="center"/>
    </xf>
    <xf borderId="33" fillId="6" fontId="4" numFmtId="165" xfId="0" applyAlignment="1" applyBorder="1" applyFont="1" applyNumberFormat="1">
      <alignment horizontal="center" readingOrder="0" vertical="center"/>
    </xf>
    <xf borderId="27" fillId="6" fontId="4" numFmtId="0" xfId="0" applyAlignment="1" applyBorder="1" applyFont="1">
      <alignment horizontal="center" readingOrder="0" vertical="center"/>
    </xf>
    <xf borderId="27" fillId="6" fontId="4" numFmtId="1" xfId="0" applyAlignment="1" applyBorder="1" applyFont="1" applyNumberFormat="1">
      <alignment horizontal="center" readingOrder="0" vertical="center"/>
    </xf>
    <xf borderId="27" fillId="6" fontId="4" numFmtId="0" xfId="0" applyAlignment="1" applyBorder="1" applyFont="1">
      <alignment horizontal="left" readingOrder="0" vertical="center"/>
    </xf>
    <xf borderId="27" fillId="6" fontId="5" numFmtId="3" xfId="0" applyAlignment="1" applyBorder="1" applyFont="1" applyNumberFormat="1">
      <alignment horizontal="right" readingOrder="0" shrinkToFit="0" wrapText="1"/>
    </xf>
    <xf borderId="27" fillId="6" fontId="14" numFmtId="3" xfId="0" applyAlignment="1" applyBorder="1" applyFont="1" applyNumberFormat="1">
      <alignment horizontal="center" readingOrder="0" shrinkToFit="0" vertical="center" wrapText="1"/>
    </xf>
    <xf borderId="33" fillId="6" fontId="5" numFmtId="0" xfId="0" applyAlignment="1" applyBorder="1" applyFont="1">
      <alignment horizontal="center" shrinkToFit="0" vertical="center" wrapText="1"/>
    </xf>
    <xf borderId="27" fillId="6" fontId="5" numFmtId="3" xfId="0" applyAlignment="1" applyBorder="1" applyFont="1" applyNumberFormat="1">
      <alignment horizontal="center" shrinkToFit="0" vertical="center" wrapText="1"/>
    </xf>
    <xf borderId="27" fillId="6" fontId="7" numFmtId="0" xfId="0" applyAlignment="1" applyBorder="1" applyFont="1">
      <alignment horizontal="center" readingOrder="0" vertical="center"/>
    </xf>
    <xf borderId="27" fillId="6" fontId="15" numFmtId="21" xfId="0" applyAlignment="1" applyBorder="1" applyFont="1" applyNumberFormat="1">
      <alignment horizontal="center" readingOrder="0" vertical="center"/>
    </xf>
    <xf borderId="27" fillId="6" fontId="15" numFmtId="0" xfId="0" applyAlignment="1" applyBorder="1" applyFont="1">
      <alignment horizontal="center" readingOrder="0" vertical="center"/>
    </xf>
    <xf borderId="27" fillId="6" fontId="5" numFmtId="3" xfId="0" applyAlignment="1" applyBorder="1" applyFont="1" applyNumberFormat="1">
      <alignment horizontal="right" shrinkToFit="0" wrapText="1"/>
    </xf>
    <xf borderId="33" fillId="6" fontId="14" numFmtId="0" xfId="0" applyAlignment="1" applyBorder="1" applyFont="1">
      <alignment horizontal="center" readingOrder="0" shrinkToFit="0" vertical="center" wrapText="1"/>
    </xf>
    <xf borderId="33" fillId="6" fontId="5" numFmtId="3" xfId="0" applyAlignment="1" applyBorder="1" applyFont="1" applyNumberFormat="1">
      <alignment horizontal="center" readingOrder="0" shrinkToFit="0" vertical="center" wrapText="1"/>
    </xf>
    <xf borderId="29" fillId="10" fontId="22" numFmtId="49" xfId="0" applyAlignment="1" applyBorder="1" applyFill="1" applyFont="1" applyNumberFormat="1">
      <alignment horizontal="center" readingOrder="0" vertical="center"/>
    </xf>
    <xf borderId="33" fillId="10" fontId="22" numFmtId="165" xfId="0" applyAlignment="1" applyBorder="1" applyFont="1" applyNumberFormat="1">
      <alignment horizontal="center" readingOrder="0" vertical="center"/>
    </xf>
    <xf borderId="27" fillId="10" fontId="22" numFmtId="0" xfId="0" applyAlignment="1" applyBorder="1" applyFont="1">
      <alignment horizontal="center" readingOrder="0" vertical="center"/>
    </xf>
    <xf borderId="27" fillId="10" fontId="22" numFmtId="1" xfId="0" applyAlignment="1" applyBorder="1" applyFont="1" applyNumberFormat="1">
      <alignment horizontal="center" readingOrder="0" vertical="center"/>
    </xf>
    <xf borderId="27" fillId="10" fontId="22" numFmtId="0" xfId="0" applyAlignment="1" applyBorder="1" applyFont="1">
      <alignment horizontal="left" readingOrder="0" vertical="center"/>
    </xf>
    <xf borderId="27" fillId="10" fontId="23" numFmtId="3" xfId="0" applyAlignment="1" applyBorder="1" applyFont="1" applyNumberFormat="1">
      <alignment horizontal="right" readingOrder="0" shrinkToFit="0" wrapText="1"/>
    </xf>
    <xf borderId="27" fillId="10" fontId="24" numFmtId="3" xfId="0" applyAlignment="1" applyBorder="1" applyFont="1" applyNumberFormat="1">
      <alignment horizontal="center" readingOrder="0" shrinkToFit="0" vertical="center" wrapText="1"/>
    </xf>
    <xf borderId="33" fillId="10" fontId="23" numFmtId="3" xfId="0" applyAlignment="1" applyBorder="1" applyFont="1" applyNumberFormat="1">
      <alignment horizontal="center" readingOrder="0" shrinkToFit="0" vertical="center" wrapText="1"/>
    </xf>
    <xf borderId="33" fillId="10" fontId="23" numFmtId="0" xfId="0" applyAlignment="1" applyBorder="1" applyFont="1">
      <alignment horizontal="center" shrinkToFit="0" vertical="center" wrapText="1"/>
    </xf>
    <xf borderId="27" fillId="10" fontId="23" numFmtId="3" xfId="0" applyAlignment="1" applyBorder="1" applyFont="1" applyNumberFormat="1">
      <alignment horizontal="center" shrinkToFit="0" vertical="center" wrapText="1"/>
    </xf>
    <xf borderId="27" fillId="10" fontId="25" numFmtId="0" xfId="0" applyAlignment="1" applyBorder="1" applyFont="1">
      <alignment horizontal="center" readingOrder="0" vertical="center"/>
    </xf>
    <xf borderId="27" fillId="10" fontId="26" numFmtId="21" xfId="0" applyAlignment="1" applyBorder="1" applyFont="1" applyNumberFormat="1">
      <alignment horizontal="center" readingOrder="0" vertical="center"/>
    </xf>
    <xf borderId="27" fillId="10" fontId="26" numFmtId="0" xfId="0" applyAlignment="1" applyBorder="1" applyFont="1">
      <alignment horizontal="center" readingOrder="0" vertical="center"/>
    </xf>
    <xf borderId="0" fillId="0" fontId="27" numFmtId="0" xfId="0" applyFont="1"/>
    <xf borderId="29" fillId="6" fontId="22" numFmtId="49" xfId="0" applyAlignment="1" applyBorder="1" applyFont="1" applyNumberFormat="1">
      <alignment horizontal="center" readingOrder="0" vertical="center"/>
    </xf>
    <xf borderId="33" fillId="6" fontId="22" numFmtId="165" xfId="0" applyAlignment="1" applyBorder="1" applyFont="1" applyNumberFormat="1">
      <alignment horizontal="center" readingOrder="0" vertical="center"/>
    </xf>
    <xf borderId="27" fillId="6" fontId="22" numFmtId="0" xfId="0" applyAlignment="1" applyBorder="1" applyFont="1">
      <alignment horizontal="center" readingOrder="0" vertical="center"/>
    </xf>
    <xf borderId="27" fillId="6" fontId="22" numFmtId="1" xfId="0" applyAlignment="1" applyBorder="1" applyFont="1" applyNumberFormat="1">
      <alignment horizontal="center" readingOrder="0" vertical="center"/>
    </xf>
    <xf borderId="27" fillId="6" fontId="22" numFmtId="0" xfId="0" applyAlignment="1" applyBorder="1" applyFont="1">
      <alignment horizontal="left" readingOrder="0" vertical="center"/>
    </xf>
    <xf borderId="27" fillId="6" fontId="23" numFmtId="3" xfId="0" applyAlignment="1" applyBorder="1" applyFont="1" applyNumberFormat="1">
      <alignment horizontal="right" shrinkToFit="0" wrapText="1"/>
    </xf>
    <xf borderId="27" fillId="6" fontId="24" numFmtId="3" xfId="0" applyAlignment="1" applyBorder="1" applyFont="1" applyNumberFormat="1">
      <alignment horizontal="center" readingOrder="0" shrinkToFit="0" vertical="center" wrapText="1"/>
    </xf>
    <xf borderId="33" fillId="6" fontId="23" numFmtId="0" xfId="0" applyAlignment="1" applyBorder="1" applyFont="1">
      <alignment horizontal="center" shrinkToFit="0" vertical="center" wrapText="1"/>
    </xf>
    <xf borderId="33" fillId="6" fontId="24" numFmtId="0" xfId="0" applyAlignment="1" applyBorder="1" applyFont="1">
      <alignment horizontal="center" readingOrder="0" shrinkToFit="0" vertical="center" wrapText="1"/>
    </xf>
    <xf borderId="27" fillId="6" fontId="23" numFmtId="3" xfId="0" applyAlignment="1" applyBorder="1" applyFont="1" applyNumberFormat="1">
      <alignment horizontal="center" shrinkToFit="0" vertical="center" wrapText="1"/>
    </xf>
    <xf borderId="27" fillId="6" fontId="25" numFmtId="0" xfId="0" applyAlignment="1" applyBorder="1" applyFont="1">
      <alignment horizontal="center" readingOrder="0" vertical="center"/>
    </xf>
    <xf borderId="27" fillId="6" fontId="26" numFmtId="21" xfId="0" applyAlignment="1" applyBorder="1" applyFont="1" applyNumberFormat="1">
      <alignment horizontal="center" readingOrder="0" vertical="center"/>
    </xf>
    <xf borderId="27" fillId="6" fontId="26" numFmtId="0" xfId="0" applyAlignment="1" applyBorder="1" applyFont="1">
      <alignment horizontal="center" readingOrder="0" vertical="center"/>
    </xf>
    <xf borderId="27" fillId="6" fontId="23" numFmtId="3" xfId="0" applyAlignment="1" applyBorder="1" applyFont="1" applyNumberFormat="1">
      <alignment horizontal="right" readingOrder="0" shrinkToFit="0" wrapText="1"/>
    </xf>
    <xf borderId="33" fillId="6" fontId="23" numFmtId="3" xfId="0" applyAlignment="1" applyBorder="1" applyFont="1" applyNumberFormat="1">
      <alignment horizontal="center" readingOrder="0" shrinkToFit="0" vertical="center" wrapText="1"/>
    </xf>
    <xf borderId="7" fillId="8" fontId="28" numFmtId="3" xfId="0" applyAlignment="1" applyBorder="1" applyFont="1" applyNumberFormat="1">
      <alignment horizontal="center" readingOrder="0"/>
    </xf>
    <xf borderId="18" fillId="7" fontId="28" numFmtId="3" xfId="0" applyAlignment="1" applyBorder="1" applyFont="1" applyNumberFormat="1">
      <alignment horizontal="center" readingOrder="0" vertical="top"/>
    </xf>
    <xf borderId="27" fillId="10" fontId="23" numFmtId="3" xfId="0" applyAlignment="1" applyBorder="1" applyFont="1" applyNumberFormat="1">
      <alignment horizontal="right" shrinkToFit="0" wrapText="1"/>
    </xf>
    <xf borderId="33" fillId="10" fontId="24" numFmtId="0" xfId="0" applyAlignment="1" applyBorder="1" applyFont="1">
      <alignment horizontal="center" readingOrder="0" shrinkToFit="0" vertical="center" wrapText="1"/>
    </xf>
    <xf borderId="27" fillId="5" fontId="26" numFmtId="0" xfId="0" applyAlignment="1" applyBorder="1" applyFont="1">
      <alignment horizontal="center" readingOrder="0" vertical="center"/>
    </xf>
    <xf borderId="29" fillId="11" fontId="22" numFmtId="49" xfId="0" applyAlignment="1" applyBorder="1" applyFill="1" applyFont="1" applyNumberFormat="1">
      <alignment horizontal="center" readingOrder="0" vertical="center"/>
    </xf>
    <xf borderId="30" fillId="11" fontId="29" numFmtId="166" xfId="0" applyAlignment="1" applyBorder="1" applyFont="1" applyNumberFormat="1">
      <alignment horizontal="center" vertical="bottom"/>
    </xf>
    <xf borderId="30" fillId="11" fontId="29" numFmtId="4" xfId="0" applyAlignment="1" applyBorder="1" applyFont="1" applyNumberFormat="1">
      <alignment vertical="bottom"/>
    </xf>
    <xf borderId="30" fillId="11" fontId="29" numFmtId="1" xfId="0" applyAlignment="1" applyBorder="1" applyFont="1" applyNumberFormat="1">
      <alignment horizontal="center" vertical="bottom"/>
    </xf>
    <xf borderId="30" fillId="11" fontId="29" numFmtId="0" xfId="0" applyAlignment="1" applyBorder="1" applyFont="1">
      <alignment vertical="bottom"/>
    </xf>
    <xf borderId="30" fillId="11" fontId="30" numFmtId="38" xfId="0" applyAlignment="1" applyBorder="1" applyFont="1" applyNumberFormat="1">
      <alignment vertical="bottom"/>
    </xf>
    <xf borderId="30" fillId="11" fontId="29" numFmtId="38" xfId="0" applyAlignment="1" applyBorder="1" applyFont="1" applyNumberFormat="1">
      <alignment horizontal="right" vertical="bottom"/>
    </xf>
    <xf borderId="33" fillId="11" fontId="23" numFmtId="0" xfId="0" applyAlignment="1" applyBorder="1" applyFont="1">
      <alignment horizontal="center" shrinkToFit="0" vertical="center" wrapText="1"/>
    </xf>
    <xf borderId="27" fillId="11" fontId="23" numFmtId="3" xfId="0" applyAlignment="1" applyBorder="1" applyFont="1" applyNumberFormat="1">
      <alignment horizontal="center" shrinkToFit="0" vertical="center" wrapText="1"/>
    </xf>
    <xf borderId="27" fillId="11" fontId="25" numFmtId="0" xfId="0" applyAlignment="1" applyBorder="1" applyFont="1">
      <alignment horizontal="center" readingOrder="0" vertical="center"/>
    </xf>
    <xf borderId="27" fillId="11" fontId="26" numFmtId="0" xfId="0" applyAlignment="1" applyBorder="1" applyFont="1">
      <alignment horizontal="center" readingOrder="0" vertical="center"/>
    </xf>
    <xf borderId="29" fillId="12" fontId="22" numFmtId="49" xfId="0" applyAlignment="1" applyBorder="1" applyFill="1" applyFont="1" applyNumberFormat="1">
      <alignment horizontal="center" readingOrder="0" vertical="center"/>
    </xf>
    <xf borderId="30" fillId="12" fontId="29" numFmtId="166" xfId="0" applyAlignment="1" applyBorder="1" applyFont="1" applyNumberFormat="1">
      <alignment horizontal="center" vertical="bottom"/>
    </xf>
    <xf borderId="30" fillId="12" fontId="29" numFmtId="4" xfId="0" applyAlignment="1" applyBorder="1" applyFont="1" applyNumberFormat="1">
      <alignment vertical="bottom"/>
    </xf>
    <xf borderId="30" fillId="12" fontId="29" numFmtId="1" xfId="0" applyAlignment="1" applyBorder="1" applyFont="1" applyNumberFormat="1">
      <alignment horizontal="center" vertical="bottom"/>
    </xf>
    <xf borderId="30" fillId="12" fontId="29" numFmtId="0" xfId="0" applyAlignment="1" applyBorder="1" applyFont="1">
      <alignment vertical="bottom"/>
    </xf>
    <xf borderId="30" fillId="12" fontId="29" numFmtId="38" xfId="0" applyAlignment="1" applyBorder="1" applyFont="1" applyNumberFormat="1">
      <alignment horizontal="right" vertical="bottom"/>
    </xf>
    <xf borderId="30" fillId="12" fontId="30" numFmtId="38" xfId="0" applyAlignment="1" applyBorder="1" applyFont="1" applyNumberFormat="1">
      <alignment vertical="bottom"/>
    </xf>
    <xf borderId="33" fillId="12" fontId="24" numFmtId="0" xfId="0" applyAlignment="1" applyBorder="1" applyFont="1">
      <alignment horizontal="center" readingOrder="0" shrinkToFit="0" vertical="center" wrapText="1"/>
    </xf>
    <xf borderId="27" fillId="12" fontId="23" numFmtId="3" xfId="0" applyAlignment="1" applyBorder="1" applyFont="1" applyNumberFormat="1">
      <alignment horizontal="center" shrinkToFit="0" vertical="center" wrapText="1"/>
    </xf>
    <xf borderId="27" fillId="12" fontId="25" numFmtId="0" xfId="0" applyAlignment="1" applyBorder="1" applyFont="1">
      <alignment horizontal="center" readingOrder="0" vertical="center"/>
    </xf>
    <xf borderId="27" fillId="12" fontId="26" numFmtId="21" xfId="0" applyAlignment="1" applyBorder="1" applyFont="1" applyNumberFormat="1">
      <alignment horizontal="center" readingOrder="0" vertical="center"/>
    </xf>
    <xf borderId="27" fillId="12" fontId="26" numFmtId="0" xfId="0" applyAlignment="1" applyBorder="1" applyFont="1">
      <alignment horizontal="center" readingOrder="0" vertical="center"/>
    </xf>
    <xf borderId="33" fillId="12" fontId="23" numFmtId="0" xfId="0" applyAlignment="1" applyBorder="1" applyFont="1">
      <alignment horizontal="center" shrinkToFit="0" vertical="center" wrapText="1"/>
    </xf>
    <xf borderId="29" fillId="13" fontId="22" numFmtId="49" xfId="0" applyAlignment="1" applyBorder="1" applyFill="1" applyFont="1" applyNumberFormat="1">
      <alignment horizontal="center" readingOrder="0" vertical="center"/>
    </xf>
    <xf borderId="30" fillId="13" fontId="29" numFmtId="166" xfId="0" applyAlignment="1" applyBorder="1" applyFont="1" applyNumberFormat="1">
      <alignment horizontal="center" vertical="bottom"/>
    </xf>
    <xf borderId="30" fillId="13" fontId="29" numFmtId="4" xfId="0" applyAlignment="1" applyBorder="1" applyFont="1" applyNumberFormat="1">
      <alignment vertical="bottom"/>
    </xf>
    <xf borderId="30" fillId="13" fontId="29" numFmtId="1" xfId="0" applyAlignment="1" applyBorder="1" applyFont="1" applyNumberFormat="1">
      <alignment horizontal="center" vertical="bottom"/>
    </xf>
    <xf borderId="30" fillId="13" fontId="29" numFmtId="0" xfId="0" applyAlignment="1" applyBorder="1" applyFont="1">
      <alignment vertical="bottom"/>
    </xf>
    <xf borderId="30" fillId="13" fontId="29" numFmtId="38" xfId="0" applyAlignment="1" applyBorder="1" applyFont="1" applyNumberFormat="1">
      <alignment horizontal="right" vertical="bottom"/>
    </xf>
    <xf borderId="30" fillId="13" fontId="30" numFmtId="38" xfId="0" applyAlignment="1" applyBorder="1" applyFont="1" applyNumberFormat="1">
      <alignment vertical="bottom"/>
    </xf>
    <xf borderId="33" fillId="13" fontId="23" numFmtId="0" xfId="0" applyAlignment="1" applyBorder="1" applyFont="1">
      <alignment horizontal="center" shrinkToFit="0" vertical="center" wrapText="1"/>
    </xf>
    <xf borderId="27" fillId="13" fontId="23" numFmtId="3" xfId="0" applyAlignment="1" applyBorder="1" applyFont="1" applyNumberFormat="1">
      <alignment horizontal="center" shrinkToFit="0" vertical="center" wrapText="1"/>
    </xf>
    <xf borderId="27" fillId="13" fontId="25" numFmtId="0" xfId="0" applyAlignment="1" applyBorder="1" applyFont="1">
      <alignment horizontal="center" readingOrder="0" vertical="center"/>
    </xf>
    <xf borderId="27" fillId="13" fontId="26" numFmtId="0" xfId="0" applyAlignment="1" applyBorder="1" applyFont="1">
      <alignment horizontal="center" readingOrder="0" vertical="center"/>
    </xf>
    <xf borderId="33" fillId="13" fontId="22" numFmtId="165" xfId="0" applyAlignment="1" applyBorder="1" applyFont="1" applyNumberFormat="1">
      <alignment horizontal="center" readingOrder="0" vertical="center"/>
    </xf>
    <xf borderId="27" fillId="13" fontId="22" numFmtId="0" xfId="0" applyAlignment="1" applyBorder="1" applyFont="1">
      <alignment horizontal="center" readingOrder="0" vertical="center"/>
    </xf>
    <xf borderId="27" fillId="13" fontId="22" numFmtId="1" xfId="0" applyAlignment="1" applyBorder="1" applyFont="1" applyNumberFormat="1">
      <alignment horizontal="center" readingOrder="0" vertical="center"/>
    </xf>
    <xf borderId="27" fillId="13" fontId="22" numFmtId="0" xfId="0" applyAlignment="1" applyBorder="1" applyFont="1">
      <alignment horizontal="left" readingOrder="0" vertical="center"/>
    </xf>
    <xf borderId="27" fillId="13" fontId="23" numFmtId="3" xfId="0" applyAlignment="1" applyBorder="1" applyFont="1" applyNumberFormat="1">
      <alignment horizontal="right" readingOrder="0" shrinkToFit="0" wrapText="1"/>
    </xf>
    <xf borderId="27" fillId="13" fontId="24" numFmtId="3" xfId="0" applyAlignment="1" applyBorder="1" applyFont="1" applyNumberFormat="1">
      <alignment horizontal="center" readingOrder="0" shrinkToFit="0" vertical="center" wrapText="1"/>
    </xf>
    <xf borderId="33" fillId="13" fontId="23" numFmtId="3" xfId="0" applyAlignment="1" applyBorder="1" applyFont="1" applyNumberFormat="1">
      <alignment horizontal="center" readingOrder="0" shrinkToFit="0" vertical="center" wrapText="1"/>
    </xf>
    <xf borderId="27" fillId="13" fontId="26" numFmtId="21" xfId="0" applyAlignment="1" applyBorder="1" applyFont="1" applyNumberFormat="1">
      <alignment horizontal="center" readingOrder="0" vertical="center"/>
    </xf>
    <xf borderId="29" fillId="5" fontId="22" numFmtId="49" xfId="0" applyAlignment="1" applyBorder="1" applyFont="1" applyNumberFormat="1">
      <alignment horizontal="center" readingOrder="0" vertical="center"/>
    </xf>
    <xf borderId="30" fillId="5" fontId="29" numFmtId="166" xfId="0" applyAlignment="1" applyBorder="1" applyFont="1" applyNumberFormat="1">
      <alignment horizontal="center" readingOrder="0" vertical="bottom"/>
    </xf>
    <xf borderId="29" fillId="5" fontId="29" numFmtId="4" xfId="0" applyAlignment="1" applyBorder="1" applyFont="1" applyNumberFormat="1">
      <alignment readingOrder="0" vertical="bottom"/>
    </xf>
    <xf borderId="29" fillId="5" fontId="29" numFmtId="1" xfId="0" applyAlignment="1" applyBorder="1" applyFont="1" applyNumberFormat="1">
      <alignment horizontal="center" readingOrder="0" vertical="bottom"/>
    </xf>
    <xf borderId="29" fillId="5" fontId="29" numFmtId="0" xfId="0" applyAlignment="1" applyBorder="1" applyFont="1">
      <alignment readingOrder="0" vertical="bottom"/>
    </xf>
    <xf borderId="29" fillId="5" fontId="30" numFmtId="38" xfId="0" applyAlignment="1" applyBorder="1" applyFont="1" applyNumberFormat="1">
      <alignment vertical="bottom"/>
    </xf>
    <xf borderId="29" fillId="5" fontId="29" numFmtId="38" xfId="0" applyAlignment="1" applyBorder="1" applyFont="1" applyNumberFormat="1">
      <alignment horizontal="right" readingOrder="0" vertical="bottom"/>
    </xf>
    <xf borderId="29" fillId="5" fontId="23" numFmtId="0" xfId="0" applyAlignment="1" applyBorder="1" applyFont="1">
      <alignment horizontal="center" shrinkToFit="0" vertical="center" wrapText="1"/>
    </xf>
    <xf borderId="33" fillId="5" fontId="23" numFmtId="3" xfId="0" applyAlignment="1" applyBorder="1" applyFont="1" applyNumberFormat="1">
      <alignment horizontal="center" shrinkToFit="0" vertical="center" wrapText="1"/>
    </xf>
    <xf borderId="27" fillId="5" fontId="25" numFmtId="0" xfId="0" applyAlignment="1" applyBorder="1" applyFont="1">
      <alignment horizontal="center" readingOrder="0" vertical="center"/>
    </xf>
    <xf borderId="29" fillId="5" fontId="29" numFmtId="38" xfId="0" applyAlignment="1" applyBorder="1" applyFont="1" applyNumberFormat="1">
      <alignment horizontal="right" vertical="bottom"/>
    </xf>
    <xf borderId="29" fillId="5" fontId="31" numFmtId="38" xfId="0" applyAlignment="1" applyBorder="1" applyFont="1" applyNumberFormat="1">
      <alignment readingOrder="0" vertical="bottom"/>
    </xf>
    <xf borderId="29" fillId="5" fontId="24" numFmtId="0" xfId="0" applyAlignment="1" applyBorder="1" applyFont="1">
      <alignment horizontal="center" readingOrder="0" shrinkToFit="0" vertical="center" wrapText="1"/>
    </xf>
    <xf borderId="29" fillId="6" fontId="29" numFmtId="38" xfId="0" applyAlignment="1" applyBorder="1" applyFont="1" applyNumberFormat="1">
      <alignment horizontal="right" vertical="bottom"/>
    </xf>
    <xf borderId="30" fillId="6" fontId="29" numFmtId="166" xfId="0" applyAlignment="1" applyBorder="1" applyFont="1" applyNumberFormat="1">
      <alignment horizontal="center" vertical="bottom"/>
    </xf>
    <xf borderId="29" fillId="6" fontId="29" numFmtId="4" xfId="0" applyAlignment="1" applyBorder="1" applyFont="1" applyNumberFormat="1">
      <alignment vertical="bottom"/>
    </xf>
    <xf borderId="29" fillId="6" fontId="29" numFmtId="1" xfId="0" applyAlignment="1" applyBorder="1" applyFont="1" applyNumberFormat="1">
      <alignment horizontal="center" vertical="bottom"/>
    </xf>
    <xf borderId="29" fillId="6" fontId="29" numFmtId="0" xfId="0" applyAlignment="1" applyBorder="1" applyFont="1">
      <alignment vertical="bottom"/>
    </xf>
    <xf borderId="33" fillId="5" fontId="23" numFmtId="38" xfId="0" applyAlignment="1" applyBorder="1" applyFont="1" applyNumberFormat="1">
      <alignment horizontal="center" shrinkToFit="0" vertical="center" wrapText="1"/>
    </xf>
    <xf borderId="30" fillId="6" fontId="29" numFmtId="4" xfId="0" applyAlignment="1" applyBorder="1" applyFont="1" applyNumberFormat="1">
      <alignment vertical="bottom"/>
    </xf>
    <xf borderId="30" fillId="6" fontId="29" numFmtId="1" xfId="0" applyAlignment="1" applyBorder="1" applyFont="1" applyNumberFormat="1">
      <alignment horizontal="center" vertical="bottom"/>
    </xf>
    <xf borderId="30" fillId="6" fontId="29" numFmtId="0" xfId="0" applyAlignment="1" applyBorder="1" applyFont="1">
      <alignment vertical="bottom"/>
    </xf>
    <xf borderId="30" fillId="6" fontId="29" numFmtId="38" xfId="0" applyAlignment="1" applyBorder="1" applyFont="1" applyNumberFormat="1">
      <alignment horizontal="right" vertical="bottom"/>
    </xf>
    <xf borderId="27" fillId="5" fontId="32" numFmtId="0" xfId="0" applyAlignment="1" applyBorder="1" applyFont="1">
      <alignment horizontal="center" readingOrder="0" vertical="center"/>
    </xf>
    <xf borderId="30" fillId="5" fontId="30" numFmtId="38" xfId="0" applyAlignment="1" applyBorder="1" applyFont="1" applyNumberFormat="1">
      <alignment vertical="bottom"/>
    </xf>
    <xf borderId="37" fillId="6" fontId="33" numFmtId="38" xfId="0" applyAlignment="1" applyBorder="1" applyFont="1" applyNumberFormat="1">
      <alignment horizontal="center" vertical="bottom"/>
    </xf>
    <xf borderId="30" fillId="6" fontId="33" numFmtId="38" xfId="0" applyAlignment="1" applyBorder="1" applyFont="1" applyNumberFormat="1">
      <alignment horizontal="center" vertical="bottom"/>
    </xf>
    <xf borderId="30" fillId="6" fontId="30" numFmtId="38" xfId="0" applyAlignment="1" applyBorder="1" applyFont="1" applyNumberFormat="1">
      <alignment vertical="bottom"/>
    </xf>
    <xf borderId="33" fillId="5" fontId="24" numFmtId="38" xfId="0" applyAlignment="1" applyBorder="1" applyFont="1" applyNumberFormat="1">
      <alignment horizontal="center" readingOrder="0" shrinkToFit="0" vertical="center" wrapText="1"/>
    </xf>
    <xf borderId="30" fillId="6" fontId="33" numFmtId="38" xfId="0" applyAlignment="1" applyBorder="1" applyFont="1" applyNumberFormat="1">
      <alignment horizontal="right" vertical="bottom"/>
    </xf>
    <xf borderId="30" fillId="6" fontId="34" numFmtId="38" xfId="0" applyAlignment="1" applyBorder="1" applyFont="1" applyNumberFormat="1">
      <alignment vertical="bottom"/>
    </xf>
    <xf borderId="29" fillId="5" fontId="35" numFmtId="0" xfId="0" applyAlignment="1" applyBorder="1" applyFont="1">
      <alignment horizontal="center" shrinkToFit="0" vertical="center" wrapText="1"/>
    </xf>
    <xf borderId="33" fillId="5" fontId="35" numFmtId="3" xfId="0" applyAlignment="1" applyBorder="1" applyFont="1" applyNumberFormat="1">
      <alignment horizontal="center" shrinkToFit="0" vertical="center" wrapText="1"/>
    </xf>
    <xf borderId="29" fillId="5" fontId="33" numFmtId="0" xfId="0" applyAlignment="1" applyBorder="1" applyFont="1">
      <alignment horizontal="center" readingOrder="0" shrinkToFit="0" vertical="center" wrapText="1"/>
    </xf>
    <xf borderId="29" fillId="5" fontId="33" numFmtId="38" xfId="0" applyAlignment="1" applyBorder="1" applyFont="1" applyNumberFormat="1">
      <alignment horizontal="right" vertical="bottom"/>
    </xf>
    <xf borderId="18" fillId="3" fontId="36" numFmtId="0" xfId="0" applyAlignment="1" applyBorder="1" applyFont="1">
      <alignment horizontal="center" readingOrder="0"/>
    </xf>
    <xf borderId="27" fillId="5" fontId="37" numFmtId="0" xfId="0" applyAlignment="1" applyBorder="1" applyFont="1">
      <alignment horizontal="center" readingOrder="0" vertical="center"/>
    </xf>
    <xf borderId="27" fillId="5" fontId="38" numFmtId="0" xfId="0" applyAlignment="1" applyBorder="1" applyFont="1">
      <alignment horizontal="center" readingOrder="0" vertical="center"/>
    </xf>
    <xf borderId="33" fillId="5" fontId="33" numFmtId="3" xfId="0" applyAlignment="1" applyBorder="1" applyFont="1" applyNumberFormat="1">
      <alignment horizontal="center" readingOrder="0" shrinkToFit="0" vertical="center" wrapText="1"/>
    </xf>
    <xf borderId="29" fillId="0" fontId="39" numFmtId="166" xfId="0" applyAlignment="1" applyBorder="1" applyFont="1" applyNumberFormat="1">
      <alignment horizontal="center" vertical="bottom"/>
    </xf>
    <xf borderId="29" fillId="0" fontId="39" numFmtId="167" xfId="0" applyAlignment="1" applyBorder="1" applyFont="1" applyNumberFormat="1">
      <alignment horizontal="center" vertical="bottom"/>
    </xf>
    <xf borderId="29" fillId="0" fontId="39" numFmtId="1" xfId="0" applyAlignment="1" applyBorder="1" applyFont="1" applyNumberFormat="1">
      <alignment horizontal="center" vertical="bottom"/>
    </xf>
    <xf borderId="29" fillId="0" fontId="39" numFmtId="0" xfId="0" applyAlignment="1" applyBorder="1" applyFont="1">
      <alignment horizontal="left" vertical="bottom"/>
    </xf>
    <xf borderId="29" fillId="0" fontId="39" numFmtId="166" xfId="0" applyAlignment="1" applyBorder="1" applyFont="1" applyNumberFormat="1">
      <alignment horizontal="center" readingOrder="0" vertical="bottom"/>
    </xf>
    <xf borderId="30" fillId="6" fontId="29" numFmtId="4" xfId="0" applyAlignment="1" applyBorder="1" applyFont="1" applyNumberFormat="1">
      <alignment readingOrder="0" vertical="bottom"/>
    </xf>
    <xf borderId="30" fillId="6" fontId="29" numFmtId="1" xfId="0" applyAlignment="1" applyBorder="1" applyFont="1" applyNumberFormat="1">
      <alignment horizontal="center" readingOrder="0" vertical="bottom"/>
    </xf>
    <xf borderId="30" fillId="6" fontId="29" numFmtId="0" xfId="0" applyAlignment="1" applyBorder="1" applyFont="1">
      <alignment readingOrder="0" vertical="bottom"/>
    </xf>
    <xf borderId="38" fillId="6" fontId="30" numFmtId="38" xfId="0" applyAlignment="1" applyBorder="1" applyFont="1" applyNumberFormat="1">
      <alignment vertical="bottom"/>
    </xf>
    <xf borderId="38" fillId="6" fontId="29" numFmtId="38" xfId="0" applyAlignment="1" applyBorder="1" applyFont="1" applyNumberFormat="1">
      <alignment horizontal="right" readingOrder="0" vertical="bottom"/>
    </xf>
    <xf borderId="38" fillId="6" fontId="34" numFmtId="38" xfId="0" applyAlignment="1" applyBorder="1" applyFont="1" applyNumberFormat="1">
      <alignment vertical="bottom"/>
    </xf>
    <xf borderId="21" fillId="5" fontId="35" numFmtId="0" xfId="0" applyAlignment="1" applyBorder="1" applyFont="1">
      <alignment horizontal="center" shrinkToFit="0" vertical="center" wrapText="1"/>
    </xf>
    <xf borderId="39" fillId="5" fontId="35" numFmtId="3" xfId="0" applyAlignment="1" applyBorder="1" applyFont="1" applyNumberFormat="1">
      <alignment horizontal="center" shrinkToFit="0" vertical="center" wrapText="1"/>
    </xf>
    <xf borderId="40" fillId="6" fontId="22" numFmtId="0" xfId="0" applyAlignment="1" applyBorder="1" applyFont="1">
      <alignment horizontal="left" readingOrder="0" vertical="center"/>
    </xf>
    <xf borderId="29" fillId="6" fontId="23" numFmtId="3" xfId="0" applyAlignment="1" applyBorder="1" applyFont="1" applyNumberFormat="1">
      <alignment horizontal="right" readingOrder="0" shrinkToFit="0" wrapText="1"/>
    </xf>
    <xf borderId="29" fillId="6" fontId="24" numFmtId="3" xfId="0" applyAlignment="1" applyBorder="1" applyFont="1" applyNumberFormat="1">
      <alignment horizontal="center" readingOrder="0" shrinkToFit="0" vertical="center" wrapText="1"/>
    </xf>
    <xf borderId="29" fillId="6" fontId="23" numFmtId="3" xfId="0" applyAlignment="1" applyBorder="1" applyFont="1" applyNumberFormat="1">
      <alignment horizontal="center" readingOrder="0" shrinkToFit="0" vertical="center" wrapText="1"/>
    </xf>
    <xf borderId="29" fillId="6" fontId="23" numFmtId="0" xfId="0" applyAlignment="1" applyBorder="1" applyFont="1">
      <alignment horizontal="center" shrinkToFit="0" vertical="center" wrapText="1"/>
    </xf>
    <xf borderId="29" fillId="6" fontId="23" numFmtId="3" xfId="0" applyAlignment="1" applyBorder="1" applyFont="1" applyNumberFormat="1">
      <alignment horizontal="center" shrinkToFit="0" vertical="center" wrapText="1"/>
    </xf>
    <xf borderId="33" fillId="6" fontId="25" numFmtId="0" xfId="0" applyAlignment="1" applyBorder="1" applyFont="1">
      <alignment horizontal="center" readingOrder="0" vertical="center"/>
    </xf>
    <xf borderId="35" fillId="8" fontId="28" numFmtId="3" xfId="0" applyAlignment="1" applyBorder="1" applyFont="1" applyNumberFormat="1">
      <alignment horizontal="center" readingOrder="0"/>
    </xf>
    <xf borderId="30" fillId="6" fontId="40" numFmtId="38" xfId="0" applyAlignment="1" applyBorder="1" applyFont="1" applyNumberFormat="1">
      <alignment horizontal="right" vertical="bottom"/>
    </xf>
    <xf borderId="30" fillId="6" fontId="41" numFmtId="38" xfId="0" applyAlignment="1" applyBorder="1" applyFont="1" applyNumberFormat="1">
      <alignment vertical="bottom"/>
    </xf>
    <xf borderId="29" fillId="5" fontId="42" numFmtId="0" xfId="0" applyAlignment="1" applyBorder="1" applyFont="1">
      <alignment horizontal="center" shrinkToFit="0" vertical="center" wrapText="1"/>
    </xf>
    <xf borderId="33" fillId="5" fontId="42" numFmtId="3" xfId="0" applyAlignment="1" applyBorder="1" applyFont="1" applyNumberFormat="1">
      <alignment horizontal="center" shrinkToFit="0" vertical="center" wrapText="1"/>
    </xf>
    <xf borderId="29" fillId="5" fontId="40" numFmtId="0" xfId="0" applyAlignment="1" applyBorder="1" applyFont="1">
      <alignment horizontal="center" readingOrder="0" shrinkToFit="0" vertical="center" wrapText="1"/>
    </xf>
    <xf borderId="30" fillId="6" fontId="29" numFmtId="165" xfId="0" applyAlignment="1" applyBorder="1" applyFont="1" applyNumberFormat="1">
      <alignment horizontal="center" vertical="bottom"/>
    </xf>
    <xf borderId="33" fillId="5" fontId="40" numFmtId="3" xfId="0" applyAlignment="1" applyBorder="1" applyFont="1" applyNumberFormat="1">
      <alignment horizontal="center" readingOrder="0" shrinkToFit="0" vertical="center" wrapText="1"/>
    </xf>
    <xf borderId="30" fillId="6" fontId="29" numFmtId="166" xfId="0" applyAlignment="1" applyBorder="1" applyFont="1" applyNumberFormat="1">
      <alignment horizontal="center" readingOrder="0" vertical="bottom"/>
    </xf>
    <xf borderId="30" fillId="6" fontId="14" numFmtId="38" xfId="0" applyAlignment="1" applyBorder="1" applyFont="1" applyNumberFormat="1">
      <alignment horizontal="right" vertical="bottom"/>
    </xf>
    <xf borderId="30" fillId="6" fontId="43" numFmtId="38" xfId="0" applyAlignment="1" applyBorder="1" applyFont="1" applyNumberFormat="1">
      <alignment vertical="bottom"/>
    </xf>
    <xf borderId="27" fillId="5" fontId="15" numFmtId="0" xfId="0" applyAlignment="1" applyBorder="1" applyFont="1">
      <alignment horizontal="center" readingOrder="0" vertical="center"/>
    </xf>
    <xf borderId="29" fillId="9" fontId="22" numFmtId="49" xfId="0" applyAlignment="1" applyBorder="1" applyFont="1" applyNumberFormat="1">
      <alignment horizontal="center" readingOrder="0" vertical="center"/>
    </xf>
    <xf borderId="30" fillId="9" fontId="29" numFmtId="166" xfId="0" applyAlignment="1" applyBorder="1" applyFont="1" applyNumberFormat="1">
      <alignment horizontal="center" readingOrder="0" vertical="bottom"/>
    </xf>
    <xf borderId="30" fillId="9" fontId="29" numFmtId="4" xfId="0" applyAlignment="1" applyBorder="1" applyFont="1" applyNumberFormat="1">
      <alignment readingOrder="0" vertical="bottom"/>
    </xf>
    <xf borderId="30" fillId="9" fontId="29" numFmtId="1" xfId="0" applyAlignment="1" applyBorder="1" applyFont="1" applyNumberFormat="1">
      <alignment horizontal="center" readingOrder="0" vertical="bottom"/>
    </xf>
    <xf borderId="30" fillId="9" fontId="29" numFmtId="0" xfId="0" applyAlignment="1" applyBorder="1" applyFont="1">
      <alignment readingOrder="0" vertical="bottom"/>
    </xf>
    <xf borderId="30" fillId="9" fontId="33" numFmtId="38" xfId="0" applyAlignment="1" applyBorder="1" applyFont="1" applyNumberFormat="1">
      <alignment horizontal="right" vertical="bottom"/>
    </xf>
    <xf borderId="30" fillId="9" fontId="34" numFmtId="38" xfId="0" applyAlignment="1" applyBorder="1" applyFont="1" applyNumberFormat="1">
      <alignment vertical="bottom"/>
    </xf>
    <xf borderId="29" fillId="9" fontId="42" numFmtId="0" xfId="0" applyAlignment="1" applyBorder="1" applyFont="1">
      <alignment horizontal="center" shrinkToFit="0" vertical="center" wrapText="1"/>
    </xf>
    <xf borderId="33" fillId="9" fontId="42" numFmtId="3" xfId="0" applyAlignment="1" applyBorder="1" applyFont="1" applyNumberFormat="1">
      <alignment horizontal="center" shrinkToFit="0" vertical="center" wrapText="1"/>
    </xf>
    <xf borderId="27" fillId="9" fontId="37" numFmtId="0" xfId="0" applyAlignment="1" applyBorder="1" applyFont="1">
      <alignment horizontal="center" readingOrder="0" vertical="center"/>
    </xf>
    <xf borderId="27" fillId="9" fontId="26" numFmtId="0" xfId="0" applyAlignment="1" applyBorder="1" applyFont="1">
      <alignment horizontal="center" readingOrder="0" vertical="center"/>
    </xf>
    <xf borderId="29" fillId="9" fontId="40" numFmtId="0" xfId="0" applyAlignment="1" applyBorder="1" applyFont="1">
      <alignment horizontal="center" readingOrder="0" shrinkToFit="0" vertical="center" wrapText="1"/>
    </xf>
    <xf borderId="30" fillId="6" fontId="29" numFmtId="38" xfId="0" applyAlignment="1" applyBorder="1" applyFont="1" applyNumberFormat="1">
      <alignment readingOrder="0" vertical="bottom"/>
    </xf>
    <xf borderId="29" fillId="6" fontId="42" numFmtId="0" xfId="0" applyAlignment="1" applyBorder="1" applyFont="1">
      <alignment horizontal="center" shrinkToFit="0" vertical="center" wrapText="1"/>
    </xf>
    <xf borderId="33" fillId="6" fontId="42" numFmtId="3" xfId="0" applyAlignment="1" applyBorder="1" applyFont="1" applyNumberFormat="1">
      <alignment horizontal="center" shrinkToFit="0" vertical="center" wrapText="1"/>
    </xf>
    <xf borderId="27" fillId="6" fontId="37" numFmtId="0" xfId="0" applyAlignment="1" applyBorder="1" applyFont="1">
      <alignment horizontal="center" readingOrder="0" vertical="center"/>
    </xf>
    <xf borderId="29" fillId="6" fontId="40" numFmtId="0" xfId="0" applyAlignment="1" applyBorder="1" applyFont="1">
      <alignment horizontal="center" readingOrder="0" shrinkToFit="0" vertical="center" wrapText="1"/>
    </xf>
    <xf borderId="33" fillId="6" fontId="40" numFmtId="3" xfId="0" applyAlignment="1" applyBorder="1" applyFont="1" applyNumberFormat="1">
      <alignment horizontal="center" readingOrder="0" shrinkToFit="0" vertical="center" wrapText="1"/>
    </xf>
    <xf borderId="30" fillId="6" fontId="33" numFmtId="38" xfId="0" applyAlignment="1" applyBorder="1" applyFont="1" applyNumberFormat="1">
      <alignment horizontal="right" readingOrder="0" vertical="bottom"/>
    </xf>
    <xf borderId="30" fillId="6" fontId="34" numFmtId="38" xfId="0" applyAlignment="1" applyBorder="1" applyFont="1" applyNumberFormat="1">
      <alignment readingOrder="0" vertical="bottom"/>
    </xf>
    <xf borderId="30" fillId="6" fontId="29" numFmtId="0" xfId="0" applyAlignment="1" applyBorder="1" applyFont="1">
      <alignment horizontal="center" readingOrder="0" vertical="bottom"/>
    </xf>
    <xf borderId="29" fillId="6" fontId="22" numFmtId="49" xfId="0" applyAlignment="1" applyBorder="1" applyFont="1" applyNumberFormat="1">
      <alignment horizontal="center" readingOrder="0" shrinkToFit="0" vertical="center" wrapText="0"/>
    </xf>
    <xf borderId="29" fillId="10" fontId="22" numFmtId="49" xfId="0" applyAlignment="1" applyBorder="1" applyFont="1" applyNumberFormat="1">
      <alignment horizontal="center" readingOrder="0" shrinkToFit="0" vertical="center" wrapText="0"/>
    </xf>
    <xf borderId="30" fillId="10" fontId="29" numFmtId="0" xfId="0" applyAlignment="1" applyBorder="1" applyFont="1">
      <alignment horizontal="center" readingOrder="0" vertical="bottom"/>
    </xf>
    <xf borderId="30" fillId="10" fontId="29" numFmtId="4" xfId="0" applyAlignment="1" applyBorder="1" applyFont="1" applyNumberFormat="1">
      <alignment readingOrder="0" vertical="bottom"/>
    </xf>
    <xf borderId="30" fillId="10" fontId="29" numFmtId="1" xfId="0" applyAlignment="1" applyBorder="1" applyFont="1" applyNumberFormat="1">
      <alignment horizontal="center" readingOrder="0" vertical="bottom"/>
    </xf>
    <xf borderId="30" fillId="10" fontId="29" numFmtId="0" xfId="0" applyAlignment="1" applyBorder="1" applyFont="1">
      <alignment readingOrder="0" vertical="bottom"/>
    </xf>
    <xf borderId="30" fillId="10" fontId="33" numFmtId="38" xfId="0" applyAlignment="1" applyBorder="1" applyFont="1" applyNumberFormat="1">
      <alignment horizontal="right" vertical="bottom"/>
    </xf>
    <xf borderId="30" fillId="10" fontId="29" numFmtId="38" xfId="0" applyAlignment="1" applyBorder="1" applyFont="1" applyNumberFormat="1">
      <alignment readingOrder="0" vertical="bottom"/>
    </xf>
    <xf borderId="30" fillId="10" fontId="33" numFmtId="38" xfId="0" applyAlignment="1" applyBorder="1" applyFont="1" applyNumberFormat="1">
      <alignment readingOrder="0" vertical="bottom"/>
    </xf>
    <xf borderId="29" fillId="10" fontId="42" numFmtId="0" xfId="0" applyAlignment="1" applyBorder="1" applyFont="1">
      <alignment horizontal="center" shrinkToFit="0" vertical="center" wrapText="1"/>
    </xf>
    <xf borderId="33" fillId="10" fontId="42" numFmtId="3" xfId="0" applyAlignment="1" applyBorder="1" applyFont="1" applyNumberFormat="1">
      <alignment horizontal="center" shrinkToFit="0" vertical="center" wrapText="1"/>
    </xf>
    <xf borderId="27" fillId="10" fontId="37" numFmtId="0" xfId="0" applyAlignment="1" applyBorder="1" applyFont="1">
      <alignment horizontal="center" readingOrder="0" vertical="center"/>
    </xf>
    <xf borderId="29" fillId="10" fontId="40" numFmtId="0" xfId="0" applyAlignment="1" applyBorder="1" applyFont="1">
      <alignment horizontal="center" readingOrder="0" shrinkToFit="0" vertical="center" wrapText="1"/>
    </xf>
    <xf borderId="33" fillId="10" fontId="40" numFmtId="3" xfId="0" applyAlignment="1" applyBorder="1" applyFont="1" applyNumberFormat="1">
      <alignment horizontal="center" readingOrder="0" shrinkToFit="0" vertical="center" wrapText="1"/>
    </xf>
    <xf borderId="0" fillId="0" fontId="44" numFmtId="0" xfId="0" applyFont="1"/>
    <xf borderId="30" fillId="6" fontId="33" numFmtId="38" xfId="0" applyAlignment="1" applyBorder="1" applyFont="1" applyNumberFormat="1">
      <alignment readingOrder="0" vertical="bottom"/>
    </xf>
    <xf borderId="30" fillId="6" fontId="33" numFmtId="38" xfId="0" applyAlignment="1" applyBorder="1" applyFont="1" applyNumberFormat="1">
      <alignment vertical="bottom"/>
    </xf>
    <xf borderId="0" fillId="0" fontId="45" numFmtId="0" xfId="0" applyFont="1"/>
    <xf borderId="29" fillId="5" fontId="22" numFmtId="49" xfId="0" applyAlignment="1" applyBorder="1" applyFont="1" applyNumberFormat="1">
      <alignment horizontal="center" readingOrder="0" shrinkToFit="0" vertical="center" wrapText="0"/>
    </xf>
    <xf borderId="30" fillId="5" fontId="33" numFmtId="38" xfId="0" applyAlignment="1" applyBorder="1" applyFont="1" applyNumberFormat="1">
      <alignment horizontal="right" vertical="bottom"/>
    </xf>
    <xf borderId="30" fillId="5" fontId="33" numFmtId="38" xfId="0" applyAlignment="1" applyBorder="1" applyFont="1" applyNumberFormat="1">
      <alignment readingOrder="0" vertical="bottom"/>
    </xf>
    <xf borderId="30" fillId="6" fontId="29" numFmtId="165" xfId="0" applyAlignment="1" applyBorder="1" applyFont="1" applyNumberFormat="1">
      <alignment horizontal="center" readingOrder="0" vertical="bottom"/>
    </xf>
    <xf borderId="30" fillId="6" fontId="29" numFmtId="38" xfId="0" applyAlignment="1" applyBorder="1" applyFont="1" applyNumberFormat="1">
      <alignment horizontal="right" readingOrder="0" vertical="bottom"/>
    </xf>
    <xf borderId="29" fillId="11" fontId="22" numFmtId="49" xfId="0" applyAlignment="1" applyBorder="1" applyFont="1" applyNumberFormat="1">
      <alignment horizontal="center" readingOrder="0" shrinkToFit="0" vertical="center" wrapText="0"/>
    </xf>
    <xf borderId="30" fillId="11" fontId="29" numFmtId="165" xfId="0" applyAlignment="1" applyBorder="1" applyFont="1" applyNumberFormat="1">
      <alignment horizontal="center" readingOrder="0" vertical="bottom"/>
    </xf>
    <xf borderId="30" fillId="11" fontId="29" numFmtId="4" xfId="0" applyAlignment="1" applyBorder="1" applyFont="1" applyNumberFormat="1">
      <alignment readingOrder="0" vertical="bottom"/>
    </xf>
    <xf borderId="30" fillId="11" fontId="29" numFmtId="1" xfId="0" applyAlignment="1" applyBorder="1" applyFont="1" applyNumberFormat="1">
      <alignment horizontal="center" readingOrder="0" vertical="bottom"/>
    </xf>
    <xf borderId="30" fillId="11" fontId="29" numFmtId="0" xfId="0" applyAlignment="1" applyBorder="1" applyFont="1">
      <alignment readingOrder="0" vertical="bottom"/>
    </xf>
    <xf borderId="30" fillId="11" fontId="33" numFmtId="38" xfId="0" applyAlignment="1" applyBorder="1" applyFont="1" applyNumberFormat="1">
      <alignment horizontal="right" vertical="bottom"/>
    </xf>
    <xf borderId="30" fillId="11" fontId="29" numFmtId="38" xfId="0" applyAlignment="1" applyBorder="1" applyFont="1" applyNumberFormat="1">
      <alignment horizontal="right" readingOrder="0" vertical="bottom"/>
    </xf>
    <xf borderId="30" fillId="11" fontId="33" numFmtId="38" xfId="0" applyAlignment="1" applyBorder="1" applyFont="1" applyNumberFormat="1">
      <alignment readingOrder="0" vertical="bottom"/>
    </xf>
    <xf borderId="29" fillId="11" fontId="42" numFmtId="0" xfId="0" applyAlignment="1" applyBorder="1" applyFont="1">
      <alignment horizontal="center" shrinkToFit="0" vertical="center" wrapText="1"/>
    </xf>
    <xf borderId="33" fillId="11" fontId="42" numFmtId="3" xfId="0" applyAlignment="1" applyBorder="1" applyFont="1" applyNumberFormat="1">
      <alignment horizontal="center" shrinkToFit="0" vertical="center" wrapText="1"/>
    </xf>
    <xf borderId="27" fillId="11" fontId="38" numFmtId="0" xfId="0" applyAlignment="1" applyBorder="1" applyFont="1">
      <alignment horizontal="center" readingOrder="0" vertical="center"/>
    </xf>
    <xf borderId="29" fillId="11" fontId="40" numFmtId="0" xfId="0" applyAlignment="1" applyBorder="1" applyFont="1">
      <alignment horizontal="center" readingOrder="0" shrinkToFit="0" vertical="center" wrapText="1"/>
    </xf>
    <xf borderId="33" fillId="11" fontId="40" numFmtId="3" xfId="0" applyAlignment="1" applyBorder="1" applyFont="1" applyNumberFormat="1">
      <alignment horizontal="center" readingOrder="0" shrinkToFit="0" vertical="center" wrapText="1"/>
    </xf>
    <xf borderId="27" fillId="6" fontId="38" numFmtId="0" xfId="0" applyAlignment="1" applyBorder="1" applyFont="1">
      <alignment horizontal="center" readingOrder="0" vertical="center"/>
    </xf>
    <xf borderId="30" fillId="6" fontId="36" numFmtId="166" xfId="0" applyAlignment="1" applyBorder="1" applyFont="1" applyNumberFormat="1">
      <alignment horizontal="center" vertical="bottom"/>
    </xf>
    <xf borderId="30" fillId="6" fontId="36" numFmtId="4" xfId="0" applyAlignment="1" applyBorder="1" applyFont="1" applyNumberFormat="1">
      <alignment vertical="bottom"/>
    </xf>
    <xf borderId="30" fillId="6" fontId="46" numFmtId="1" xfId="0" applyAlignment="1" applyBorder="1" applyFont="1" applyNumberFormat="1">
      <alignment horizontal="center" vertical="bottom"/>
    </xf>
    <xf borderId="30" fillId="6" fontId="46" numFmtId="0" xfId="0" applyAlignment="1" applyBorder="1" applyFont="1">
      <alignment vertical="bottom"/>
    </xf>
    <xf borderId="30" fillId="5" fontId="46" numFmtId="38" xfId="0" applyAlignment="1" applyBorder="1" applyFont="1" applyNumberFormat="1">
      <alignment horizontal="right" readingOrder="0" vertical="bottom"/>
    </xf>
    <xf borderId="30" fillId="5" fontId="46" numFmtId="38" xfId="0" applyAlignment="1" applyBorder="1" applyFont="1" applyNumberFormat="1">
      <alignment readingOrder="0" vertical="bottom"/>
    </xf>
    <xf borderId="29" fillId="5" fontId="47" numFmtId="0" xfId="0" applyAlignment="1" applyBorder="1" applyFont="1">
      <alignment horizontal="center" shrinkToFit="0" vertical="center" wrapText="1"/>
    </xf>
    <xf borderId="29" fillId="9" fontId="22" numFmtId="49" xfId="0" applyAlignment="1" applyBorder="1" applyFont="1" applyNumberFormat="1">
      <alignment horizontal="center" readingOrder="0" shrinkToFit="0" vertical="center" wrapText="0"/>
    </xf>
    <xf borderId="30" fillId="9" fontId="36" numFmtId="0" xfId="0" applyAlignment="1" applyBorder="1" applyFont="1">
      <alignment horizontal="center" readingOrder="0" vertical="bottom"/>
    </xf>
    <xf borderId="30" fillId="9" fontId="36" numFmtId="4" xfId="0" applyAlignment="1" applyBorder="1" applyFont="1" applyNumberFormat="1">
      <alignment readingOrder="0" vertical="bottom"/>
    </xf>
    <xf borderId="30" fillId="9" fontId="46" numFmtId="1" xfId="0" applyAlignment="1" applyBorder="1" applyFont="1" applyNumberFormat="1">
      <alignment horizontal="center" readingOrder="0" vertical="bottom"/>
    </xf>
    <xf borderId="30" fillId="9" fontId="46" numFmtId="0" xfId="0" applyAlignment="1" applyBorder="1" applyFont="1">
      <alignment readingOrder="0" vertical="bottom"/>
    </xf>
    <xf borderId="30" fillId="9" fontId="46" numFmtId="38" xfId="0" applyAlignment="1" applyBorder="1" applyFont="1" applyNumberFormat="1">
      <alignment horizontal="right" readingOrder="0" vertical="bottom"/>
    </xf>
    <xf borderId="30" fillId="9" fontId="46" numFmtId="38" xfId="0" applyAlignment="1" applyBorder="1" applyFont="1" applyNumberFormat="1">
      <alignment readingOrder="0" vertical="bottom"/>
    </xf>
    <xf borderId="29" fillId="9" fontId="47" numFmtId="0" xfId="0" applyAlignment="1" applyBorder="1" applyFont="1">
      <alignment horizontal="center" shrinkToFit="0" vertical="center" wrapText="1"/>
    </xf>
    <xf borderId="27" fillId="9" fontId="38" numFmtId="0" xfId="0" applyAlignment="1" applyBorder="1" applyFont="1">
      <alignment horizontal="center" readingOrder="0" vertical="center"/>
    </xf>
    <xf borderId="27" fillId="9" fontId="48" numFmtId="0" xfId="0" applyAlignment="1" applyBorder="1" applyFont="1">
      <alignment horizontal="center" readingOrder="0" vertical="center"/>
    </xf>
    <xf borderId="30" fillId="6" fontId="6" numFmtId="38" xfId="0" applyAlignment="1" applyBorder="1" applyFont="1" applyNumberFormat="1">
      <alignment horizontal="right" readingOrder="0" vertical="bottom"/>
    </xf>
    <xf borderId="30" fillId="6" fontId="46" numFmtId="38" xfId="0" applyAlignment="1" applyBorder="1" applyFont="1" applyNumberFormat="1">
      <alignment horizontal="right" readingOrder="0" vertical="bottom"/>
    </xf>
    <xf borderId="30" fillId="6" fontId="46" numFmtId="38" xfId="0" applyAlignment="1" applyBorder="1" applyFont="1" applyNumberFormat="1">
      <alignment readingOrder="0" vertical="bottom"/>
    </xf>
    <xf borderId="29" fillId="6" fontId="47" numFmtId="0" xfId="0" applyAlignment="1" applyBorder="1" applyFont="1">
      <alignment horizontal="center" shrinkToFit="0" vertical="center" wrapText="1"/>
    </xf>
    <xf borderId="27" fillId="6" fontId="48" numFmtId="0" xfId="0" applyAlignment="1" applyBorder="1" applyFont="1">
      <alignment horizontal="center" readingOrder="0" vertical="center"/>
    </xf>
    <xf borderId="30" fillId="9" fontId="29" numFmtId="166" xfId="0" applyAlignment="1" applyBorder="1" applyFont="1" applyNumberFormat="1">
      <alignment horizontal="center" vertical="bottom"/>
    </xf>
    <xf borderId="30" fillId="9" fontId="29" numFmtId="4" xfId="0" applyAlignment="1" applyBorder="1" applyFont="1" applyNumberFormat="1">
      <alignment vertical="bottom"/>
    </xf>
    <xf borderId="30" fillId="9" fontId="29" numFmtId="1" xfId="0" applyAlignment="1" applyBorder="1" applyFont="1" applyNumberFormat="1">
      <alignment horizontal="center" vertical="bottom"/>
    </xf>
    <xf borderId="30" fillId="9" fontId="29" numFmtId="0" xfId="0" applyAlignment="1" applyBorder="1" applyFont="1">
      <alignment vertical="bottom"/>
    </xf>
    <xf borderId="30" fillId="9" fontId="29" numFmtId="38" xfId="0" applyAlignment="1" applyBorder="1" applyFont="1" applyNumberFormat="1">
      <alignment horizontal="right" vertical="bottom"/>
    </xf>
    <xf borderId="30" fillId="5" fontId="29" numFmtId="0" xfId="0" applyAlignment="1" applyBorder="1" applyFont="1">
      <alignment horizontal="center" readingOrder="0" vertical="bottom"/>
    </xf>
    <xf borderId="30" fillId="5" fontId="29" numFmtId="4" xfId="0" applyAlignment="1" applyBorder="1" applyFont="1" applyNumberFormat="1">
      <alignment readingOrder="0" vertical="bottom"/>
    </xf>
    <xf borderId="30" fillId="5" fontId="29" numFmtId="1" xfId="0" applyAlignment="1" applyBorder="1" applyFont="1" applyNumberFormat="1">
      <alignment horizontal="center" readingOrder="0" vertical="bottom"/>
    </xf>
    <xf borderId="30" fillId="5" fontId="29" numFmtId="0" xfId="0" applyAlignment="1" applyBorder="1" applyFont="1">
      <alignment readingOrder="0" vertical="bottom"/>
    </xf>
    <xf borderId="30" fillId="5" fontId="29" numFmtId="38" xfId="0" applyAlignment="1" applyBorder="1" applyFont="1" applyNumberFormat="1">
      <alignment horizontal="right" readingOrder="0" vertical="bottom"/>
    </xf>
    <xf borderId="27" fillId="5" fontId="48" numFmtId="0" xfId="0" applyAlignment="1" applyBorder="1" applyFont="1">
      <alignment horizontal="center" readingOrder="0" vertical="center"/>
    </xf>
    <xf borderId="30" fillId="5" fontId="29" numFmtId="165" xfId="0" applyAlignment="1" applyBorder="1" applyFont="1" applyNumberFormat="1">
      <alignment horizontal="center" readingOrder="0" vertical="bottom"/>
    </xf>
    <xf borderId="29" fillId="5" fontId="29" numFmtId="165" xfId="0" applyAlignment="1" applyBorder="1" applyFont="1" applyNumberFormat="1">
      <alignment horizontal="center" readingOrder="0" vertical="bottom"/>
    </xf>
    <xf borderId="29" fillId="5" fontId="46" numFmtId="38" xfId="0" applyAlignment="1" applyBorder="1" applyFont="1" applyNumberFormat="1">
      <alignment horizontal="right" readingOrder="0" vertical="bottom"/>
    </xf>
    <xf borderId="29" fillId="5" fontId="46" numFmtId="38" xfId="0" applyAlignment="1" applyBorder="1" applyFont="1" applyNumberFormat="1">
      <alignment readingOrder="0" vertical="bottom"/>
    </xf>
    <xf borderId="29" fillId="5" fontId="42" numFmtId="3" xfId="0" applyAlignment="1" applyBorder="1" applyFont="1" applyNumberFormat="1">
      <alignment horizontal="center" shrinkToFit="0" vertical="center" wrapText="1"/>
    </xf>
    <xf borderId="29" fillId="5" fontId="2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295275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1.13"/>
    <col customWidth="1" min="3" max="3" width="37.88"/>
    <col customWidth="1" min="4" max="4" width="17.88"/>
    <col customWidth="1" min="5" max="5" width="93.38"/>
    <col customWidth="1" min="6" max="6" width="8.0"/>
    <col customWidth="1" min="7" max="7" width="20.25"/>
    <col customWidth="1" min="8" max="8" width="19.13"/>
    <col customWidth="1" min="9" max="9" width="13.75"/>
    <col customWidth="1" min="10" max="10" width="8.75"/>
    <col customWidth="1" min="11" max="11" width="14.0"/>
    <col customWidth="1" min="12" max="12" width="18.13"/>
    <col customWidth="1" min="13" max="13" width="17.25"/>
    <col customWidth="1" min="14" max="26" width="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 t="s">
        <v>6</v>
      </c>
      <c r="I2" s="6"/>
      <c r="J2" s="6"/>
      <c r="K2" s="8" t="s">
        <v>7</v>
      </c>
      <c r="L2" s="8" t="s">
        <v>8</v>
      </c>
      <c r="M2" s="4" t="s">
        <v>9</v>
      </c>
    </row>
    <row r="3">
      <c r="A3" s="9"/>
      <c r="B3" s="10"/>
      <c r="C3" s="10"/>
      <c r="D3" s="10"/>
      <c r="E3" s="11"/>
      <c r="F3" s="12" t="s">
        <v>10</v>
      </c>
      <c r="G3" s="12" t="s">
        <v>11</v>
      </c>
      <c r="H3" s="13" t="s">
        <v>12</v>
      </c>
      <c r="I3" s="14" t="s">
        <v>13</v>
      </c>
      <c r="J3" s="15" t="s">
        <v>14</v>
      </c>
      <c r="K3" s="10"/>
      <c r="L3" s="10"/>
      <c r="M3" s="10"/>
    </row>
    <row r="4">
      <c r="A4" s="16">
        <v>1.0</v>
      </c>
      <c r="B4" s="17">
        <v>45797.0</v>
      </c>
      <c r="C4" s="18" t="s">
        <v>15</v>
      </c>
      <c r="D4" s="19">
        <v>21828.0</v>
      </c>
      <c r="E4" s="20" t="s">
        <v>16</v>
      </c>
      <c r="F4" s="21"/>
      <c r="G4" s="22"/>
      <c r="H4" s="23">
        <v>10900.0</v>
      </c>
      <c r="I4" s="24"/>
      <c r="J4" s="22"/>
      <c r="K4" s="25" t="s">
        <v>17</v>
      </c>
      <c r="L4" s="26">
        <v>0.9389120370370371</v>
      </c>
      <c r="M4" s="27" t="s">
        <v>18</v>
      </c>
    </row>
    <row r="5">
      <c r="A5" s="28" t="s">
        <v>19</v>
      </c>
      <c r="B5" s="29">
        <v>45798.0</v>
      </c>
      <c r="C5" s="30" t="s">
        <v>20</v>
      </c>
      <c r="D5" s="31">
        <v>52669.0</v>
      </c>
      <c r="E5" s="32" t="s">
        <v>21</v>
      </c>
      <c r="F5" s="33"/>
      <c r="G5" s="34">
        <v>30150.0</v>
      </c>
      <c r="H5" s="35"/>
      <c r="I5" s="36"/>
      <c r="J5" s="34"/>
      <c r="K5" s="37" t="s">
        <v>17</v>
      </c>
      <c r="L5" s="38">
        <v>0.33775462962962965</v>
      </c>
      <c r="M5" s="39" t="s">
        <v>22</v>
      </c>
    </row>
    <row r="6">
      <c r="A6" s="28" t="s">
        <v>23</v>
      </c>
      <c r="B6" s="29">
        <v>45798.0</v>
      </c>
      <c r="C6" s="30" t="s">
        <v>24</v>
      </c>
      <c r="D6" s="31">
        <v>51017.0</v>
      </c>
      <c r="E6" s="32" t="s">
        <v>25</v>
      </c>
      <c r="F6" s="33"/>
      <c r="G6" s="34">
        <v>5000.0</v>
      </c>
      <c r="H6" s="35"/>
      <c r="I6" s="36"/>
      <c r="J6" s="34"/>
      <c r="K6" s="37" t="s">
        <v>17</v>
      </c>
      <c r="L6" s="38">
        <v>0.4516087962962963</v>
      </c>
      <c r="M6" s="39" t="s">
        <v>22</v>
      </c>
    </row>
    <row r="7">
      <c r="A7" s="28">
        <v>2.0</v>
      </c>
      <c r="B7" s="29">
        <v>45798.0</v>
      </c>
      <c r="C7" s="30" t="s">
        <v>26</v>
      </c>
      <c r="D7" s="31">
        <v>50595.0</v>
      </c>
      <c r="E7" s="32" t="s">
        <v>27</v>
      </c>
      <c r="F7" s="33"/>
      <c r="G7" s="34">
        <v>17500.0</v>
      </c>
      <c r="H7" s="35"/>
      <c r="I7" s="36"/>
      <c r="J7" s="34"/>
      <c r="K7" s="37" t="s">
        <v>17</v>
      </c>
      <c r="L7" s="38">
        <v>0.48118055555555556</v>
      </c>
      <c r="M7" s="39" t="s">
        <v>22</v>
      </c>
    </row>
    <row r="8">
      <c r="A8" s="28" t="s">
        <v>28</v>
      </c>
      <c r="B8" s="29">
        <v>45798.0</v>
      </c>
      <c r="C8" s="30" t="s">
        <v>29</v>
      </c>
      <c r="D8" s="31">
        <v>51017.0</v>
      </c>
      <c r="E8" s="32" t="s">
        <v>25</v>
      </c>
      <c r="F8" s="33"/>
      <c r="G8" s="34">
        <v>30000.0</v>
      </c>
      <c r="H8" s="35"/>
      <c r="I8" s="36"/>
      <c r="J8" s="34"/>
      <c r="K8" s="37" t="s">
        <v>17</v>
      </c>
      <c r="L8" s="38">
        <v>0.6058449074074074</v>
      </c>
      <c r="M8" s="39" t="s">
        <v>22</v>
      </c>
    </row>
    <row r="9">
      <c r="A9" s="28" t="s">
        <v>30</v>
      </c>
      <c r="B9" s="29">
        <v>45798.0</v>
      </c>
      <c r="C9" s="30" t="s">
        <v>31</v>
      </c>
      <c r="D9" s="31">
        <v>30895.0</v>
      </c>
      <c r="E9" s="32" t="s">
        <v>32</v>
      </c>
      <c r="F9" s="33"/>
      <c r="G9" s="34">
        <v>32500.0</v>
      </c>
      <c r="H9" s="35"/>
      <c r="I9" s="36"/>
      <c r="J9" s="34"/>
      <c r="K9" s="37" t="s">
        <v>17</v>
      </c>
      <c r="L9" s="38">
        <v>0.6537152777777778</v>
      </c>
      <c r="M9" s="39" t="s">
        <v>33</v>
      </c>
    </row>
    <row r="10">
      <c r="A10" s="40"/>
      <c r="B10" s="41"/>
      <c r="C10" s="42"/>
      <c r="D10" s="40"/>
      <c r="E10" s="40"/>
      <c r="F10" s="43"/>
      <c r="G10" s="43">
        <f t="shared" ref="G10:H10" si="1">SUM(G4:G9)</f>
        <v>115150</v>
      </c>
      <c r="H10" s="43">
        <f t="shared" si="1"/>
        <v>10900</v>
      </c>
      <c r="I10" s="43"/>
      <c r="J10" s="43"/>
      <c r="K10" s="43"/>
      <c r="L10" s="43"/>
      <c r="M10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L2:L3"/>
    <mergeCell ref="M2:M3"/>
    <mergeCell ref="A1:M1"/>
    <mergeCell ref="A2:A3"/>
    <mergeCell ref="B2:B3"/>
    <mergeCell ref="C2:C3"/>
    <mergeCell ref="D2:D3"/>
    <mergeCell ref="E2:E3"/>
    <mergeCell ref="K2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9.88"/>
    <col customWidth="1" min="5" max="5" width="93.38"/>
    <col customWidth="1" min="6" max="6" width="8.0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18.13"/>
    <col customWidth="1" min="13" max="13" width="25.13"/>
    <col customWidth="1" min="14" max="26" width="8.13"/>
  </cols>
  <sheetData>
    <row r="1">
      <c r="A1" s="45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>
      <c r="A4" s="60" t="s">
        <v>35</v>
      </c>
      <c r="B4" s="61" t="s">
        <v>36</v>
      </c>
      <c r="C4" s="62" t="s">
        <v>37</v>
      </c>
      <c r="D4" s="63">
        <v>10288.0</v>
      </c>
      <c r="E4" s="64" t="s">
        <v>38</v>
      </c>
      <c r="F4" s="65"/>
      <c r="G4" s="66">
        <v>2500.0</v>
      </c>
      <c r="H4" s="67"/>
      <c r="I4" s="67"/>
      <c r="J4" s="68"/>
      <c r="K4" s="69" t="s">
        <v>17</v>
      </c>
      <c r="L4" s="70">
        <v>0.4276273148148148</v>
      </c>
      <c r="M4" s="71" t="s">
        <v>39</v>
      </c>
    </row>
    <row r="5">
      <c r="A5" s="72" t="s">
        <v>19</v>
      </c>
      <c r="B5" s="73" t="s">
        <v>36</v>
      </c>
      <c r="C5" s="74" t="s">
        <v>40</v>
      </c>
      <c r="D5" s="75">
        <v>21384.0</v>
      </c>
      <c r="E5" s="76" t="s">
        <v>41</v>
      </c>
      <c r="F5" s="33"/>
      <c r="G5" s="34"/>
      <c r="H5" s="77">
        <v>5000.0</v>
      </c>
      <c r="I5" s="36"/>
      <c r="J5" s="34"/>
      <c r="K5" s="78" t="s">
        <v>42</v>
      </c>
      <c r="L5" s="79">
        <v>0.4340625</v>
      </c>
      <c r="M5" s="80" t="s">
        <v>43</v>
      </c>
    </row>
    <row r="6">
      <c r="A6" s="72" t="s">
        <v>23</v>
      </c>
      <c r="B6" s="73" t="s">
        <v>36</v>
      </c>
      <c r="C6" s="74" t="s">
        <v>44</v>
      </c>
      <c r="D6" s="75">
        <v>22332.0</v>
      </c>
      <c r="E6" s="76" t="s">
        <v>45</v>
      </c>
      <c r="F6" s="33"/>
      <c r="G6" s="34"/>
      <c r="H6" s="81">
        <v>2600.0</v>
      </c>
      <c r="I6" s="36"/>
      <c r="J6" s="34"/>
      <c r="K6" s="78" t="s">
        <v>17</v>
      </c>
      <c r="L6" s="79">
        <v>0.5051851851851852</v>
      </c>
      <c r="M6" s="80" t="s">
        <v>46</v>
      </c>
    </row>
    <row r="7">
      <c r="A7" s="72">
        <v>2.0</v>
      </c>
      <c r="B7" s="73" t="s">
        <v>36</v>
      </c>
      <c r="C7" s="74" t="s">
        <v>47</v>
      </c>
      <c r="D7" s="75">
        <v>48072.0</v>
      </c>
      <c r="E7" s="76" t="s">
        <v>48</v>
      </c>
      <c r="F7" s="33"/>
      <c r="G7" s="82">
        <v>10000.0</v>
      </c>
      <c r="H7" s="35"/>
      <c r="I7" s="36"/>
      <c r="J7" s="34"/>
      <c r="K7" s="78" t="s">
        <v>17</v>
      </c>
      <c r="L7" s="79">
        <v>0.510775462962963</v>
      </c>
      <c r="M7" s="80" t="s">
        <v>46</v>
      </c>
    </row>
    <row r="8">
      <c r="A8" s="72" t="s">
        <v>28</v>
      </c>
      <c r="B8" s="73" t="s">
        <v>36</v>
      </c>
      <c r="C8" s="74" t="s">
        <v>49</v>
      </c>
      <c r="D8" s="75">
        <v>36555.0</v>
      </c>
      <c r="E8" s="76" t="s">
        <v>50</v>
      </c>
      <c r="F8" s="33"/>
      <c r="G8" s="82">
        <v>3700.0</v>
      </c>
      <c r="H8" s="35"/>
      <c r="I8" s="36"/>
      <c r="J8" s="34"/>
      <c r="K8" s="83" t="s">
        <v>17</v>
      </c>
      <c r="L8" s="79">
        <v>0.5237037037037037</v>
      </c>
      <c r="M8" s="80" t="s">
        <v>46</v>
      </c>
    </row>
    <row r="9">
      <c r="A9" s="72" t="s">
        <v>30</v>
      </c>
      <c r="B9" s="73" t="s">
        <v>36</v>
      </c>
      <c r="C9" s="74" t="s">
        <v>51</v>
      </c>
      <c r="D9" s="75">
        <v>57499.0</v>
      </c>
      <c r="E9" s="76" t="s">
        <v>52</v>
      </c>
      <c r="F9" s="33"/>
      <c r="G9" s="82">
        <v>3000.0</v>
      </c>
      <c r="H9" s="35"/>
      <c r="I9" s="36"/>
      <c r="J9" s="84"/>
      <c r="K9" s="85" t="s">
        <v>17</v>
      </c>
      <c r="L9" s="86">
        <v>0.5831944444444445</v>
      </c>
      <c r="M9" s="80" t="s">
        <v>18</v>
      </c>
    </row>
    <row r="10">
      <c r="A10" s="87"/>
      <c r="B10" s="88"/>
      <c r="C10" s="42"/>
      <c r="D10" s="40"/>
      <c r="E10" s="40"/>
      <c r="F10" s="43"/>
      <c r="G10" s="43">
        <f t="shared" ref="G10:H10" si="1">SUM(G4:G9)</f>
        <v>19200</v>
      </c>
      <c r="H10" s="43">
        <f t="shared" si="1"/>
        <v>7600</v>
      </c>
      <c r="I10" s="43"/>
      <c r="J10" s="43"/>
      <c r="K10" s="89"/>
      <c r="L10" s="43"/>
      <c r="M10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2:K3"/>
    <mergeCell ref="L2:L3"/>
    <mergeCell ref="A1:M1"/>
    <mergeCell ref="A2:A3"/>
    <mergeCell ref="B2:B3"/>
    <mergeCell ref="C2:C3"/>
    <mergeCell ref="D2:D3"/>
    <mergeCell ref="E2:E3"/>
    <mergeCell ref="F2:J2"/>
    <mergeCell ref="M2:M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7.75"/>
    <col customWidth="1" min="5" max="5" width="93.38"/>
    <col customWidth="1" min="6" max="6" width="8.0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18.13"/>
    <col customWidth="1" min="13" max="13" width="25.13"/>
    <col customWidth="1" min="14" max="26" width="8.13"/>
  </cols>
  <sheetData>
    <row r="1">
      <c r="A1" s="45" t="s">
        <v>53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>
      <c r="A4" s="60" t="s">
        <v>35</v>
      </c>
      <c r="B4" s="90">
        <v>45801.0</v>
      </c>
      <c r="C4" s="62" t="s">
        <v>54</v>
      </c>
      <c r="D4" s="63">
        <v>10006.0</v>
      </c>
      <c r="E4" s="64" t="s">
        <v>55</v>
      </c>
      <c r="F4" s="65"/>
      <c r="G4" s="66">
        <v>2500.0</v>
      </c>
      <c r="H4" s="67"/>
      <c r="I4" s="67"/>
      <c r="J4" s="68"/>
      <c r="K4" s="69" t="s">
        <v>17</v>
      </c>
      <c r="L4" s="70">
        <v>0.4195601851851852</v>
      </c>
      <c r="M4" s="71" t="s">
        <v>39</v>
      </c>
    </row>
    <row r="5">
      <c r="A5" s="72" t="s">
        <v>19</v>
      </c>
      <c r="B5" s="91">
        <v>45801.0</v>
      </c>
      <c r="C5" s="74" t="s">
        <v>56</v>
      </c>
      <c r="D5" s="75">
        <v>43380.0</v>
      </c>
      <c r="E5" s="76" t="s">
        <v>57</v>
      </c>
      <c r="F5" s="33"/>
      <c r="G5" s="82">
        <v>7300.0</v>
      </c>
      <c r="H5" s="77"/>
      <c r="I5" s="36"/>
      <c r="J5" s="34"/>
      <c r="K5" s="78" t="s">
        <v>17</v>
      </c>
      <c r="L5" s="79">
        <v>0.4721412037037037</v>
      </c>
      <c r="M5" s="80" t="s">
        <v>43</v>
      </c>
    </row>
    <row r="6">
      <c r="A6" s="72" t="s">
        <v>23</v>
      </c>
      <c r="B6" s="91">
        <v>45801.0</v>
      </c>
      <c r="C6" s="74" t="s">
        <v>58</v>
      </c>
      <c r="D6" s="75">
        <v>43380.0</v>
      </c>
      <c r="E6" s="76" t="s">
        <v>57</v>
      </c>
      <c r="F6" s="33"/>
      <c r="G6" s="82">
        <v>9800.0</v>
      </c>
      <c r="H6" s="81"/>
      <c r="I6" s="36"/>
      <c r="J6" s="34"/>
      <c r="K6" s="78" t="s">
        <v>17</v>
      </c>
      <c r="L6" s="79">
        <v>0.48943287037037037</v>
      </c>
      <c r="M6" s="80" t="s">
        <v>46</v>
      </c>
    </row>
    <row r="7">
      <c r="A7" s="72">
        <v>2.0</v>
      </c>
      <c r="B7" s="91">
        <v>45801.0</v>
      </c>
      <c r="C7" s="74" t="s">
        <v>59</v>
      </c>
      <c r="D7" s="75">
        <v>51017.0</v>
      </c>
      <c r="E7" s="76" t="s">
        <v>25</v>
      </c>
      <c r="F7" s="33"/>
      <c r="G7" s="82">
        <v>15000.0</v>
      </c>
      <c r="H7" s="35"/>
      <c r="I7" s="36"/>
      <c r="J7" s="34"/>
      <c r="K7" s="78" t="s">
        <v>17</v>
      </c>
      <c r="L7" s="79">
        <v>0.5112731481481482</v>
      </c>
      <c r="M7" s="80" t="s">
        <v>46</v>
      </c>
    </row>
    <row r="8">
      <c r="A8" s="72" t="s">
        <v>28</v>
      </c>
      <c r="B8" s="91">
        <v>45801.0</v>
      </c>
      <c r="C8" s="74" t="s">
        <v>60</v>
      </c>
      <c r="D8" s="75">
        <v>56980.0</v>
      </c>
      <c r="E8" s="76" t="s">
        <v>61</v>
      </c>
      <c r="F8" s="33"/>
      <c r="G8" s="82">
        <v>5000.0</v>
      </c>
      <c r="H8" s="35"/>
      <c r="I8" s="36"/>
      <c r="J8" s="34"/>
      <c r="K8" s="78" t="s">
        <v>17</v>
      </c>
      <c r="L8" s="79">
        <v>0.5506365740740741</v>
      </c>
      <c r="M8" s="80" t="s">
        <v>46</v>
      </c>
    </row>
    <row r="9">
      <c r="A9" s="72" t="s">
        <v>30</v>
      </c>
      <c r="B9" s="91">
        <v>45801.0</v>
      </c>
      <c r="C9" s="74" t="s">
        <v>62</v>
      </c>
      <c r="D9" s="75">
        <v>51017.0</v>
      </c>
      <c r="E9" s="76" t="s">
        <v>25</v>
      </c>
      <c r="F9" s="33"/>
      <c r="G9" s="82">
        <v>25000.0</v>
      </c>
      <c r="H9" s="35"/>
      <c r="I9" s="36"/>
      <c r="J9" s="34"/>
      <c r="K9" s="78" t="s">
        <v>17</v>
      </c>
      <c r="L9" s="86">
        <v>0.6375347222222222</v>
      </c>
      <c r="M9" s="80" t="s">
        <v>18</v>
      </c>
    </row>
    <row r="10">
      <c r="A10" s="87"/>
      <c r="B10" s="88"/>
      <c r="C10" s="42"/>
      <c r="D10" s="40"/>
      <c r="E10" s="40"/>
      <c r="F10" s="43"/>
      <c r="G10" s="43">
        <f>SUM(G4:G9)</f>
        <v>64600</v>
      </c>
      <c r="H10" s="43"/>
      <c r="I10" s="43"/>
      <c r="J10" s="43"/>
      <c r="K10" s="89"/>
      <c r="L10" s="43"/>
      <c r="M10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2:K3"/>
    <mergeCell ref="L2:L3"/>
    <mergeCell ref="A1:M1"/>
    <mergeCell ref="A2:A3"/>
    <mergeCell ref="B2:B3"/>
    <mergeCell ref="C2:C3"/>
    <mergeCell ref="D2:D3"/>
    <mergeCell ref="E2:E3"/>
    <mergeCell ref="F2:J2"/>
    <mergeCell ref="M2:M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7.75"/>
    <col customWidth="1" min="5" max="5" width="93.38"/>
    <col customWidth="1" min="6" max="6" width="8.0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18.13"/>
    <col customWidth="1" min="13" max="13" width="25.13"/>
    <col customWidth="1" min="14" max="26" width="8.13"/>
  </cols>
  <sheetData>
    <row r="1" ht="67.5" customHeight="1">
      <c r="A1" s="45" t="s">
        <v>63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>
      <c r="A4" s="92" t="s">
        <v>35</v>
      </c>
      <c r="B4" s="93" t="s">
        <v>64</v>
      </c>
      <c r="C4" s="94" t="s">
        <v>65</v>
      </c>
      <c r="D4" s="95">
        <v>25376.0</v>
      </c>
      <c r="E4" s="96" t="s">
        <v>66</v>
      </c>
      <c r="F4" s="97"/>
      <c r="G4" s="98">
        <v>9600.0</v>
      </c>
      <c r="H4" s="99"/>
      <c r="I4" s="99"/>
      <c r="J4" s="100"/>
      <c r="K4" s="101" t="s">
        <v>17</v>
      </c>
      <c r="L4" s="102">
        <v>0.7280208333333333</v>
      </c>
      <c r="M4" s="103" t="s">
        <v>46</v>
      </c>
    </row>
    <row r="5">
      <c r="A5" s="104" t="s">
        <v>19</v>
      </c>
      <c r="B5" s="105" t="s">
        <v>67</v>
      </c>
      <c r="C5" s="106" t="s">
        <v>68</v>
      </c>
      <c r="D5" s="107">
        <v>22332.0</v>
      </c>
      <c r="E5" s="108" t="s">
        <v>45</v>
      </c>
      <c r="F5" s="109"/>
      <c r="G5" s="110"/>
      <c r="H5" s="77">
        <v>15000.0</v>
      </c>
      <c r="I5" s="111"/>
      <c r="J5" s="112"/>
      <c r="K5" s="113" t="s">
        <v>17</v>
      </c>
      <c r="L5" s="114">
        <v>0.4966435185185185</v>
      </c>
      <c r="M5" s="115" t="s">
        <v>18</v>
      </c>
    </row>
    <row r="6">
      <c r="A6" s="104" t="s">
        <v>23</v>
      </c>
      <c r="B6" s="116" t="s">
        <v>67</v>
      </c>
      <c r="C6" s="117" t="s">
        <v>69</v>
      </c>
      <c r="D6" s="118">
        <v>22332.0</v>
      </c>
      <c r="E6" s="119" t="s">
        <v>45</v>
      </c>
      <c r="F6" s="120"/>
      <c r="G6" s="121"/>
      <c r="H6" s="81">
        <v>5000.0</v>
      </c>
      <c r="I6" s="122"/>
      <c r="J6" s="123"/>
      <c r="K6" s="124" t="s">
        <v>17</v>
      </c>
      <c r="L6" s="125">
        <v>0.5903703703703703</v>
      </c>
      <c r="M6" s="126" t="s">
        <v>18</v>
      </c>
    </row>
    <row r="7">
      <c r="A7" s="87"/>
      <c r="B7" s="88"/>
      <c r="C7" s="42"/>
      <c r="D7" s="40"/>
      <c r="E7" s="40"/>
      <c r="F7" s="43"/>
      <c r="G7" s="43">
        <f t="shared" ref="G7:H7" si="1">SUM(G4:G6)</f>
        <v>9600</v>
      </c>
      <c r="H7" s="43">
        <f t="shared" si="1"/>
        <v>20000</v>
      </c>
      <c r="I7" s="43"/>
      <c r="J7" s="43"/>
      <c r="K7" s="89"/>
      <c r="L7" s="43"/>
      <c r="M7" s="4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K2:K3"/>
    <mergeCell ref="L2:L3"/>
    <mergeCell ref="A1:M1"/>
    <mergeCell ref="A2:A3"/>
    <mergeCell ref="B2:B3"/>
    <mergeCell ref="C2:C3"/>
    <mergeCell ref="D2:D3"/>
    <mergeCell ref="E2:E3"/>
    <mergeCell ref="F2:J2"/>
    <mergeCell ref="M2:M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7.75"/>
    <col customWidth="1" min="5" max="5" width="93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18.13"/>
    <col customWidth="1" min="13" max="13" width="25.13"/>
    <col customWidth="1" min="14" max="26" width="8.13"/>
  </cols>
  <sheetData>
    <row r="1" ht="67.5" customHeight="1">
      <c r="A1" s="45" t="s">
        <v>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>
      <c r="A4" s="92" t="s">
        <v>35</v>
      </c>
      <c r="B4" s="93" t="s">
        <v>67</v>
      </c>
      <c r="C4" s="94" t="s">
        <v>71</v>
      </c>
      <c r="D4" s="95">
        <v>51017.0</v>
      </c>
      <c r="E4" s="96" t="s">
        <v>25</v>
      </c>
      <c r="F4" s="97"/>
      <c r="G4" s="98">
        <v>10000.0</v>
      </c>
      <c r="H4" s="99"/>
      <c r="I4" s="99"/>
      <c r="J4" s="100"/>
      <c r="K4" s="101" t="s">
        <v>17</v>
      </c>
      <c r="L4" s="102">
        <v>0.8469328703703703</v>
      </c>
      <c r="M4" s="103" t="s">
        <v>18</v>
      </c>
    </row>
    <row r="5">
      <c r="A5" s="104" t="s">
        <v>19</v>
      </c>
      <c r="B5" s="105" t="s">
        <v>72</v>
      </c>
      <c r="C5" s="106" t="s">
        <v>73</v>
      </c>
      <c r="D5" s="107">
        <v>25650.0</v>
      </c>
      <c r="E5" s="108" t="s">
        <v>74</v>
      </c>
      <c r="F5" s="127">
        <v>7460.0</v>
      </c>
      <c r="G5" s="110"/>
      <c r="H5" s="77"/>
      <c r="I5" s="111"/>
      <c r="J5" s="112"/>
      <c r="K5" s="113" t="s">
        <v>17</v>
      </c>
      <c r="L5" s="114">
        <v>0.019479166666666665</v>
      </c>
      <c r="M5" s="71" t="s">
        <v>46</v>
      </c>
    </row>
    <row r="6">
      <c r="A6" s="104" t="s">
        <v>23</v>
      </c>
      <c r="B6" s="116" t="s">
        <v>72</v>
      </c>
      <c r="C6" s="117" t="s">
        <v>75</v>
      </c>
      <c r="D6" s="118">
        <v>22332.0</v>
      </c>
      <c r="E6" s="119" t="s">
        <v>45</v>
      </c>
      <c r="F6" s="120"/>
      <c r="G6" s="121"/>
      <c r="H6" s="81">
        <v>22500.0</v>
      </c>
      <c r="I6" s="122"/>
      <c r="J6" s="123"/>
      <c r="K6" s="128" t="s">
        <v>17</v>
      </c>
      <c r="L6" s="129">
        <v>0.43497685185185186</v>
      </c>
      <c r="M6" s="130" t="s">
        <v>46</v>
      </c>
    </row>
    <row r="7">
      <c r="A7" s="131"/>
      <c r="B7" s="46"/>
      <c r="C7" s="46"/>
      <c r="D7" s="46"/>
      <c r="E7" s="47"/>
      <c r="F7" s="132">
        <v>7460.0</v>
      </c>
      <c r="G7" s="133">
        <f t="shared" ref="G7:H7" si="1">SUM(G4:G6)</f>
        <v>10000</v>
      </c>
      <c r="H7" s="133">
        <f t="shared" si="1"/>
        <v>22500</v>
      </c>
      <c r="I7" s="132">
        <v>0.0</v>
      </c>
      <c r="J7" s="134">
        <v>0.0</v>
      </c>
      <c r="K7" s="135"/>
      <c r="L7" s="135"/>
      <c r="M7" s="136"/>
    </row>
    <row r="8" ht="48.0" customHeight="1">
      <c r="F8" s="137">
        <f>F7+G7+H7+I7+J7</f>
        <v>39960</v>
      </c>
      <c r="G8" s="46"/>
      <c r="H8" s="46"/>
      <c r="I8" s="46"/>
      <c r="J8" s="4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7:E7"/>
    <mergeCell ref="F8:J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138" t="s">
        <v>35</v>
      </c>
      <c r="B4" s="139">
        <v>45803.0</v>
      </c>
      <c r="C4" s="140" t="s">
        <v>77</v>
      </c>
      <c r="D4" s="141">
        <v>88544.0</v>
      </c>
      <c r="E4" s="142" t="s">
        <v>78</v>
      </c>
      <c r="F4" s="143">
        <v>300.0</v>
      </c>
      <c r="G4" s="144"/>
      <c r="H4" s="145"/>
      <c r="I4" s="145"/>
      <c r="J4" s="146"/>
      <c r="K4" s="147" t="s">
        <v>17</v>
      </c>
      <c r="L4" s="148">
        <v>0.8503472222222223</v>
      </c>
      <c r="M4" s="149" t="s">
        <v>79</v>
      </c>
    </row>
    <row r="5" ht="49.5" customHeight="1">
      <c r="A5" s="138" t="s">
        <v>19</v>
      </c>
      <c r="B5" s="139">
        <v>45803.0</v>
      </c>
      <c r="C5" s="140" t="s">
        <v>80</v>
      </c>
      <c r="D5" s="141">
        <v>88551.0</v>
      </c>
      <c r="E5" s="142" t="s">
        <v>81</v>
      </c>
      <c r="F5" s="150"/>
      <c r="G5" s="144">
        <v>7000.0</v>
      </c>
      <c r="H5" s="145"/>
      <c r="I5" s="145"/>
      <c r="J5" s="146"/>
      <c r="K5" s="147" t="s">
        <v>17</v>
      </c>
      <c r="L5" s="148">
        <v>0.9650347222222222</v>
      </c>
      <c r="M5" s="149" t="s">
        <v>18</v>
      </c>
    </row>
    <row r="6" ht="49.5" customHeight="1">
      <c r="A6" s="138" t="s">
        <v>23</v>
      </c>
      <c r="B6" s="139">
        <v>45803.0</v>
      </c>
      <c r="C6" s="140" t="s">
        <v>82</v>
      </c>
      <c r="D6" s="141">
        <v>88552.0</v>
      </c>
      <c r="E6" s="142" t="s">
        <v>83</v>
      </c>
      <c r="F6" s="143">
        <v>300.0</v>
      </c>
      <c r="G6" s="144"/>
      <c r="H6" s="145"/>
      <c r="I6" s="145"/>
      <c r="J6" s="146"/>
      <c r="K6" s="147" t="s">
        <v>17</v>
      </c>
      <c r="L6" s="148">
        <v>0.9687962962962963</v>
      </c>
      <c r="M6" s="149" t="s">
        <v>79</v>
      </c>
    </row>
    <row r="7" ht="49.5" customHeight="1">
      <c r="A7" s="138" t="s">
        <v>28</v>
      </c>
      <c r="B7" s="139">
        <v>45804.0</v>
      </c>
      <c r="C7" s="140" t="s">
        <v>84</v>
      </c>
      <c r="D7" s="141">
        <v>50595.0</v>
      </c>
      <c r="E7" s="142" t="s">
        <v>27</v>
      </c>
      <c r="F7" s="150"/>
      <c r="G7" s="144">
        <v>15000.0</v>
      </c>
      <c r="H7" s="145"/>
      <c r="I7" s="145"/>
      <c r="J7" s="146"/>
      <c r="K7" s="147" t="s">
        <v>17</v>
      </c>
      <c r="L7" s="148">
        <v>0.4516087962962963</v>
      </c>
      <c r="M7" s="149" t="s">
        <v>22</v>
      </c>
    </row>
    <row r="8" ht="49.5" customHeight="1">
      <c r="A8" s="138" t="s">
        <v>30</v>
      </c>
      <c r="B8" s="139">
        <v>45804.0</v>
      </c>
      <c r="C8" s="140" t="s">
        <v>85</v>
      </c>
      <c r="D8" s="141">
        <v>48649.0</v>
      </c>
      <c r="E8" s="142" t="s">
        <v>86</v>
      </c>
      <c r="F8" s="150"/>
      <c r="G8" s="144">
        <v>2600.0</v>
      </c>
      <c r="H8" s="145"/>
      <c r="I8" s="145"/>
      <c r="J8" s="146"/>
      <c r="K8" s="147" t="s">
        <v>17</v>
      </c>
      <c r="L8" s="148">
        <v>0.4642939814814815</v>
      </c>
      <c r="M8" s="149" t="s">
        <v>33</v>
      </c>
    </row>
    <row r="9" ht="49.5" customHeight="1">
      <c r="A9" s="138" t="s">
        <v>87</v>
      </c>
      <c r="B9" s="139">
        <v>45804.0</v>
      </c>
      <c r="C9" s="140" t="s">
        <v>88</v>
      </c>
      <c r="D9" s="141">
        <v>50342.0</v>
      </c>
      <c r="E9" s="142" t="s">
        <v>89</v>
      </c>
      <c r="F9" s="150"/>
      <c r="G9" s="144">
        <v>2500.0</v>
      </c>
      <c r="H9" s="145"/>
      <c r="I9" s="145"/>
      <c r="J9" s="146"/>
      <c r="K9" s="147" t="s">
        <v>42</v>
      </c>
      <c r="L9" s="148">
        <v>0.4856712962962963</v>
      </c>
      <c r="M9" s="149" t="s">
        <v>90</v>
      </c>
    </row>
    <row r="10" ht="49.5" customHeight="1">
      <c r="A10" s="131"/>
      <c r="B10" s="46"/>
      <c r="C10" s="46"/>
      <c r="D10" s="46"/>
      <c r="E10" s="47"/>
      <c r="F10" s="132">
        <f t="shared" ref="F10:G10" si="1">SUM(F4:F9)</f>
        <v>600</v>
      </c>
      <c r="G10" s="132">
        <f t="shared" si="1"/>
        <v>27100</v>
      </c>
      <c r="H10" s="132"/>
      <c r="I10" s="132"/>
      <c r="J10" s="132"/>
      <c r="K10" s="135"/>
      <c r="L10" s="135"/>
      <c r="M10" s="136"/>
    </row>
    <row r="11" ht="48.0" customHeight="1">
      <c r="F11" s="137">
        <f>F10+G10</f>
        <v>27700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91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138" t="s">
        <v>35</v>
      </c>
      <c r="B4" s="139">
        <v>45804.0</v>
      </c>
      <c r="C4" s="140" t="s">
        <v>92</v>
      </c>
      <c r="D4" s="141">
        <v>88596.0</v>
      </c>
      <c r="E4" s="142" t="s">
        <v>93</v>
      </c>
      <c r="F4" s="143">
        <v>300.0</v>
      </c>
      <c r="G4" s="144"/>
      <c r="H4" s="145"/>
      <c r="I4" s="145"/>
      <c r="J4" s="146"/>
      <c r="K4" s="147" t="s">
        <v>17</v>
      </c>
      <c r="L4" s="149" t="s">
        <v>94</v>
      </c>
      <c r="M4" s="149" t="s">
        <v>95</v>
      </c>
    </row>
    <row r="5" ht="49.5" customHeight="1">
      <c r="A5" s="138" t="s">
        <v>19</v>
      </c>
      <c r="B5" s="139">
        <v>45804.0</v>
      </c>
      <c r="C5" s="140" t="s">
        <v>96</v>
      </c>
      <c r="D5" s="141">
        <v>51017.0</v>
      </c>
      <c r="E5" s="142" t="s">
        <v>25</v>
      </c>
      <c r="F5" s="150"/>
      <c r="G5" s="144">
        <v>12500.0</v>
      </c>
      <c r="H5" s="145"/>
      <c r="I5" s="145"/>
      <c r="J5" s="146"/>
      <c r="K5" s="147" t="s">
        <v>17</v>
      </c>
      <c r="L5" s="149" t="s">
        <v>97</v>
      </c>
      <c r="M5" s="149" t="s">
        <v>98</v>
      </c>
    </row>
    <row r="6" ht="49.5" customHeight="1">
      <c r="A6" s="138" t="s">
        <v>23</v>
      </c>
      <c r="B6" s="139">
        <v>45805.0</v>
      </c>
      <c r="C6" s="140" t="s">
        <v>99</v>
      </c>
      <c r="D6" s="141">
        <v>49953.0</v>
      </c>
      <c r="E6" s="142" t="s">
        <v>100</v>
      </c>
      <c r="F6" s="143"/>
      <c r="G6" s="144">
        <v>2500.0</v>
      </c>
      <c r="H6" s="145"/>
      <c r="I6" s="145"/>
      <c r="J6" s="146"/>
      <c r="K6" s="147" t="s">
        <v>42</v>
      </c>
      <c r="L6" s="148">
        <v>0.45587962962962963</v>
      </c>
      <c r="M6" s="149" t="s">
        <v>90</v>
      </c>
    </row>
    <row r="7" ht="49.5" customHeight="1">
      <c r="A7" s="138"/>
      <c r="B7" s="139"/>
      <c r="C7" s="140"/>
      <c r="D7" s="141"/>
      <c r="E7" s="142"/>
      <c r="F7" s="150"/>
      <c r="G7" s="144"/>
      <c r="H7" s="145"/>
      <c r="I7" s="145"/>
      <c r="J7" s="146"/>
      <c r="K7" s="147"/>
      <c r="L7" s="148"/>
      <c r="M7" s="149"/>
    </row>
    <row r="8" ht="49.5" customHeight="1">
      <c r="A8" s="138"/>
      <c r="B8" s="139"/>
      <c r="C8" s="140"/>
      <c r="D8" s="141"/>
      <c r="E8" s="142"/>
      <c r="F8" s="150"/>
      <c r="G8" s="144"/>
      <c r="H8" s="145"/>
      <c r="I8" s="145"/>
      <c r="J8" s="146"/>
      <c r="K8" s="147"/>
      <c r="L8" s="148"/>
      <c r="M8" s="149"/>
    </row>
    <row r="9" ht="49.5" customHeight="1">
      <c r="A9" s="138"/>
      <c r="B9" s="139"/>
      <c r="C9" s="140"/>
      <c r="D9" s="141"/>
      <c r="E9" s="142"/>
      <c r="F9" s="150"/>
      <c r="G9" s="144"/>
      <c r="H9" s="145"/>
      <c r="I9" s="145"/>
      <c r="J9" s="146"/>
      <c r="K9" s="147"/>
      <c r="L9" s="148"/>
      <c r="M9" s="149"/>
    </row>
    <row r="10" ht="49.5" customHeight="1">
      <c r="A10" s="131"/>
      <c r="B10" s="46"/>
      <c r="C10" s="46"/>
      <c r="D10" s="46"/>
      <c r="E10" s="47"/>
      <c r="F10" s="132">
        <f t="shared" ref="F10:G10" si="1">SUM(F4:F9)</f>
        <v>300</v>
      </c>
      <c r="G10" s="132">
        <f t="shared" si="1"/>
        <v>15000</v>
      </c>
      <c r="H10" s="132"/>
      <c r="I10" s="132"/>
      <c r="J10" s="132"/>
      <c r="K10" s="135"/>
      <c r="L10" s="135"/>
      <c r="M10" s="136"/>
    </row>
    <row r="11" ht="48.0" customHeight="1">
      <c r="F11" s="137">
        <f>F10+G10</f>
        <v>15300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2.38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8.75"/>
    <col customWidth="1" min="11" max="11" width="14.0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101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138" t="s">
        <v>35</v>
      </c>
      <c r="B4" s="139">
        <v>45806.0</v>
      </c>
      <c r="C4" s="140" t="s">
        <v>102</v>
      </c>
      <c r="D4" s="141">
        <v>10250.0</v>
      </c>
      <c r="E4" s="142" t="s">
        <v>103</v>
      </c>
      <c r="F4" s="143"/>
      <c r="G4" s="144">
        <v>25000.0</v>
      </c>
      <c r="H4" s="145"/>
      <c r="I4" s="145"/>
      <c r="J4" s="146"/>
      <c r="K4" s="147" t="s">
        <v>42</v>
      </c>
      <c r="L4" s="149" t="s">
        <v>104</v>
      </c>
      <c r="M4" s="149" t="s">
        <v>90</v>
      </c>
    </row>
    <row r="5" ht="49.5" customHeight="1">
      <c r="A5" s="138" t="s">
        <v>19</v>
      </c>
      <c r="B5" s="139">
        <v>45806.0</v>
      </c>
      <c r="C5" s="140" t="s">
        <v>105</v>
      </c>
      <c r="D5" s="141">
        <v>45227.0</v>
      </c>
      <c r="E5" s="142" t="s">
        <v>106</v>
      </c>
      <c r="F5" s="150"/>
      <c r="G5" s="144">
        <v>21640.0</v>
      </c>
      <c r="H5" s="145"/>
      <c r="I5" s="151"/>
      <c r="J5" s="146"/>
      <c r="K5" s="147" t="s">
        <v>17</v>
      </c>
      <c r="L5" s="149" t="s">
        <v>107</v>
      </c>
      <c r="M5" s="149" t="s">
        <v>108</v>
      </c>
    </row>
    <row r="6" ht="49.5" customHeight="1">
      <c r="A6" s="138" t="s">
        <v>23</v>
      </c>
      <c r="B6" s="139">
        <v>45806.0</v>
      </c>
      <c r="C6" s="140" t="s">
        <v>109</v>
      </c>
      <c r="D6" s="141">
        <v>22332.0</v>
      </c>
      <c r="E6" s="142" t="s">
        <v>45</v>
      </c>
      <c r="F6" s="143"/>
      <c r="G6" s="144"/>
      <c r="H6" s="152">
        <v>5350.0</v>
      </c>
      <c r="I6" s="145"/>
      <c r="J6" s="146"/>
      <c r="K6" s="147" t="s">
        <v>17</v>
      </c>
      <c r="L6" s="148">
        <v>0.49789351851851854</v>
      </c>
      <c r="M6" s="149" t="s">
        <v>108</v>
      </c>
    </row>
    <row r="7" ht="49.5" customHeight="1">
      <c r="A7" s="138" t="s">
        <v>28</v>
      </c>
      <c r="B7" s="139">
        <v>45806.0</v>
      </c>
      <c r="C7" s="140" t="s">
        <v>110</v>
      </c>
      <c r="D7" s="141">
        <v>51017.0</v>
      </c>
      <c r="E7" s="142" t="s">
        <v>25</v>
      </c>
      <c r="F7" s="150"/>
      <c r="G7" s="144">
        <v>20000.0</v>
      </c>
      <c r="H7" s="145"/>
      <c r="I7" s="145"/>
      <c r="J7" s="146"/>
      <c r="K7" s="147" t="s">
        <v>17</v>
      </c>
      <c r="L7" s="148">
        <v>0.6627430555555556</v>
      </c>
      <c r="M7" s="149" t="s">
        <v>98</v>
      </c>
    </row>
    <row r="8" ht="49.5" customHeight="1">
      <c r="A8" s="138"/>
      <c r="B8" s="139"/>
      <c r="C8" s="140"/>
      <c r="D8" s="141"/>
      <c r="E8" s="142"/>
      <c r="F8" s="150"/>
      <c r="G8" s="144"/>
      <c r="H8" s="145"/>
      <c r="I8" s="145"/>
      <c r="J8" s="146"/>
      <c r="K8" s="147"/>
      <c r="L8" s="148"/>
      <c r="M8" s="149"/>
    </row>
    <row r="9" ht="49.5" customHeight="1">
      <c r="A9" s="138"/>
      <c r="B9" s="139"/>
      <c r="C9" s="140"/>
      <c r="D9" s="141"/>
      <c r="E9" s="142"/>
      <c r="F9" s="150"/>
      <c r="G9" s="144"/>
      <c r="H9" s="145"/>
      <c r="I9" s="145"/>
      <c r="J9" s="146"/>
      <c r="K9" s="147"/>
      <c r="L9" s="148"/>
      <c r="M9" s="149"/>
    </row>
    <row r="10" ht="49.5" customHeight="1">
      <c r="A10" s="131"/>
      <c r="B10" s="46"/>
      <c r="C10" s="46"/>
      <c r="D10" s="46"/>
      <c r="E10" s="47"/>
      <c r="F10" s="132">
        <f t="shared" ref="F10:H10" si="1">SUM(F4:F9)</f>
        <v>0</v>
      </c>
      <c r="G10" s="132">
        <f t="shared" si="1"/>
        <v>66640</v>
      </c>
      <c r="H10" s="132">
        <f t="shared" si="1"/>
        <v>5350</v>
      </c>
      <c r="I10" s="132"/>
      <c r="J10" s="132"/>
      <c r="K10" s="135"/>
      <c r="L10" s="135"/>
      <c r="M10" s="136"/>
    </row>
    <row r="11" ht="48.0" customHeight="1">
      <c r="F11" s="137">
        <f>F10+G10+H10+I10+J10</f>
        <v>71990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153" t="s">
        <v>35</v>
      </c>
      <c r="B4" s="154">
        <v>45806.0</v>
      </c>
      <c r="C4" s="155" t="s">
        <v>112</v>
      </c>
      <c r="D4" s="156">
        <v>83066.0</v>
      </c>
      <c r="E4" s="157" t="s">
        <v>113</v>
      </c>
      <c r="F4" s="158"/>
      <c r="G4" s="159"/>
      <c r="H4" s="160">
        <v>3600.0</v>
      </c>
      <c r="I4" s="161"/>
      <c r="J4" s="162"/>
      <c r="K4" s="163" t="s">
        <v>17</v>
      </c>
      <c r="L4" s="164">
        <v>0.8166898148148148</v>
      </c>
      <c r="M4" s="165" t="s">
        <v>95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167" t="s">
        <v>19</v>
      </c>
      <c r="B5" s="168">
        <v>45807.0</v>
      </c>
      <c r="C5" s="169" t="s">
        <v>114</v>
      </c>
      <c r="D5" s="170">
        <v>10288.0</v>
      </c>
      <c r="E5" s="171" t="s">
        <v>38</v>
      </c>
      <c r="F5" s="172"/>
      <c r="G5" s="173">
        <v>2500.0</v>
      </c>
      <c r="H5" s="174"/>
      <c r="I5" s="175"/>
      <c r="J5" s="176"/>
      <c r="K5" s="177" t="s">
        <v>17</v>
      </c>
      <c r="L5" s="178">
        <v>0.4324074074074074</v>
      </c>
      <c r="M5" s="179" t="s">
        <v>95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67" t="s">
        <v>23</v>
      </c>
      <c r="B6" s="168">
        <v>45807.0</v>
      </c>
      <c r="C6" s="169" t="s">
        <v>115</v>
      </c>
      <c r="D6" s="170">
        <v>10006.0</v>
      </c>
      <c r="E6" s="171" t="s">
        <v>55</v>
      </c>
      <c r="F6" s="180"/>
      <c r="G6" s="173">
        <v>2500.0</v>
      </c>
      <c r="H6" s="181"/>
      <c r="I6" s="174"/>
      <c r="J6" s="176"/>
      <c r="K6" s="177" t="s">
        <v>17</v>
      </c>
      <c r="L6" s="178">
        <v>0.47239583333333335</v>
      </c>
      <c r="M6" s="179" t="s">
        <v>95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67" t="s">
        <v>28</v>
      </c>
      <c r="B7" s="168">
        <v>45807.0</v>
      </c>
      <c r="C7" s="169" t="s">
        <v>116</v>
      </c>
      <c r="D7" s="170">
        <v>56980.0</v>
      </c>
      <c r="E7" s="171" t="s">
        <v>61</v>
      </c>
      <c r="F7" s="172"/>
      <c r="G7" s="173">
        <v>2500.0</v>
      </c>
      <c r="H7" s="174"/>
      <c r="I7" s="174"/>
      <c r="J7" s="176"/>
      <c r="K7" s="177" t="s">
        <v>17</v>
      </c>
      <c r="L7" s="178">
        <v>0.4960185185185185</v>
      </c>
      <c r="M7" s="179" t="s">
        <v>18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67" t="s">
        <v>30</v>
      </c>
      <c r="B8" s="168">
        <v>45807.0</v>
      </c>
      <c r="C8" s="169" t="s">
        <v>117</v>
      </c>
      <c r="D8" s="170">
        <v>50595.0</v>
      </c>
      <c r="E8" s="171" t="s">
        <v>27</v>
      </c>
      <c r="F8" s="172"/>
      <c r="G8" s="173">
        <v>15000.0</v>
      </c>
      <c r="H8" s="174"/>
      <c r="I8" s="174"/>
      <c r="J8" s="176"/>
      <c r="K8" s="177" t="s">
        <v>17</v>
      </c>
      <c r="L8" s="178">
        <v>0.5036111111111111</v>
      </c>
      <c r="M8" s="179" t="s">
        <v>22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67" t="s">
        <v>87</v>
      </c>
      <c r="B9" s="168">
        <v>45807.0</v>
      </c>
      <c r="C9" s="169" t="s">
        <v>118</v>
      </c>
      <c r="D9" s="170">
        <v>10357.0</v>
      </c>
      <c r="E9" s="171" t="s">
        <v>119</v>
      </c>
      <c r="F9" s="172"/>
      <c r="G9" s="173">
        <v>4500.0</v>
      </c>
      <c r="H9" s="174"/>
      <c r="I9" s="174"/>
      <c r="J9" s="176"/>
      <c r="K9" s="177" t="s">
        <v>17</v>
      </c>
      <c r="L9" s="178">
        <v>0.6397106481481482</v>
      </c>
      <c r="M9" s="179" t="s">
        <v>95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31"/>
      <c r="B10" s="46"/>
      <c r="C10" s="46"/>
      <c r="D10" s="46"/>
      <c r="E10" s="47"/>
      <c r="F10" s="182"/>
      <c r="G10" s="182">
        <f t="shared" ref="G10:H10" si="1">SUM(G4:G9)</f>
        <v>27000</v>
      </c>
      <c r="H10" s="182">
        <f t="shared" si="1"/>
        <v>3600</v>
      </c>
      <c r="I10" s="182"/>
      <c r="J10" s="182"/>
      <c r="K10" s="135"/>
      <c r="L10" s="135"/>
      <c r="M10" s="136"/>
    </row>
    <row r="11" ht="48.0" customHeight="1">
      <c r="F11" s="183">
        <f>G10+H10</f>
        <v>30600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120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153" t="s">
        <v>35</v>
      </c>
      <c r="B4" s="154">
        <v>45807.0</v>
      </c>
      <c r="C4" s="155" t="s">
        <v>121</v>
      </c>
      <c r="D4" s="156">
        <v>43380.0</v>
      </c>
      <c r="E4" s="157" t="s">
        <v>57</v>
      </c>
      <c r="F4" s="158"/>
      <c r="G4" s="159">
        <v>25000.0</v>
      </c>
      <c r="H4" s="160"/>
      <c r="I4" s="161"/>
      <c r="J4" s="162"/>
      <c r="K4" s="163" t="s">
        <v>17</v>
      </c>
      <c r="L4" s="164">
        <v>0.7172337962962962</v>
      </c>
      <c r="M4" s="165" t="s">
        <v>108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153" t="s">
        <v>19</v>
      </c>
      <c r="B5" s="154">
        <v>45807.0</v>
      </c>
      <c r="C5" s="155" t="s">
        <v>122</v>
      </c>
      <c r="D5" s="156">
        <v>10006.0</v>
      </c>
      <c r="E5" s="157" t="s">
        <v>55</v>
      </c>
      <c r="F5" s="184"/>
      <c r="G5" s="159"/>
      <c r="H5" s="160">
        <v>1200.0</v>
      </c>
      <c r="I5" s="185"/>
      <c r="J5" s="162"/>
      <c r="K5" s="163" t="s">
        <v>17</v>
      </c>
      <c r="L5" s="164">
        <v>0.9691319444444444</v>
      </c>
      <c r="M5" s="165" t="s">
        <v>18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67" t="s">
        <v>23</v>
      </c>
      <c r="B6" s="168">
        <v>45808.0</v>
      </c>
      <c r="C6" s="169" t="s">
        <v>123</v>
      </c>
      <c r="D6" s="170">
        <v>43380.0</v>
      </c>
      <c r="E6" s="171" t="s">
        <v>57</v>
      </c>
      <c r="F6" s="180"/>
      <c r="G6" s="173">
        <v>10000.0</v>
      </c>
      <c r="H6" s="181"/>
      <c r="I6" s="174"/>
      <c r="J6" s="176"/>
      <c r="K6" s="177" t="s">
        <v>17</v>
      </c>
      <c r="L6" s="178">
        <v>0.3998263888888889</v>
      </c>
      <c r="M6" s="186" t="s">
        <v>108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67" t="s">
        <v>28</v>
      </c>
      <c r="B7" s="168">
        <v>45808.0</v>
      </c>
      <c r="C7" s="169" t="s">
        <v>124</v>
      </c>
      <c r="D7" s="170">
        <v>51017.0</v>
      </c>
      <c r="E7" s="171" t="s">
        <v>25</v>
      </c>
      <c r="F7" s="172"/>
      <c r="G7" s="173">
        <v>10000.0</v>
      </c>
      <c r="H7" s="174"/>
      <c r="I7" s="174"/>
      <c r="J7" s="176"/>
      <c r="K7" s="177" t="s">
        <v>17</v>
      </c>
      <c r="L7" s="178">
        <v>0.4975</v>
      </c>
      <c r="M7" s="186" t="s">
        <v>125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67" t="s">
        <v>30</v>
      </c>
      <c r="B8" s="168">
        <v>45808.0</v>
      </c>
      <c r="C8" s="169" t="s">
        <v>126</v>
      </c>
      <c r="D8" s="170">
        <v>21928.0</v>
      </c>
      <c r="E8" s="171" t="s">
        <v>127</v>
      </c>
      <c r="F8" s="172"/>
      <c r="G8" s="173"/>
      <c r="H8" s="181">
        <v>4500.0</v>
      </c>
      <c r="I8" s="174"/>
      <c r="J8" s="176"/>
      <c r="K8" s="177" t="s">
        <v>17</v>
      </c>
      <c r="L8" s="178">
        <v>0.5243518518518518</v>
      </c>
      <c r="M8" s="186" t="s">
        <v>108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67" t="s">
        <v>87</v>
      </c>
      <c r="B9" s="168">
        <v>45808.0</v>
      </c>
      <c r="C9" s="169" t="s">
        <v>128</v>
      </c>
      <c r="D9" s="170">
        <v>38299.0</v>
      </c>
      <c r="E9" s="171" t="s">
        <v>129</v>
      </c>
      <c r="F9" s="172"/>
      <c r="G9" s="173"/>
      <c r="H9" s="181">
        <v>4500.0</v>
      </c>
      <c r="I9" s="174"/>
      <c r="J9" s="176"/>
      <c r="K9" s="177" t="s">
        <v>17</v>
      </c>
      <c r="L9" s="178">
        <v>0.5262268518518518</v>
      </c>
      <c r="M9" s="186" t="s">
        <v>108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31"/>
      <c r="B10" s="46"/>
      <c r="C10" s="46"/>
      <c r="D10" s="46"/>
      <c r="E10" s="47"/>
      <c r="F10" s="182"/>
      <c r="G10" s="182">
        <f t="shared" ref="G10:H10" si="1">SUM(G4:G9)</f>
        <v>45000</v>
      </c>
      <c r="H10" s="182">
        <f t="shared" si="1"/>
        <v>10200</v>
      </c>
      <c r="I10" s="182"/>
      <c r="J10" s="182"/>
      <c r="K10" s="135"/>
      <c r="L10" s="135"/>
      <c r="M10" s="136"/>
    </row>
    <row r="11" ht="48.0" customHeight="1">
      <c r="F11" s="183">
        <f>G10+H10</f>
        <v>55200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130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187" t="s">
        <v>35</v>
      </c>
      <c r="B4" s="188">
        <v>45808.0</v>
      </c>
      <c r="C4" s="189" t="s">
        <v>131</v>
      </c>
      <c r="D4" s="190">
        <v>35245.0</v>
      </c>
      <c r="E4" s="191" t="s">
        <v>132</v>
      </c>
      <c r="F4" s="192"/>
      <c r="G4" s="193">
        <v>2400.0</v>
      </c>
      <c r="H4" s="192"/>
      <c r="I4" s="194"/>
      <c r="J4" s="195"/>
      <c r="K4" s="196" t="s">
        <v>17</v>
      </c>
      <c r="L4" s="197" t="s">
        <v>133</v>
      </c>
      <c r="M4" s="197" t="s">
        <v>95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198" t="s">
        <v>19</v>
      </c>
      <c r="B5" s="199">
        <v>45809.0</v>
      </c>
      <c r="C5" s="200" t="s">
        <v>134</v>
      </c>
      <c r="D5" s="201">
        <v>88753.0</v>
      </c>
      <c r="E5" s="202" t="s">
        <v>135</v>
      </c>
      <c r="F5" s="203">
        <v>300.0</v>
      </c>
      <c r="G5" s="204"/>
      <c r="H5" s="204"/>
      <c r="I5" s="205"/>
      <c r="J5" s="206"/>
      <c r="K5" s="207" t="s">
        <v>17</v>
      </c>
      <c r="L5" s="208">
        <v>0.09596064814814814</v>
      </c>
      <c r="M5" s="209" t="s">
        <v>95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98" t="s">
        <v>23</v>
      </c>
      <c r="B6" s="199">
        <v>45809.0</v>
      </c>
      <c r="C6" s="200" t="s">
        <v>136</v>
      </c>
      <c r="D6" s="201">
        <v>88754.0</v>
      </c>
      <c r="E6" s="202" t="s">
        <v>137</v>
      </c>
      <c r="F6" s="203">
        <v>300.0</v>
      </c>
      <c r="G6" s="204"/>
      <c r="H6" s="204"/>
      <c r="I6" s="210"/>
      <c r="J6" s="206"/>
      <c r="K6" s="207" t="s">
        <v>17</v>
      </c>
      <c r="L6" s="209" t="s">
        <v>138</v>
      </c>
      <c r="M6" s="209" t="s">
        <v>95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98" t="s">
        <v>28</v>
      </c>
      <c r="B7" s="199">
        <v>45809.0</v>
      </c>
      <c r="C7" s="200" t="s">
        <v>139</v>
      </c>
      <c r="D7" s="201">
        <v>46927.0</v>
      </c>
      <c r="E7" s="202" t="s">
        <v>140</v>
      </c>
      <c r="F7" s="204"/>
      <c r="G7" s="204"/>
      <c r="H7" s="203">
        <v>8400.0</v>
      </c>
      <c r="I7" s="210"/>
      <c r="J7" s="206"/>
      <c r="K7" s="207" t="s">
        <v>17</v>
      </c>
      <c r="L7" s="208">
        <v>0.45118055555555553</v>
      </c>
      <c r="M7" s="209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98" t="s">
        <v>30</v>
      </c>
      <c r="B8" s="199">
        <v>45809.0</v>
      </c>
      <c r="C8" s="200" t="s">
        <v>142</v>
      </c>
      <c r="D8" s="201">
        <v>88767.0</v>
      </c>
      <c r="E8" s="202" t="s">
        <v>143</v>
      </c>
      <c r="F8" s="203">
        <v>300.0</v>
      </c>
      <c r="G8" s="204"/>
      <c r="H8" s="204"/>
      <c r="I8" s="210"/>
      <c r="J8" s="206"/>
      <c r="K8" s="207" t="s">
        <v>17</v>
      </c>
      <c r="L8" s="209" t="s">
        <v>144</v>
      </c>
      <c r="M8" s="209" t="s">
        <v>95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98" t="s">
        <v>87</v>
      </c>
      <c r="B9" s="199">
        <v>45809.0</v>
      </c>
      <c r="C9" s="200" t="s">
        <v>145</v>
      </c>
      <c r="D9" s="201">
        <v>88768.0</v>
      </c>
      <c r="E9" s="202" t="s">
        <v>146</v>
      </c>
      <c r="F9" s="203">
        <v>300.0</v>
      </c>
      <c r="G9" s="204"/>
      <c r="H9" s="204"/>
      <c r="I9" s="210"/>
      <c r="J9" s="206"/>
      <c r="K9" s="207" t="s">
        <v>17</v>
      </c>
      <c r="L9" s="209" t="s">
        <v>147</v>
      </c>
      <c r="M9" s="209" t="s">
        <v>95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98" t="s">
        <v>148</v>
      </c>
      <c r="B10" s="199">
        <v>45809.0</v>
      </c>
      <c r="C10" s="200" t="s">
        <v>149</v>
      </c>
      <c r="D10" s="201">
        <v>88770.0</v>
      </c>
      <c r="E10" s="202" t="s">
        <v>150</v>
      </c>
      <c r="F10" s="203">
        <v>300.0</v>
      </c>
      <c r="G10" s="204"/>
      <c r="H10" s="204"/>
      <c r="I10" s="210"/>
      <c r="J10" s="206"/>
      <c r="K10" s="207" t="s">
        <v>17</v>
      </c>
      <c r="L10" s="209" t="s">
        <v>151</v>
      </c>
      <c r="M10" s="209" t="s">
        <v>95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98" t="s">
        <v>152</v>
      </c>
      <c r="B11" s="199">
        <v>45809.0</v>
      </c>
      <c r="C11" s="200" t="s">
        <v>153</v>
      </c>
      <c r="D11" s="201">
        <v>88772.0</v>
      </c>
      <c r="E11" s="202" t="s">
        <v>154</v>
      </c>
      <c r="F11" s="203">
        <v>300.0</v>
      </c>
      <c r="G11" s="204"/>
      <c r="H11" s="204"/>
      <c r="I11" s="210"/>
      <c r="J11" s="206"/>
      <c r="K11" s="207" t="s">
        <v>17</v>
      </c>
      <c r="L11" s="209" t="s">
        <v>155</v>
      </c>
      <c r="M11" s="209" t="s">
        <v>95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11" t="s">
        <v>156</v>
      </c>
      <c r="B12" s="212">
        <v>45810.0</v>
      </c>
      <c r="C12" s="213" t="s">
        <v>157</v>
      </c>
      <c r="D12" s="214">
        <v>88773.0</v>
      </c>
      <c r="E12" s="215" t="s">
        <v>158</v>
      </c>
      <c r="F12" s="216">
        <v>300.0</v>
      </c>
      <c r="G12" s="217"/>
      <c r="H12" s="217"/>
      <c r="I12" s="218"/>
      <c r="J12" s="219"/>
      <c r="K12" s="220" t="s">
        <v>17</v>
      </c>
      <c r="L12" s="221" t="s">
        <v>159</v>
      </c>
      <c r="M12" s="221" t="s">
        <v>95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211" t="s">
        <v>160</v>
      </c>
      <c r="B13" s="212">
        <v>45810.0</v>
      </c>
      <c r="C13" s="213" t="s">
        <v>161</v>
      </c>
      <c r="D13" s="214">
        <v>10006.0</v>
      </c>
      <c r="E13" s="215" t="s">
        <v>55</v>
      </c>
      <c r="F13" s="217"/>
      <c r="G13" s="217"/>
      <c r="H13" s="216">
        <v>4500.0</v>
      </c>
      <c r="I13" s="218"/>
      <c r="J13" s="219"/>
      <c r="K13" s="220" t="s">
        <v>17</v>
      </c>
      <c r="L13" s="221" t="s">
        <v>162</v>
      </c>
      <c r="M13" s="221" t="s">
        <v>18</v>
      </c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211" t="s">
        <v>163</v>
      </c>
      <c r="B14" s="212">
        <v>45810.0</v>
      </c>
      <c r="C14" s="213" t="s">
        <v>164</v>
      </c>
      <c r="D14" s="214">
        <v>46927.0</v>
      </c>
      <c r="E14" s="215" t="s">
        <v>140</v>
      </c>
      <c r="F14" s="217"/>
      <c r="G14" s="217"/>
      <c r="H14" s="216">
        <v>4750.0</v>
      </c>
      <c r="I14" s="218"/>
      <c r="J14" s="219"/>
      <c r="K14" s="220" t="s">
        <v>17</v>
      </c>
      <c r="L14" s="221" t="s">
        <v>165</v>
      </c>
      <c r="M14" s="221" t="s">
        <v>141</v>
      </c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49.5" customHeight="1">
      <c r="A15" s="211" t="s">
        <v>166</v>
      </c>
      <c r="B15" s="212">
        <v>45810.0</v>
      </c>
      <c r="C15" s="213" t="s">
        <v>167</v>
      </c>
      <c r="D15" s="214">
        <v>50342.0</v>
      </c>
      <c r="E15" s="215" t="s">
        <v>89</v>
      </c>
      <c r="F15" s="217"/>
      <c r="G15" s="217"/>
      <c r="H15" s="216">
        <v>50000.0</v>
      </c>
      <c r="I15" s="218"/>
      <c r="J15" s="219"/>
      <c r="K15" s="220" t="s">
        <v>17</v>
      </c>
      <c r="L15" s="221" t="s">
        <v>168</v>
      </c>
      <c r="M15" s="221" t="s">
        <v>141</v>
      </c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ht="49.5" customHeight="1">
      <c r="A16" s="211" t="s">
        <v>169</v>
      </c>
      <c r="B16" s="212">
        <v>45810.0</v>
      </c>
      <c r="C16" s="213" t="s">
        <v>170</v>
      </c>
      <c r="D16" s="214">
        <v>21818.0</v>
      </c>
      <c r="E16" s="215" t="s">
        <v>171</v>
      </c>
      <c r="F16" s="217"/>
      <c r="G16" s="217"/>
      <c r="H16" s="216">
        <v>300.0</v>
      </c>
      <c r="I16" s="218"/>
      <c r="J16" s="219"/>
      <c r="K16" s="220" t="s">
        <v>17</v>
      </c>
      <c r="L16" s="221" t="s">
        <v>172</v>
      </c>
      <c r="M16" s="221" t="s">
        <v>95</v>
      </c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ht="49.5" customHeight="1">
      <c r="A17" s="211" t="s">
        <v>173</v>
      </c>
      <c r="B17" s="212">
        <v>45810.0</v>
      </c>
      <c r="C17" s="213" t="s">
        <v>174</v>
      </c>
      <c r="D17" s="214">
        <v>88728.0</v>
      </c>
      <c r="E17" s="215" t="s">
        <v>175</v>
      </c>
      <c r="F17" s="216">
        <v>520.0</v>
      </c>
      <c r="G17" s="217"/>
      <c r="H17" s="217"/>
      <c r="I17" s="218"/>
      <c r="J17" s="219"/>
      <c r="K17" s="220" t="s">
        <v>17</v>
      </c>
      <c r="L17" s="221" t="s">
        <v>176</v>
      </c>
      <c r="M17" s="221" t="s">
        <v>95</v>
      </c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ht="49.5" customHeight="1">
      <c r="A18" s="211"/>
      <c r="B18" s="222"/>
      <c r="C18" s="223"/>
      <c r="D18" s="224"/>
      <c r="E18" s="225"/>
      <c r="F18" s="226"/>
      <c r="G18" s="227"/>
      <c r="H18" s="228"/>
      <c r="I18" s="218"/>
      <c r="J18" s="219"/>
      <c r="K18" s="220"/>
      <c r="L18" s="229"/>
      <c r="M18" s="221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ht="49.5" customHeight="1">
      <c r="A19" s="167"/>
      <c r="B19" s="168"/>
      <c r="C19" s="169"/>
      <c r="D19" s="170"/>
      <c r="E19" s="171"/>
      <c r="F19" s="180"/>
      <c r="G19" s="173"/>
      <c r="H19" s="181"/>
      <c r="I19" s="174"/>
      <c r="J19" s="176"/>
      <c r="K19" s="177"/>
      <c r="L19" s="178"/>
      <c r="M19" s="18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ht="49.5" customHeight="1">
      <c r="A20" s="167"/>
      <c r="B20" s="168"/>
      <c r="C20" s="169"/>
      <c r="D20" s="170"/>
      <c r="E20" s="171"/>
      <c r="F20" s="180"/>
      <c r="G20" s="173"/>
      <c r="H20" s="181"/>
      <c r="I20" s="174"/>
      <c r="J20" s="176"/>
      <c r="K20" s="177"/>
      <c r="L20" s="178"/>
      <c r="M20" s="18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ht="49.5" customHeight="1">
      <c r="A21" s="167"/>
      <c r="B21" s="168"/>
      <c r="C21" s="169"/>
      <c r="D21" s="170"/>
      <c r="E21" s="171"/>
      <c r="F21" s="180"/>
      <c r="G21" s="173"/>
      <c r="H21" s="181"/>
      <c r="I21" s="174"/>
      <c r="J21" s="176"/>
      <c r="K21" s="177"/>
      <c r="L21" s="178"/>
      <c r="M21" s="18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ht="49.5" customHeight="1">
      <c r="A22" s="131"/>
      <c r="B22" s="46"/>
      <c r="C22" s="46"/>
      <c r="D22" s="46"/>
      <c r="E22" s="47"/>
      <c r="F22" s="182">
        <f t="shared" ref="F22:H22" si="1">SUM(F4:F21)</f>
        <v>2620</v>
      </c>
      <c r="G22" s="182">
        <f t="shared" si="1"/>
        <v>2400</v>
      </c>
      <c r="H22" s="182">
        <f t="shared" si="1"/>
        <v>67950</v>
      </c>
      <c r="I22" s="182"/>
      <c r="J22" s="182"/>
      <c r="K22" s="135"/>
      <c r="L22" s="135"/>
      <c r="M22" s="136"/>
    </row>
    <row r="23" ht="48.0" customHeight="1">
      <c r="F23" s="183">
        <f>G22+H22</f>
        <v>70350</v>
      </c>
      <c r="G23" s="46"/>
      <c r="H23" s="46"/>
      <c r="I23" s="46"/>
      <c r="J23" s="4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177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230" t="s">
        <v>35</v>
      </c>
      <c r="B4" s="231">
        <v>45694.0</v>
      </c>
      <c r="C4" s="232" t="s">
        <v>178</v>
      </c>
      <c r="D4" s="233">
        <v>87820.0</v>
      </c>
      <c r="E4" s="234" t="s">
        <v>179</v>
      </c>
      <c r="F4" s="235"/>
      <c r="G4" s="236"/>
      <c r="H4" s="236">
        <v>2500.0</v>
      </c>
      <c r="I4" s="237"/>
      <c r="J4" s="238"/>
      <c r="K4" s="239" t="s">
        <v>17</v>
      </c>
      <c r="L4" s="186" t="s">
        <v>180</v>
      </c>
      <c r="M4" s="186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31">
        <v>45694.0</v>
      </c>
      <c r="C5" s="232" t="s">
        <v>181</v>
      </c>
      <c r="D5" s="233">
        <v>21818.0</v>
      </c>
      <c r="E5" s="234" t="s">
        <v>171</v>
      </c>
      <c r="F5" s="240"/>
      <c r="G5" s="241"/>
      <c r="H5" s="241">
        <v>300.0</v>
      </c>
      <c r="I5" s="242"/>
      <c r="J5" s="238"/>
      <c r="K5" s="239" t="s">
        <v>17</v>
      </c>
      <c r="L5" s="186" t="s">
        <v>182</v>
      </c>
      <c r="M5" s="186" t="s">
        <v>183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31">
        <v>45722.0</v>
      </c>
      <c r="C6" s="232" t="s">
        <v>184</v>
      </c>
      <c r="D6" s="233">
        <v>73356.0</v>
      </c>
      <c r="E6" s="234" t="s">
        <v>185</v>
      </c>
      <c r="F6" s="243">
        <v>10000.0</v>
      </c>
      <c r="G6" s="235"/>
      <c r="H6" s="235"/>
      <c r="I6" s="237"/>
      <c r="J6" s="238"/>
      <c r="K6" s="239" t="s">
        <v>17</v>
      </c>
      <c r="L6" s="186" t="s">
        <v>186</v>
      </c>
      <c r="M6" s="186" t="s">
        <v>141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31">
        <v>45722.0</v>
      </c>
      <c r="C7" s="232" t="s">
        <v>187</v>
      </c>
      <c r="D7" s="233">
        <v>73356.0</v>
      </c>
      <c r="E7" s="234" t="s">
        <v>185</v>
      </c>
      <c r="F7" s="243">
        <v>10000.0</v>
      </c>
      <c r="G7" s="235"/>
      <c r="H7" s="240"/>
      <c r="I7" s="237"/>
      <c r="J7" s="238"/>
      <c r="K7" s="239" t="s">
        <v>17</v>
      </c>
      <c r="L7" s="186" t="s">
        <v>188</v>
      </c>
      <c r="M7" s="186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44">
        <v>45810.0</v>
      </c>
      <c r="C8" s="245" t="s">
        <v>189</v>
      </c>
      <c r="D8" s="246">
        <v>54426.0</v>
      </c>
      <c r="E8" s="247" t="s">
        <v>190</v>
      </c>
      <c r="F8" s="240"/>
      <c r="G8" s="235"/>
      <c r="H8" s="235"/>
      <c r="I8" s="237"/>
      <c r="J8" s="248">
        <v>140.0</v>
      </c>
      <c r="K8" s="239" t="s">
        <v>17</v>
      </c>
      <c r="L8" s="186" t="s">
        <v>191</v>
      </c>
      <c r="M8" s="186" t="s">
        <v>183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 t="s">
        <v>87</v>
      </c>
      <c r="B9" s="244">
        <v>45811.0</v>
      </c>
      <c r="C9" s="245" t="s">
        <v>192</v>
      </c>
      <c r="D9" s="246">
        <v>32700.0</v>
      </c>
      <c r="E9" s="247" t="s">
        <v>193</v>
      </c>
      <c r="F9" s="240"/>
      <c r="G9" s="235"/>
      <c r="H9" s="235"/>
      <c r="I9" s="237"/>
      <c r="J9" s="248">
        <v>70.0</v>
      </c>
      <c r="K9" s="239" t="s">
        <v>17</v>
      </c>
      <c r="L9" s="186" t="s">
        <v>194</v>
      </c>
      <c r="M9" s="186" t="s">
        <v>141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44">
        <v>45811.0</v>
      </c>
      <c r="C10" s="245" t="s">
        <v>195</v>
      </c>
      <c r="D10" s="246">
        <v>50436.0</v>
      </c>
      <c r="E10" s="247" t="s">
        <v>196</v>
      </c>
      <c r="F10" s="240"/>
      <c r="G10" s="235"/>
      <c r="H10" s="235"/>
      <c r="I10" s="237"/>
      <c r="J10" s="248">
        <v>35.0</v>
      </c>
      <c r="K10" s="239" t="s">
        <v>17</v>
      </c>
      <c r="L10" s="186" t="s">
        <v>197</v>
      </c>
      <c r="M10" s="186" t="s">
        <v>141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 t="s">
        <v>152</v>
      </c>
      <c r="B11" s="244">
        <v>45811.0</v>
      </c>
      <c r="C11" s="245" t="s">
        <v>198</v>
      </c>
      <c r="D11" s="246">
        <v>13762.0</v>
      </c>
      <c r="E11" s="247" t="s">
        <v>199</v>
      </c>
      <c r="F11" s="240"/>
      <c r="G11" s="235"/>
      <c r="H11" s="235"/>
      <c r="I11" s="237"/>
      <c r="J11" s="248">
        <v>70.0</v>
      </c>
      <c r="K11" s="239" t="s">
        <v>17</v>
      </c>
      <c r="L11" s="186" t="s">
        <v>200</v>
      </c>
      <c r="M11" s="186" t="s">
        <v>183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30" t="s">
        <v>156</v>
      </c>
      <c r="B12" s="244">
        <v>45811.0</v>
      </c>
      <c r="C12" s="245" t="s">
        <v>201</v>
      </c>
      <c r="D12" s="246">
        <v>73607.0</v>
      </c>
      <c r="E12" s="247" t="s">
        <v>202</v>
      </c>
      <c r="F12" s="240"/>
      <c r="G12" s="235"/>
      <c r="H12" s="235"/>
      <c r="I12" s="237"/>
      <c r="J12" s="248">
        <v>245.0</v>
      </c>
      <c r="K12" s="239" t="s">
        <v>17</v>
      </c>
      <c r="L12" s="186" t="s">
        <v>203</v>
      </c>
      <c r="M12" s="186" t="s">
        <v>204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167"/>
      <c r="B13" s="168"/>
      <c r="C13" s="169"/>
      <c r="D13" s="170"/>
      <c r="E13" s="171"/>
      <c r="F13" s="180"/>
      <c r="G13" s="173"/>
      <c r="H13" s="181"/>
      <c r="I13" s="174"/>
      <c r="J13" s="176"/>
      <c r="K13" s="177"/>
      <c r="L13" s="178"/>
      <c r="M13" s="18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131"/>
      <c r="B14" s="46"/>
      <c r="C14" s="46"/>
      <c r="D14" s="46"/>
      <c r="E14" s="47"/>
      <c r="F14" s="182">
        <f t="shared" ref="F14:H14" si="1">SUM(F4:F13)</f>
        <v>20000</v>
      </c>
      <c r="G14" s="182">
        <f t="shared" si="1"/>
        <v>0</v>
      </c>
      <c r="H14" s="182">
        <f t="shared" si="1"/>
        <v>2800</v>
      </c>
      <c r="I14" s="182"/>
      <c r="J14" s="182"/>
      <c r="K14" s="135"/>
      <c r="L14" s="135"/>
      <c r="M14" s="136"/>
    </row>
    <row r="15" ht="48.0" customHeight="1">
      <c r="F15" s="183">
        <f>G14+H14</f>
        <v>2800</v>
      </c>
      <c r="G15" s="46"/>
      <c r="H15" s="46"/>
      <c r="I15" s="46"/>
      <c r="J15" s="4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205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230" t="s">
        <v>35</v>
      </c>
      <c r="B4" s="244">
        <v>45811.0</v>
      </c>
      <c r="C4" s="249" t="s">
        <v>206</v>
      </c>
      <c r="D4" s="250">
        <v>51017.0</v>
      </c>
      <c r="E4" s="251" t="s">
        <v>25</v>
      </c>
      <c r="F4" s="235"/>
      <c r="G4" s="252">
        <v>20000.0</v>
      </c>
      <c r="H4" s="236"/>
      <c r="I4" s="237"/>
      <c r="J4" s="238"/>
      <c r="K4" s="239" t="s">
        <v>17</v>
      </c>
      <c r="L4" s="186" t="s">
        <v>207</v>
      </c>
      <c r="M4" s="186" t="s">
        <v>208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44">
        <v>45812.0</v>
      </c>
      <c r="C5" s="249" t="s">
        <v>209</v>
      </c>
      <c r="D5" s="250">
        <v>47787.0</v>
      </c>
      <c r="E5" s="251" t="s">
        <v>210</v>
      </c>
      <c r="F5" s="240"/>
      <c r="G5" s="252">
        <v>5000.0</v>
      </c>
      <c r="H5" s="241"/>
      <c r="I5" s="242"/>
      <c r="J5" s="238"/>
      <c r="K5" s="253" t="s">
        <v>42</v>
      </c>
      <c r="L5" s="186" t="s">
        <v>211</v>
      </c>
      <c r="M5" s="186" t="s">
        <v>212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44">
        <v>45812.0</v>
      </c>
      <c r="C6" s="249" t="s">
        <v>213</v>
      </c>
      <c r="D6" s="250">
        <v>84443.0</v>
      </c>
      <c r="E6" s="251" t="s">
        <v>214</v>
      </c>
      <c r="F6" s="243"/>
      <c r="G6" s="252">
        <v>90000.0</v>
      </c>
      <c r="H6" s="235"/>
      <c r="I6" s="237"/>
      <c r="J6" s="238"/>
      <c r="K6" s="239" t="s">
        <v>17</v>
      </c>
      <c r="L6" s="186" t="s">
        <v>215</v>
      </c>
      <c r="M6" s="186" t="s">
        <v>141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44">
        <v>45812.0</v>
      </c>
      <c r="C7" s="249" t="s">
        <v>216</v>
      </c>
      <c r="D7" s="250">
        <v>84443.0</v>
      </c>
      <c r="E7" s="251" t="s">
        <v>214</v>
      </c>
      <c r="F7" s="243"/>
      <c r="G7" s="252">
        <v>35000.0</v>
      </c>
      <c r="H7" s="240"/>
      <c r="I7" s="237"/>
      <c r="J7" s="238"/>
      <c r="K7" s="239" t="s">
        <v>17</v>
      </c>
      <c r="L7" s="186" t="s">
        <v>217</v>
      </c>
      <c r="M7" s="186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44">
        <v>45812.0</v>
      </c>
      <c r="C8" s="249" t="s">
        <v>218</v>
      </c>
      <c r="D8" s="250">
        <v>44406.0</v>
      </c>
      <c r="E8" s="251" t="s">
        <v>219</v>
      </c>
      <c r="F8" s="240"/>
      <c r="G8" s="254"/>
      <c r="H8" s="252">
        <v>3700.0</v>
      </c>
      <c r="I8" s="237"/>
      <c r="J8" s="255"/>
      <c r="K8" s="239" t="s">
        <v>17</v>
      </c>
      <c r="L8" s="186" t="s">
        <v>220</v>
      </c>
      <c r="M8" s="186" t="s">
        <v>95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 t="s">
        <v>87</v>
      </c>
      <c r="B9" s="244">
        <v>45812.0</v>
      </c>
      <c r="C9" s="249" t="s">
        <v>221</v>
      </c>
      <c r="D9" s="250">
        <v>10006.0</v>
      </c>
      <c r="E9" s="251" t="s">
        <v>55</v>
      </c>
      <c r="F9" s="240"/>
      <c r="G9" s="235"/>
      <c r="H9" s="252">
        <v>1450.0</v>
      </c>
      <c r="I9" s="237"/>
      <c r="J9" s="256">
        <v>70.0</v>
      </c>
      <c r="K9" s="239" t="s">
        <v>17</v>
      </c>
      <c r="L9" s="186" t="s">
        <v>222</v>
      </c>
      <c r="M9" s="186" t="s">
        <v>95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44">
        <v>45812.0</v>
      </c>
      <c r="C10" s="249" t="s">
        <v>223</v>
      </c>
      <c r="D10" s="250">
        <v>13781.0</v>
      </c>
      <c r="E10" s="251" t="s">
        <v>224</v>
      </c>
      <c r="F10" s="240"/>
      <c r="G10" s="235"/>
      <c r="H10" s="257"/>
      <c r="I10" s="237"/>
      <c r="J10" s="256">
        <v>70.0</v>
      </c>
      <c r="K10" s="239" t="s">
        <v>17</v>
      </c>
      <c r="L10" s="186" t="s">
        <v>225</v>
      </c>
      <c r="M10" s="186" t="s">
        <v>98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 t="s">
        <v>152</v>
      </c>
      <c r="B11" s="244">
        <v>45812.0</v>
      </c>
      <c r="C11" s="249" t="s">
        <v>226</v>
      </c>
      <c r="D11" s="250">
        <v>52993.0</v>
      </c>
      <c r="E11" s="251" t="s">
        <v>227</v>
      </c>
      <c r="F11" s="240"/>
      <c r="G11" s="235"/>
      <c r="H11" s="235"/>
      <c r="I11" s="237"/>
      <c r="J11" s="256">
        <v>315.0</v>
      </c>
      <c r="K11" s="239" t="s">
        <v>17</v>
      </c>
      <c r="L11" s="186" t="s">
        <v>228</v>
      </c>
      <c r="M11" s="186" t="s">
        <v>204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30" t="s">
        <v>156</v>
      </c>
      <c r="B12" s="244">
        <v>45812.0</v>
      </c>
      <c r="C12" s="249" t="s">
        <v>229</v>
      </c>
      <c r="D12" s="250">
        <v>52993.0</v>
      </c>
      <c r="E12" s="251" t="s">
        <v>227</v>
      </c>
      <c r="F12" s="240"/>
      <c r="G12" s="235"/>
      <c r="H12" s="235"/>
      <c r="I12" s="237"/>
      <c r="J12" s="256">
        <v>210.0</v>
      </c>
      <c r="K12" s="253" t="s">
        <v>42</v>
      </c>
      <c r="L12" s="186" t="s">
        <v>230</v>
      </c>
      <c r="M12" s="186" t="s">
        <v>212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230"/>
      <c r="B13" s="244"/>
      <c r="C13" s="245"/>
      <c r="D13" s="246"/>
      <c r="E13" s="247"/>
      <c r="F13" s="240"/>
      <c r="G13" s="235"/>
      <c r="H13" s="235"/>
      <c r="I13" s="237"/>
      <c r="J13" s="258"/>
      <c r="K13" s="239"/>
      <c r="L13" s="186"/>
      <c r="M13" s="18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167"/>
      <c r="B14" s="168"/>
      <c r="C14" s="169"/>
      <c r="D14" s="170"/>
      <c r="E14" s="171"/>
      <c r="F14" s="180"/>
      <c r="G14" s="173"/>
      <c r="H14" s="181"/>
      <c r="I14" s="174"/>
      <c r="J14" s="176"/>
      <c r="K14" s="177"/>
      <c r="L14" s="178"/>
      <c r="M14" s="18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49.5" customHeight="1">
      <c r="A15" s="131"/>
      <c r="B15" s="46"/>
      <c r="C15" s="46"/>
      <c r="D15" s="46"/>
      <c r="E15" s="47"/>
      <c r="F15" s="182">
        <f t="shared" ref="F15:H15" si="1">SUM(F4:F14)</f>
        <v>0</v>
      </c>
      <c r="G15" s="182">
        <f t="shared" si="1"/>
        <v>150000</v>
      </c>
      <c r="H15" s="182">
        <f t="shared" si="1"/>
        <v>5150</v>
      </c>
      <c r="I15" s="182"/>
      <c r="J15" s="182"/>
      <c r="K15" s="135"/>
      <c r="L15" s="135"/>
      <c r="M15" s="136"/>
    </row>
    <row r="16" ht="48.0" customHeight="1">
      <c r="F16" s="183">
        <f>G15+H15</f>
        <v>155150</v>
      </c>
      <c r="G16" s="46"/>
      <c r="H16" s="46"/>
      <c r="I16" s="46"/>
      <c r="J16" s="4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5:E15"/>
    <mergeCell ref="F16:J16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231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58" t="s">
        <v>14</v>
      </c>
      <c r="K3" s="53"/>
      <c r="L3" s="52"/>
      <c r="M3" s="59"/>
    </row>
    <row r="4" ht="49.5" customHeight="1">
      <c r="A4" s="230" t="s">
        <v>35</v>
      </c>
      <c r="B4" s="244">
        <v>45813.0</v>
      </c>
      <c r="C4" s="249" t="s">
        <v>232</v>
      </c>
      <c r="D4" s="250">
        <v>51017.0</v>
      </c>
      <c r="E4" s="251" t="s">
        <v>25</v>
      </c>
      <c r="F4" s="235"/>
      <c r="G4" s="259">
        <v>12500.0</v>
      </c>
      <c r="H4" s="260"/>
      <c r="I4" s="261"/>
      <c r="J4" s="262"/>
      <c r="K4" s="239" t="s">
        <v>17</v>
      </c>
      <c r="L4" s="186" t="s">
        <v>233</v>
      </c>
      <c r="M4" s="186" t="s">
        <v>98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44">
        <v>45813.0</v>
      </c>
      <c r="C5" s="249" t="s">
        <v>234</v>
      </c>
      <c r="D5" s="250">
        <v>51782.0</v>
      </c>
      <c r="E5" s="251" t="s">
        <v>235</v>
      </c>
      <c r="F5" s="240"/>
      <c r="G5" s="259">
        <v>2500.0</v>
      </c>
      <c r="H5" s="260"/>
      <c r="I5" s="263"/>
      <c r="J5" s="262"/>
      <c r="K5" s="253" t="s">
        <v>42</v>
      </c>
      <c r="L5" s="186" t="s">
        <v>236</v>
      </c>
      <c r="M5" s="186" t="s">
        <v>212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44">
        <v>45813.0</v>
      </c>
      <c r="C6" s="249" t="s">
        <v>237</v>
      </c>
      <c r="D6" s="250">
        <v>52669.0</v>
      </c>
      <c r="E6" s="251" t="s">
        <v>21</v>
      </c>
      <c r="F6" s="243"/>
      <c r="G6" s="259">
        <v>25100.0</v>
      </c>
      <c r="H6" s="260"/>
      <c r="I6" s="261"/>
      <c r="J6" s="262"/>
      <c r="K6" s="239" t="s">
        <v>17</v>
      </c>
      <c r="L6" s="186" t="s">
        <v>238</v>
      </c>
      <c r="M6" s="186" t="s">
        <v>141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44">
        <v>45813.0</v>
      </c>
      <c r="C7" s="249" t="s">
        <v>239</v>
      </c>
      <c r="D7" s="250">
        <v>47787.0</v>
      </c>
      <c r="E7" s="251" t="s">
        <v>210</v>
      </c>
      <c r="F7" s="243"/>
      <c r="G7" s="259">
        <v>5000.0</v>
      </c>
      <c r="H7" s="260"/>
      <c r="I7" s="261"/>
      <c r="J7" s="262"/>
      <c r="K7" s="253" t="s">
        <v>42</v>
      </c>
      <c r="L7" s="186" t="s">
        <v>240</v>
      </c>
      <c r="M7" s="186" t="s">
        <v>212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44">
        <v>45813.0</v>
      </c>
      <c r="C8" s="249" t="s">
        <v>241</v>
      </c>
      <c r="D8" s="250">
        <v>10271.0</v>
      </c>
      <c r="E8" s="251" t="s">
        <v>242</v>
      </c>
      <c r="F8" s="243"/>
      <c r="G8" s="259">
        <v>2600.0</v>
      </c>
      <c r="H8" s="260"/>
      <c r="I8" s="261"/>
      <c r="J8" s="262"/>
      <c r="K8" s="239" t="s">
        <v>17</v>
      </c>
      <c r="L8" s="186" t="s">
        <v>243</v>
      </c>
      <c r="M8" s="186" t="s">
        <v>95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 t="s">
        <v>87</v>
      </c>
      <c r="B9" s="244">
        <v>45813.0</v>
      </c>
      <c r="C9" s="249" t="s">
        <v>244</v>
      </c>
      <c r="D9" s="250">
        <v>82254.0</v>
      </c>
      <c r="E9" s="251" t="s">
        <v>245</v>
      </c>
      <c r="F9" s="243"/>
      <c r="G9" s="260"/>
      <c r="H9" s="260"/>
      <c r="I9" s="261"/>
      <c r="J9" s="262"/>
      <c r="K9" s="239" t="s">
        <v>17</v>
      </c>
      <c r="L9" s="186" t="s">
        <v>246</v>
      </c>
      <c r="M9" s="186" t="s">
        <v>247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44">
        <v>45813.0</v>
      </c>
      <c r="C10" s="249" t="s">
        <v>248</v>
      </c>
      <c r="D10" s="250">
        <v>10006.0</v>
      </c>
      <c r="E10" s="251" t="s">
        <v>55</v>
      </c>
      <c r="F10" s="243"/>
      <c r="G10" s="260"/>
      <c r="H10" s="259">
        <v>2500.0</v>
      </c>
      <c r="I10" s="261"/>
      <c r="J10" s="262"/>
      <c r="K10" s="239" t="s">
        <v>17</v>
      </c>
      <c r="L10" s="186" t="s">
        <v>249</v>
      </c>
      <c r="M10" s="186" t="s">
        <v>95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 t="s">
        <v>152</v>
      </c>
      <c r="B11" s="244">
        <v>45813.0</v>
      </c>
      <c r="C11" s="249" t="s">
        <v>250</v>
      </c>
      <c r="D11" s="250">
        <v>10006.0</v>
      </c>
      <c r="E11" s="251" t="s">
        <v>55</v>
      </c>
      <c r="F11" s="243"/>
      <c r="G11" s="259"/>
      <c r="H11" s="259">
        <v>1200.0</v>
      </c>
      <c r="I11" s="261"/>
      <c r="J11" s="262"/>
      <c r="K11" s="239" t="s">
        <v>17</v>
      </c>
      <c r="L11" s="186" t="s">
        <v>251</v>
      </c>
      <c r="M11" s="186" t="s">
        <v>95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30" t="s">
        <v>156</v>
      </c>
      <c r="B12" s="244">
        <v>45812.0</v>
      </c>
      <c r="C12" s="249" t="s">
        <v>252</v>
      </c>
      <c r="D12" s="250">
        <v>45096.0</v>
      </c>
      <c r="E12" s="251" t="s">
        <v>253</v>
      </c>
      <c r="F12" s="243"/>
      <c r="G12" s="259"/>
      <c r="H12" s="260"/>
      <c r="I12" s="261"/>
      <c r="J12" s="256">
        <v>35.0</v>
      </c>
      <c r="K12" s="239" t="s">
        <v>17</v>
      </c>
      <c r="L12" s="186" t="s">
        <v>254</v>
      </c>
      <c r="M12" s="186" t="s">
        <v>141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230" t="s">
        <v>160</v>
      </c>
      <c r="B13" s="244">
        <v>45813.0</v>
      </c>
      <c r="C13" s="249" t="s">
        <v>255</v>
      </c>
      <c r="D13" s="250">
        <v>88888.0</v>
      </c>
      <c r="E13" s="251" t="s">
        <v>256</v>
      </c>
      <c r="F13" s="243"/>
      <c r="G13" s="259"/>
      <c r="H13" s="264"/>
      <c r="I13" s="261"/>
      <c r="J13" s="256">
        <v>300.0</v>
      </c>
      <c r="K13" s="239" t="s">
        <v>17</v>
      </c>
      <c r="L13" s="186" t="s">
        <v>257</v>
      </c>
      <c r="M13" s="186" t="s">
        <v>95</v>
      </c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230" t="s">
        <v>163</v>
      </c>
      <c r="B14" s="244">
        <v>45813.0</v>
      </c>
      <c r="C14" s="249" t="s">
        <v>258</v>
      </c>
      <c r="D14" s="250">
        <v>54110.0</v>
      </c>
      <c r="E14" s="251" t="s">
        <v>259</v>
      </c>
      <c r="F14" s="243"/>
      <c r="G14" s="259"/>
      <c r="H14" s="264"/>
      <c r="I14" s="261"/>
      <c r="J14" s="256">
        <v>35.0</v>
      </c>
      <c r="K14" s="239" t="s">
        <v>17</v>
      </c>
      <c r="L14" s="186" t="s">
        <v>260</v>
      </c>
      <c r="M14" s="186" t="s">
        <v>141</v>
      </c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49.5" customHeight="1">
      <c r="A15" s="230" t="s">
        <v>166</v>
      </c>
      <c r="B15" s="244">
        <v>45813.0</v>
      </c>
      <c r="C15" s="249" t="s">
        <v>261</v>
      </c>
      <c r="D15" s="250">
        <v>56745.0</v>
      </c>
      <c r="E15" s="251" t="s">
        <v>262</v>
      </c>
      <c r="F15" s="243"/>
      <c r="G15" s="259"/>
      <c r="H15" s="264"/>
      <c r="I15" s="261"/>
      <c r="J15" s="256">
        <v>70.0</v>
      </c>
      <c r="K15" s="239" t="s">
        <v>17</v>
      </c>
      <c r="L15" s="186" t="s">
        <v>260</v>
      </c>
      <c r="M15" s="186" t="s">
        <v>141</v>
      </c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ht="49.5" customHeight="1">
      <c r="A16" s="230" t="s">
        <v>169</v>
      </c>
      <c r="B16" s="244">
        <v>45813.0</v>
      </c>
      <c r="C16" s="249" t="s">
        <v>263</v>
      </c>
      <c r="D16" s="250">
        <v>45741.0</v>
      </c>
      <c r="E16" s="251" t="s">
        <v>264</v>
      </c>
      <c r="F16" s="243"/>
      <c r="G16" s="259"/>
      <c r="H16" s="264"/>
      <c r="I16" s="261"/>
      <c r="J16" s="256">
        <v>35.0</v>
      </c>
      <c r="K16" s="239" t="s">
        <v>17</v>
      </c>
      <c r="L16" s="186" t="s">
        <v>265</v>
      </c>
      <c r="M16" s="186" t="s">
        <v>141</v>
      </c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ht="49.5" customHeight="1">
      <c r="A17" s="230" t="s">
        <v>173</v>
      </c>
      <c r="B17" s="244">
        <v>45813.0</v>
      </c>
      <c r="C17" s="249" t="s">
        <v>266</v>
      </c>
      <c r="D17" s="250">
        <v>45739.0</v>
      </c>
      <c r="E17" s="251" t="s">
        <v>267</v>
      </c>
      <c r="F17" s="243"/>
      <c r="G17" s="259"/>
      <c r="H17" s="264"/>
      <c r="I17" s="261"/>
      <c r="J17" s="256">
        <v>35.0</v>
      </c>
      <c r="K17" s="239" t="s">
        <v>17</v>
      </c>
      <c r="L17" s="186" t="s">
        <v>268</v>
      </c>
      <c r="M17" s="186" t="s">
        <v>141</v>
      </c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ht="49.5" customHeight="1">
      <c r="A18" s="230"/>
      <c r="B18" s="244"/>
      <c r="C18" s="245"/>
      <c r="D18" s="246"/>
      <c r="E18" s="247"/>
      <c r="F18" s="240"/>
      <c r="G18" s="235"/>
      <c r="H18" s="235"/>
      <c r="I18" s="237"/>
      <c r="J18" s="258"/>
      <c r="K18" s="239"/>
      <c r="L18" s="186"/>
      <c r="M18" s="18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ht="49.5" customHeight="1">
      <c r="A19" s="167"/>
      <c r="B19" s="168"/>
      <c r="C19" s="169"/>
      <c r="D19" s="170"/>
      <c r="E19" s="171"/>
      <c r="F19" s="180"/>
      <c r="G19" s="173"/>
      <c r="H19" s="181"/>
      <c r="I19" s="174"/>
      <c r="J19" s="176"/>
      <c r="K19" s="177"/>
      <c r="L19" s="178"/>
      <c r="M19" s="18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ht="49.5" customHeight="1">
      <c r="A20" s="131"/>
      <c r="B20" s="46"/>
      <c r="C20" s="46"/>
      <c r="D20" s="46"/>
      <c r="E20" s="47"/>
      <c r="F20" s="182">
        <f t="shared" ref="F20:H20" si="1">SUM(F4:F19)</f>
        <v>0</v>
      </c>
      <c r="G20" s="182">
        <f t="shared" si="1"/>
        <v>47700</v>
      </c>
      <c r="H20" s="182">
        <f t="shared" si="1"/>
        <v>3700</v>
      </c>
      <c r="I20" s="182"/>
      <c r="J20" s="182"/>
      <c r="K20" s="135"/>
      <c r="L20" s="135"/>
      <c r="M20" s="136"/>
    </row>
    <row r="21" ht="48.0" customHeight="1">
      <c r="F21" s="183">
        <f>G20+H20</f>
        <v>51400</v>
      </c>
      <c r="G21" s="46"/>
      <c r="H21" s="46"/>
      <c r="I21" s="46"/>
      <c r="J2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2">
    <mergeCell ref="K2:K3"/>
    <mergeCell ref="L2:L3"/>
    <mergeCell ref="E2:E3"/>
    <mergeCell ref="A20:E20"/>
    <mergeCell ref="F21:J2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269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230" t="s">
        <v>35</v>
      </c>
      <c r="B4" s="244">
        <v>45813.0</v>
      </c>
      <c r="C4" s="249" t="s">
        <v>271</v>
      </c>
      <c r="D4" s="250">
        <v>33507.0</v>
      </c>
      <c r="E4" s="251" t="s">
        <v>272</v>
      </c>
      <c r="F4" s="252">
        <v>1350.0</v>
      </c>
      <c r="G4" s="257"/>
      <c r="H4" s="260"/>
      <c r="I4" s="261"/>
      <c r="J4" s="262"/>
      <c r="K4" s="266" t="s">
        <v>17</v>
      </c>
      <c r="L4" s="186" t="s">
        <v>273</v>
      </c>
      <c r="M4" s="186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44">
        <v>45813.0</v>
      </c>
      <c r="C5" s="249" t="s">
        <v>274</v>
      </c>
      <c r="D5" s="250">
        <v>82313.0</v>
      </c>
      <c r="E5" s="251" t="s">
        <v>275</v>
      </c>
      <c r="F5" s="257"/>
      <c r="G5" s="252">
        <v>7000.0</v>
      </c>
      <c r="H5" s="260"/>
      <c r="I5" s="263"/>
      <c r="J5" s="262"/>
      <c r="K5" s="267" t="s">
        <v>17</v>
      </c>
      <c r="L5" s="186" t="s">
        <v>276</v>
      </c>
      <c r="M5" s="186" t="s">
        <v>141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44">
        <v>45814.0</v>
      </c>
      <c r="C6" s="249" t="s">
        <v>277</v>
      </c>
      <c r="D6" s="250">
        <v>72839.0</v>
      </c>
      <c r="E6" s="251" t="s">
        <v>278</v>
      </c>
      <c r="F6" s="257"/>
      <c r="G6" s="252">
        <v>50000.0</v>
      </c>
      <c r="H6" s="260"/>
      <c r="I6" s="261"/>
      <c r="J6" s="262"/>
      <c r="K6" s="266" t="s">
        <v>17</v>
      </c>
      <c r="L6" s="186" t="s">
        <v>279</v>
      </c>
      <c r="M6" s="186" t="s">
        <v>141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44">
        <v>45814.0</v>
      </c>
      <c r="C7" s="249" t="s">
        <v>280</v>
      </c>
      <c r="D7" s="250">
        <v>72839.0</v>
      </c>
      <c r="E7" s="251" t="s">
        <v>278</v>
      </c>
      <c r="F7" s="257"/>
      <c r="G7" s="252">
        <v>2500.0</v>
      </c>
      <c r="H7" s="260"/>
      <c r="I7" s="261"/>
      <c r="J7" s="262"/>
      <c r="K7" s="267" t="s">
        <v>17</v>
      </c>
      <c r="L7" s="186" t="s">
        <v>281</v>
      </c>
      <c r="M7" s="186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44">
        <v>45814.0</v>
      </c>
      <c r="C8" s="249" t="s">
        <v>282</v>
      </c>
      <c r="D8" s="250">
        <v>43102.0</v>
      </c>
      <c r="E8" s="251" t="s">
        <v>283</v>
      </c>
      <c r="F8" s="257"/>
      <c r="G8" s="252">
        <v>10000.0</v>
      </c>
      <c r="H8" s="260"/>
      <c r="I8" s="261"/>
      <c r="J8" s="262"/>
      <c r="K8" s="266" t="s">
        <v>17</v>
      </c>
      <c r="L8" s="186" t="s">
        <v>284</v>
      </c>
      <c r="M8" s="186" t="s">
        <v>141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 t="s">
        <v>87</v>
      </c>
      <c r="B9" s="244">
        <v>45814.0</v>
      </c>
      <c r="C9" s="249" t="s">
        <v>285</v>
      </c>
      <c r="D9" s="250">
        <v>51017.0</v>
      </c>
      <c r="E9" s="251" t="s">
        <v>25</v>
      </c>
      <c r="F9" s="257"/>
      <c r="G9" s="252">
        <v>20000.0</v>
      </c>
      <c r="H9" s="260"/>
      <c r="I9" s="261"/>
      <c r="J9" s="262"/>
      <c r="K9" s="266" t="s">
        <v>17</v>
      </c>
      <c r="L9" s="186" t="s">
        <v>286</v>
      </c>
      <c r="M9" s="186" t="s">
        <v>125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44">
        <v>45814.0</v>
      </c>
      <c r="C10" s="249" t="s">
        <v>287</v>
      </c>
      <c r="D10" s="250">
        <v>31927.0</v>
      </c>
      <c r="E10" s="251" t="s">
        <v>288</v>
      </c>
      <c r="F10" s="257"/>
      <c r="G10" s="260"/>
      <c r="H10" s="259"/>
      <c r="I10" s="261"/>
      <c r="J10" s="268">
        <v>35.0</v>
      </c>
      <c r="K10" s="267" t="s">
        <v>42</v>
      </c>
      <c r="L10" s="186" t="s">
        <v>289</v>
      </c>
      <c r="M10" s="186" t="s">
        <v>290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/>
      <c r="B11" s="244"/>
      <c r="C11" s="249"/>
      <c r="D11" s="250"/>
      <c r="E11" s="251"/>
      <c r="F11" s="243"/>
      <c r="G11" s="259"/>
      <c r="H11" s="259"/>
      <c r="I11" s="261"/>
      <c r="J11" s="262"/>
      <c r="K11" s="239"/>
      <c r="L11" s="186"/>
      <c r="M11" s="18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167"/>
      <c r="B12" s="168"/>
      <c r="C12" s="169"/>
      <c r="D12" s="170"/>
      <c r="E12" s="171"/>
      <c r="F12" s="180"/>
      <c r="G12" s="173"/>
      <c r="H12" s="181"/>
      <c r="I12" s="174"/>
      <c r="J12" s="176"/>
      <c r="K12" s="177"/>
      <c r="L12" s="178"/>
      <c r="M12" s="18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131"/>
      <c r="B13" s="46"/>
      <c r="C13" s="46"/>
      <c r="D13" s="46"/>
      <c r="E13" s="47"/>
      <c r="F13" s="182">
        <f t="shared" ref="F13:H13" si="1">SUM(F4:F12)</f>
        <v>1350</v>
      </c>
      <c r="G13" s="182">
        <f t="shared" si="1"/>
        <v>89500</v>
      </c>
      <c r="H13" s="182">
        <f t="shared" si="1"/>
        <v>0</v>
      </c>
      <c r="I13" s="182"/>
      <c r="J13" s="182"/>
      <c r="K13" s="135"/>
      <c r="L13" s="135"/>
      <c r="M13" s="136"/>
    </row>
    <row r="14" ht="48.0" customHeight="1">
      <c r="F14" s="183">
        <f>F13+G13+H13+I13+J13</f>
        <v>90850</v>
      </c>
      <c r="G14" s="46"/>
      <c r="H14" s="46"/>
      <c r="I14" s="46"/>
      <c r="J14" s="4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291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230" t="s">
        <v>35</v>
      </c>
      <c r="B4" s="244">
        <v>45815.0</v>
      </c>
      <c r="C4" s="249" t="s">
        <v>292</v>
      </c>
      <c r="D4" s="250">
        <v>22332.0</v>
      </c>
      <c r="E4" s="251" t="s">
        <v>45</v>
      </c>
      <c r="F4" s="252"/>
      <c r="G4" s="257"/>
      <c r="H4" s="252">
        <v>2600.0</v>
      </c>
      <c r="I4" s="261"/>
      <c r="J4" s="262"/>
      <c r="K4" s="266" t="s">
        <v>17</v>
      </c>
      <c r="L4" s="186" t="s">
        <v>293</v>
      </c>
      <c r="M4" s="186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44">
        <v>45815.0</v>
      </c>
      <c r="C5" s="249" t="s">
        <v>294</v>
      </c>
      <c r="D5" s="250">
        <v>43380.0</v>
      </c>
      <c r="E5" s="251" t="s">
        <v>57</v>
      </c>
      <c r="F5" s="257"/>
      <c r="G5" s="252">
        <v>25000.0</v>
      </c>
      <c r="H5" s="257"/>
      <c r="I5" s="263"/>
      <c r="J5" s="262"/>
      <c r="K5" s="266" t="s">
        <v>17</v>
      </c>
      <c r="L5" s="186" t="s">
        <v>295</v>
      </c>
      <c r="M5" s="186" t="s">
        <v>141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44">
        <v>45815.0</v>
      </c>
      <c r="C6" s="249" t="s">
        <v>296</v>
      </c>
      <c r="D6" s="250">
        <v>51782.0</v>
      </c>
      <c r="E6" s="251" t="s">
        <v>235</v>
      </c>
      <c r="F6" s="257"/>
      <c r="G6" s="252">
        <v>2500.0</v>
      </c>
      <c r="H6" s="257"/>
      <c r="I6" s="261"/>
      <c r="J6" s="262"/>
      <c r="K6" s="266" t="s">
        <v>42</v>
      </c>
      <c r="L6" s="186" t="s">
        <v>297</v>
      </c>
      <c r="M6" s="186" t="s">
        <v>290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44">
        <v>45815.0</v>
      </c>
      <c r="C7" s="249" t="s">
        <v>298</v>
      </c>
      <c r="D7" s="250">
        <v>61445.0</v>
      </c>
      <c r="E7" s="251" t="s">
        <v>299</v>
      </c>
      <c r="F7" s="257"/>
      <c r="G7" s="257"/>
      <c r="H7" s="257"/>
      <c r="I7" s="261"/>
      <c r="J7" s="262"/>
      <c r="K7" s="267" t="s">
        <v>17</v>
      </c>
      <c r="L7" s="186" t="s">
        <v>300</v>
      </c>
      <c r="M7" s="186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69">
        <v>45815.0</v>
      </c>
      <c r="C8" s="270" t="s">
        <v>301</v>
      </c>
      <c r="D8" s="271">
        <v>10288.0</v>
      </c>
      <c r="E8" s="272" t="s">
        <v>38</v>
      </c>
      <c r="F8" s="257"/>
      <c r="G8" s="252"/>
      <c r="H8" s="260"/>
      <c r="I8" s="261"/>
      <c r="J8" s="268">
        <v>58.0</v>
      </c>
      <c r="K8" s="266" t="s">
        <v>17</v>
      </c>
      <c r="L8" s="186" t="s">
        <v>302</v>
      </c>
      <c r="M8" s="186" t="s">
        <v>95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 t="s">
        <v>87</v>
      </c>
      <c r="B9" s="273">
        <v>45815.0</v>
      </c>
      <c r="C9" s="274" t="s">
        <v>303</v>
      </c>
      <c r="D9" s="275">
        <v>36555.0</v>
      </c>
      <c r="E9" s="276" t="s">
        <v>50</v>
      </c>
      <c r="F9" s="277"/>
      <c r="G9" s="278">
        <v>9620.0</v>
      </c>
      <c r="H9" s="279"/>
      <c r="I9" s="280"/>
      <c r="J9" s="281"/>
      <c r="K9" s="266" t="s">
        <v>17</v>
      </c>
      <c r="L9" s="186" t="s">
        <v>304</v>
      </c>
      <c r="M9" s="186" t="s">
        <v>141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67"/>
      <c r="B10" s="168"/>
      <c r="C10" s="169"/>
      <c r="D10" s="170"/>
      <c r="E10" s="282"/>
      <c r="F10" s="283"/>
      <c r="G10" s="284"/>
      <c r="H10" s="285"/>
      <c r="I10" s="286"/>
      <c r="J10" s="287"/>
      <c r="K10" s="288"/>
      <c r="L10" s="178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0</v>
      </c>
      <c r="G11" s="289">
        <f t="shared" si="1"/>
        <v>37120</v>
      </c>
      <c r="H11" s="289">
        <f t="shared" si="1"/>
        <v>2600</v>
      </c>
      <c r="I11" s="289"/>
      <c r="J11" s="289"/>
      <c r="K11" s="135"/>
      <c r="L11" s="135"/>
      <c r="M11" s="136"/>
    </row>
    <row r="12" ht="48.0" customHeight="1">
      <c r="F12" s="183">
        <f>F11+G11+H11+I11+J11</f>
        <v>39720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230" t="s">
        <v>35</v>
      </c>
      <c r="B4" s="244">
        <v>45816.0</v>
      </c>
      <c r="C4" s="249" t="s">
        <v>306</v>
      </c>
      <c r="D4" s="250">
        <v>47787.0</v>
      </c>
      <c r="E4" s="251" t="s">
        <v>210</v>
      </c>
      <c r="F4" s="252"/>
      <c r="G4" s="290">
        <v>5000.0</v>
      </c>
      <c r="H4" s="291"/>
      <c r="I4" s="292"/>
      <c r="J4" s="293"/>
      <c r="K4" s="266" t="s">
        <v>42</v>
      </c>
      <c r="L4" s="186" t="s">
        <v>307</v>
      </c>
      <c r="M4" s="186" t="s">
        <v>290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44">
        <v>45816.0</v>
      </c>
      <c r="C5" s="249" t="s">
        <v>308</v>
      </c>
      <c r="D5" s="250">
        <v>51017.0</v>
      </c>
      <c r="E5" s="251" t="s">
        <v>25</v>
      </c>
      <c r="F5" s="257"/>
      <c r="G5" s="290">
        <v>5000.0</v>
      </c>
      <c r="H5" s="291"/>
      <c r="I5" s="294"/>
      <c r="J5" s="293"/>
      <c r="K5" s="266" t="s">
        <v>17</v>
      </c>
      <c r="L5" s="186" t="s">
        <v>309</v>
      </c>
      <c r="M5" s="186" t="s">
        <v>125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44">
        <v>45816.0</v>
      </c>
      <c r="C6" s="249" t="s">
        <v>310</v>
      </c>
      <c r="D6" s="250">
        <v>87820.0</v>
      </c>
      <c r="E6" s="251" t="s">
        <v>179</v>
      </c>
      <c r="F6" s="257"/>
      <c r="G6" s="290"/>
      <c r="H6" s="290">
        <v>1200.0</v>
      </c>
      <c r="I6" s="292"/>
      <c r="J6" s="293"/>
      <c r="K6" s="266" t="s">
        <v>17</v>
      </c>
      <c r="L6" s="186" t="s">
        <v>311</v>
      </c>
      <c r="M6" s="186" t="s">
        <v>183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44">
        <v>45816.0</v>
      </c>
      <c r="C7" s="249" t="s">
        <v>312</v>
      </c>
      <c r="D7" s="250">
        <v>87820.0</v>
      </c>
      <c r="E7" s="251" t="s">
        <v>179</v>
      </c>
      <c r="F7" s="257"/>
      <c r="G7" s="291"/>
      <c r="H7" s="290">
        <v>7500.0</v>
      </c>
      <c r="I7" s="292"/>
      <c r="J7" s="293"/>
      <c r="K7" s="266" t="s">
        <v>17</v>
      </c>
      <c r="L7" s="186" t="s">
        <v>313</v>
      </c>
      <c r="M7" s="186" t="s">
        <v>183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95">
        <v>45816.0</v>
      </c>
      <c r="C8" s="249" t="s">
        <v>314</v>
      </c>
      <c r="D8" s="250">
        <v>87820.0</v>
      </c>
      <c r="E8" s="251" t="s">
        <v>179</v>
      </c>
      <c r="F8" s="257"/>
      <c r="G8" s="290"/>
      <c r="H8" s="290">
        <v>880.0</v>
      </c>
      <c r="I8" s="292"/>
      <c r="J8" s="296"/>
      <c r="K8" s="266" t="s">
        <v>17</v>
      </c>
      <c r="L8" s="186" t="s">
        <v>315</v>
      </c>
      <c r="M8" s="186" t="s">
        <v>183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 t="s">
        <v>87</v>
      </c>
      <c r="B9" s="295">
        <v>45816.0</v>
      </c>
      <c r="C9" s="249" t="s">
        <v>316</v>
      </c>
      <c r="D9" s="250">
        <v>87820.0</v>
      </c>
      <c r="E9" s="251" t="s">
        <v>179</v>
      </c>
      <c r="F9" s="257"/>
      <c r="G9" s="290"/>
      <c r="H9" s="290">
        <v>10140.0</v>
      </c>
      <c r="I9" s="292"/>
      <c r="J9" s="296"/>
      <c r="K9" s="266" t="s">
        <v>17</v>
      </c>
      <c r="L9" s="186" t="s">
        <v>317</v>
      </c>
      <c r="M9" s="186" t="s">
        <v>183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95">
        <v>45816.0</v>
      </c>
      <c r="C10" s="249" t="s">
        <v>318</v>
      </c>
      <c r="D10" s="250">
        <v>24368.0</v>
      </c>
      <c r="E10" s="251" t="s">
        <v>319</v>
      </c>
      <c r="F10" s="257"/>
      <c r="G10" s="290"/>
      <c r="H10" s="291"/>
      <c r="I10" s="292"/>
      <c r="J10" s="296">
        <v>35.0</v>
      </c>
      <c r="K10" s="266" t="s">
        <v>17</v>
      </c>
      <c r="L10" s="186" t="s">
        <v>320</v>
      </c>
      <c r="M10" s="186" t="s">
        <v>183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/>
      <c r="B11" s="273"/>
      <c r="C11" s="274"/>
      <c r="D11" s="275"/>
      <c r="E11" s="276"/>
      <c r="F11" s="277"/>
      <c r="G11" s="278"/>
      <c r="H11" s="279"/>
      <c r="I11" s="280"/>
      <c r="J11" s="281"/>
      <c r="K11" s="266"/>
      <c r="L11" s="186"/>
      <c r="M11" s="18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167"/>
      <c r="B12" s="168"/>
      <c r="C12" s="169"/>
      <c r="D12" s="170"/>
      <c r="E12" s="282"/>
      <c r="F12" s="283"/>
      <c r="G12" s="284"/>
      <c r="H12" s="285"/>
      <c r="I12" s="286"/>
      <c r="J12" s="287"/>
      <c r="K12" s="288"/>
      <c r="L12" s="178"/>
      <c r="M12" s="18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131"/>
      <c r="B13" s="46"/>
      <c r="C13" s="46"/>
      <c r="D13" s="46"/>
      <c r="E13" s="47"/>
      <c r="F13" s="289">
        <f t="shared" ref="F13:H13" si="1">SUM(F4:F12)</f>
        <v>0</v>
      </c>
      <c r="G13" s="289">
        <f t="shared" si="1"/>
        <v>10000</v>
      </c>
      <c r="H13" s="289">
        <f t="shared" si="1"/>
        <v>19720</v>
      </c>
      <c r="I13" s="289"/>
      <c r="J13" s="289"/>
      <c r="K13" s="135"/>
      <c r="L13" s="135"/>
      <c r="M13" s="136"/>
    </row>
    <row r="14" ht="48.0" customHeight="1">
      <c r="F14" s="183">
        <f>F13+G13+H13+I13+J13</f>
        <v>29720</v>
      </c>
      <c r="G14" s="46"/>
      <c r="H14" s="46"/>
      <c r="I14" s="46"/>
      <c r="J14" s="4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321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230" t="s">
        <v>35</v>
      </c>
      <c r="B4" s="297">
        <v>45906.0</v>
      </c>
      <c r="C4" s="274" t="s">
        <v>322</v>
      </c>
      <c r="D4" s="275">
        <v>47787.0</v>
      </c>
      <c r="E4" s="276" t="s">
        <v>210</v>
      </c>
      <c r="F4" s="252"/>
      <c r="G4" s="298">
        <v>10200.0</v>
      </c>
      <c r="H4" s="299"/>
      <c r="I4" s="292"/>
      <c r="J4" s="293"/>
      <c r="K4" s="266" t="s">
        <v>42</v>
      </c>
      <c r="L4" s="186" t="s">
        <v>323</v>
      </c>
      <c r="M4" s="186" t="s">
        <v>290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97">
        <v>45906.0</v>
      </c>
      <c r="C5" s="274" t="s">
        <v>324</v>
      </c>
      <c r="D5" s="275">
        <v>25542.0</v>
      </c>
      <c r="E5" s="276" t="s">
        <v>325</v>
      </c>
      <c r="F5" s="257"/>
      <c r="G5" s="298">
        <v>4500.0</v>
      </c>
      <c r="H5" s="299"/>
      <c r="I5" s="294"/>
      <c r="J5" s="293"/>
      <c r="K5" s="266" t="s">
        <v>17</v>
      </c>
      <c r="L5" s="186" t="s">
        <v>326</v>
      </c>
      <c r="M5" s="186" t="s">
        <v>141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97">
        <v>45906.0</v>
      </c>
      <c r="C6" s="274" t="s">
        <v>327</v>
      </c>
      <c r="D6" s="275">
        <v>25542.0</v>
      </c>
      <c r="E6" s="276" t="s">
        <v>325</v>
      </c>
      <c r="F6" s="257"/>
      <c r="G6" s="298">
        <v>4500.0</v>
      </c>
      <c r="H6" s="299"/>
      <c r="I6" s="292"/>
      <c r="J6" s="293"/>
      <c r="K6" s="266" t="s">
        <v>17</v>
      </c>
      <c r="L6" s="186" t="s">
        <v>328</v>
      </c>
      <c r="M6" s="186" t="s">
        <v>141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97">
        <v>45906.0</v>
      </c>
      <c r="C7" s="274" t="s">
        <v>329</v>
      </c>
      <c r="D7" s="275">
        <v>55446.0</v>
      </c>
      <c r="E7" s="276" t="s">
        <v>330</v>
      </c>
      <c r="F7" s="257"/>
      <c r="G7" s="298">
        <v>10000.0</v>
      </c>
      <c r="H7" s="299"/>
      <c r="I7" s="292"/>
      <c r="J7" s="293"/>
      <c r="K7" s="266" t="s">
        <v>17</v>
      </c>
      <c r="L7" s="186" t="s">
        <v>331</v>
      </c>
      <c r="M7" s="186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97">
        <v>45906.0</v>
      </c>
      <c r="C8" s="274" t="s">
        <v>332</v>
      </c>
      <c r="D8" s="275">
        <v>22332.0</v>
      </c>
      <c r="E8" s="276" t="s">
        <v>45</v>
      </c>
      <c r="F8" s="257"/>
      <c r="G8" s="298"/>
      <c r="H8" s="298">
        <v>5100.0</v>
      </c>
      <c r="I8" s="292"/>
      <c r="J8" s="296"/>
      <c r="K8" s="266" t="s">
        <v>17</v>
      </c>
      <c r="L8" s="186" t="s">
        <v>333</v>
      </c>
      <c r="M8" s="300" t="s">
        <v>334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67"/>
      <c r="B9" s="168"/>
      <c r="C9" s="169"/>
      <c r="D9" s="170"/>
      <c r="E9" s="282"/>
      <c r="F9" s="283"/>
      <c r="G9" s="284"/>
      <c r="H9" s="285"/>
      <c r="I9" s="286"/>
      <c r="J9" s="287"/>
      <c r="K9" s="288"/>
      <c r="L9" s="178"/>
      <c r="M9" s="18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31"/>
      <c r="B10" s="46"/>
      <c r="C10" s="46"/>
      <c r="D10" s="46"/>
      <c r="E10" s="47"/>
      <c r="F10" s="289">
        <f t="shared" ref="F10:H10" si="1">SUM(F4:F9)</f>
        <v>0</v>
      </c>
      <c r="G10" s="289">
        <f t="shared" si="1"/>
        <v>29200</v>
      </c>
      <c r="H10" s="289">
        <f t="shared" si="1"/>
        <v>5100</v>
      </c>
      <c r="I10" s="289"/>
      <c r="J10" s="289"/>
      <c r="K10" s="135"/>
      <c r="L10" s="135"/>
      <c r="M10" s="136"/>
    </row>
    <row r="11" ht="48.0" customHeight="1">
      <c r="F11" s="183">
        <f>F10+G10+H10+I10+J10</f>
        <v>34300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230" t="s">
        <v>35</v>
      </c>
      <c r="B4" s="244">
        <v>45818.0</v>
      </c>
      <c r="C4" s="249" t="s">
        <v>336</v>
      </c>
      <c r="D4" s="250">
        <v>89048.0</v>
      </c>
      <c r="E4" s="251" t="s">
        <v>337</v>
      </c>
      <c r="F4" s="290">
        <v>300.0</v>
      </c>
      <c r="G4" s="291"/>
      <c r="H4" s="291"/>
      <c r="I4" s="292"/>
      <c r="J4" s="293"/>
      <c r="K4" s="266" t="s">
        <v>17</v>
      </c>
      <c r="L4" s="186" t="s">
        <v>338</v>
      </c>
      <c r="M4" s="186" t="s">
        <v>95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230" t="s">
        <v>19</v>
      </c>
      <c r="B5" s="244">
        <v>45818.0</v>
      </c>
      <c r="C5" s="249" t="s">
        <v>339</v>
      </c>
      <c r="D5" s="250">
        <v>51660.0</v>
      </c>
      <c r="E5" s="251" t="s">
        <v>340</v>
      </c>
      <c r="F5" s="291"/>
      <c r="G5" s="290">
        <v>6050.0</v>
      </c>
      <c r="H5" s="291"/>
      <c r="I5" s="294"/>
      <c r="J5" s="293"/>
      <c r="K5" s="266" t="s">
        <v>17</v>
      </c>
      <c r="L5" s="186" t="s">
        <v>341</v>
      </c>
      <c r="M5" s="186" t="s">
        <v>141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230" t="s">
        <v>23</v>
      </c>
      <c r="B6" s="244">
        <v>45818.0</v>
      </c>
      <c r="C6" s="249" t="s">
        <v>342</v>
      </c>
      <c r="D6" s="250">
        <v>51017.0</v>
      </c>
      <c r="E6" s="251" t="s">
        <v>25</v>
      </c>
      <c r="F6" s="291"/>
      <c r="G6" s="290">
        <v>22500.0</v>
      </c>
      <c r="H6" s="291"/>
      <c r="I6" s="292"/>
      <c r="J6" s="293"/>
      <c r="K6" s="266" t="s">
        <v>17</v>
      </c>
      <c r="L6" s="186" t="s">
        <v>343</v>
      </c>
      <c r="M6" s="186" t="s">
        <v>208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230" t="s">
        <v>28</v>
      </c>
      <c r="B7" s="244">
        <v>45818.0</v>
      </c>
      <c r="C7" s="249" t="s">
        <v>344</v>
      </c>
      <c r="D7" s="250">
        <v>34941.0</v>
      </c>
      <c r="E7" s="251" t="s">
        <v>345</v>
      </c>
      <c r="F7" s="291"/>
      <c r="G7" s="291"/>
      <c r="H7" s="290">
        <v>600.0</v>
      </c>
      <c r="I7" s="292"/>
      <c r="J7" s="293"/>
      <c r="K7" s="266" t="s">
        <v>17</v>
      </c>
      <c r="L7" s="186" t="s">
        <v>346</v>
      </c>
      <c r="M7" s="186" t="s">
        <v>208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230" t="s">
        <v>30</v>
      </c>
      <c r="B8" s="244">
        <v>45818.0</v>
      </c>
      <c r="C8" s="249" t="s">
        <v>347</v>
      </c>
      <c r="D8" s="250">
        <v>70684.0</v>
      </c>
      <c r="E8" s="251" t="s">
        <v>348</v>
      </c>
      <c r="F8" s="291"/>
      <c r="G8" s="290"/>
      <c r="H8" s="290"/>
      <c r="I8" s="292"/>
      <c r="J8" s="296">
        <v>175.0</v>
      </c>
      <c r="K8" s="266" t="s">
        <v>17</v>
      </c>
      <c r="L8" s="186" t="s">
        <v>349</v>
      </c>
      <c r="M8" s="186" t="s">
        <v>208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67"/>
      <c r="B9" s="168"/>
      <c r="C9" s="169"/>
      <c r="D9" s="170"/>
      <c r="E9" s="282"/>
      <c r="F9" s="283"/>
      <c r="G9" s="284"/>
      <c r="H9" s="285"/>
      <c r="I9" s="286"/>
      <c r="J9" s="287"/>
      <c r="K9" s="288"/>
      <c r="L9" s="178"/>
      <c r="M9" s="18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31"/>
      <c r="B10" s="46"/>
      <c r="C10" s="46"/>
      <c r="D10" s="46"/>
      <c r="E10" s="47"/>
      <c r="F10" s="289">
        <f t="shared" ref="F10:H10" si="1">SUM(F4:F9)</f>
        <v>300</v>
      </c>
      <c r="G10" s="289">
        <f t="shared" si="1"/>
        <v>28550</v>
      </c>
      <c r="H10" s="289">
        <f t="shared" si="1"/>
        <v>600</v>
      </c>
      <c r="I10" s="289"/>
      <c r="J10" s="289"/>
      <c r="K10" s="135"/>
      <c r="L10" s="135"/>
      <c r="M10" s="136"/>
    </row>
    <row r="11" ht="48.0" customHeight="1">
      <c r="F11" s="183">
        <f>F10+G10+H10+I10+J10</f>
        <v>29450</v>
      </c>
      <c r="G11" s="46"/>
      <c r="H11" s="46"/>
      <c r="I11" s="46"/>
      <c r="J1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350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01" t="s">
        <v>35</v>
      </c>
      <c r="B4" s="302">
        <v>45818.0</v>
      </c>
      <c r="C4" s="303" t="s">
        <v>351</v>
      </c>
      <c r="D4" s="304">
        <v>89064.0</v>
      </c>
      <c r="E4" s="305" t="s">
        <v>352</v>
      </c>
      <c r="F4" s="306">
        <v>300.0</v>
      </c>
      <c r="G4" s="307"/>
      <c r="H4" s="307"/>
      <c r="I4" s="308"/>
      <c r="J4" s="309"/>
      <c r="K4" s="310" t="s">
        <v>17</v>
      </c>
      <c r="L4" s="311" t="s">
        <v>353</v>
      </c>
      <c r="M4" s="311" t="s">
        <v>95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01" t="s">
        <v>19</v>
      </c>
      <c r="B5" s="302">
        <v>45818.0</v>
      </c>
      <c r="C5" s="303" t="s">
        <v>354</v>
      </c>
      <c r="D5" s="304">
        <v>89065.0</v>
      </c>
      <c r="E5" s="305" t="s">
        <v>355</v>
      </c>
      <c r="F5" s="306">
        <v>300.0</v>
      </c>
      <c r="G5" s="307"/>
      <c r="H5" s="307"/>
      <c r="I5" s="312"/>
      <c r="J5" s="309"/>
      <c r="K5" s="310" t="s">
        <v>17</v>
      </c>
      <c r="L5" s="311" t="s">
        <v>356</v>
      </c>
      <c r="M5" s="311" t="s">
        <v>95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01" t="s">
        <v>23</v>
      </c>
      <c r="B6" s="302">
        <v>45818.0</v>
      </c>
      <c r="C6" s="303" t="s">
        <v>357</v>
      </c>
      <c r="D6" s="304">
        <v>51782.0</v>
      </c>
      <c r="E6" s="305" t="s">
        <v>235</v>
      </c>
      <c r="F6" s="307"/>
      <c r="G6" s="306">
        <v>2500.0</v>
      </c>
      <c r="H6" s="307"/>
      <c r="I6" s="308"/>
      <c r="J6" s="309"/>
      <c r="K6" s="310" t="s">
        <v>42</v>
      </c>
      <c r="L6" s="311" t="s">
        <v>358</v>
      </c>
      <c r="M6" s="311" t="s">
        <v>290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01" t="s">
        <v>28</v>
      </c>
      <c r="B7" s="302">
        <v>45818.0</v>
      </c>
      <c r="C7" s="303" t="s">
        <v>359</v>
      </c>
      <c r="D7" s="304">
        <v>89078.0</v>
      </c>
      <c r="E7" s="305" t="s">
        <v>360</v>
      </c>
      <c r="F7" s="306">
        <v>300.0</v>
      </c>
      <c r="G7" s="307"/>
      <c r="H7" s="307"/>
      <c r="I7" s="308"/>
      <c r="J7" s="309"/>
      <c r="K7" s="310" t="s">
        <v>17</v>
      </c>
      <c r="L7" s="311" t="s">
        <v>361</v>
      </c>
      <c r="M7" s="311" t="s">
        <v>95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01" t="s">
        <v>30</v>
      </c>
      <c r="B8" s="302">
        <v>45818.0</v>
      </c>
      <c r="C8" s="303" t="s">
        <v>362</v>
      </c>
      <c r="D8" s="304">
        <v>89079.0</v>
      </c>
      <c r="E8" s="305" t="s">
        <v>363</v>
      </c>
      <c r="F8" s="307"/>
      <c r="G8" s="306">
        <v>7000.0</v>
      </c>
      <c r="H8" s="307"/>
      <c r="I8" s="308"/>
      <c r="J8" s="309"/>
      <c r="K8" s="310" t="s">
        <v>17</v>
      </c>
      <c r="L8" s="311" t="s">
        <v>364</v>
      </c>
      <c r="M8" s="311" t="s">
        <v>141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01" t="s">
        <v>87</v>
      </c>
      <c r="B9" s="302">
        <v>45818.0</v>
      </c>
      <c r="C9" s="303" t="s">
        <v>365</v>
      </c>
      <c r="D9" s="304">
        <v>10006.0</v>
      </c>
      <c r="E9" s="305" t="s">
        <v>55</v>
      </c>
      <c r="F9" s="307"/>
      <c r="G9" s="306">
        <v>5000.0</v>
      </c>
      <c r="H9" s="307"/>
      <c r="I9" s="308"/>
      <c r="J9" s="309"/>
      <c r="K9" s="310" t="s">
        <v>17</v>
      </c>
      <c r="L9" s="311" t="s">
        <v>366</v>
      </c>
      <c r="M9" s="311" t="s">
        <v>141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97">
        <v>45819.0</v>
      </c>
      <c r="C10" s="274" t="s">
        <v>367</v>
      </c>
      <c r="D10" s="275">
        <v>47787.0</v>
      </c>
      <c r="E10" s="276" t="s">
        <v>210</v>
      </c>
      <c r="F10" s="260"/>
      <c r="G10" s="259">
        <v>5000.0</v>
      </c>
      <c r="H10" s="260"/>
      <c r="I10" s="292"/>
      <c r="J10" s="293"/>
      <c r="K10" s="266" t="s">
        <v>42</v>
      </c>
      <c r="L10" s="186" t="s">
        <v>368</v>
      </c>
      <c r="M10" s="186" t="s">
        <v>290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 t="s">
        <v>152</v>
      </c>
      <c r="B11" s="297">
        <v>45819.0</v>
      </c>
      <c r="C11" s="274" t="s">
        <v>369</v>
      </c>
      <c r="D11" s="275">
        <v>51017.0</v>
      </c>
      <c r="E11" s="276" t="s">
        <v>25</v>
      </c>
      <c r="F11" s="260"/>
      <c r="G11" s="259">
        <v>26600.0</v>
      </c>
      <c r="H11" s="260"/>
      <c r="I11" s="292"/>
      <c r="J11" s="293"/>
      <c r="K11" s="266" t="s">
        <v>17</v>
      </c>
      <c r="L11" s="186" t="s">
        <v>370</v>
      </c>
      <c r="M11" s="186" t="s">
        <v>208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30" t="s">
        <v>156</v>
      </c>
      <c r="B12" s="297">
        <v>45819.0</v>
      </c>
      <c r="C12" s="274" t="s">
        <v>371</v>
      </c>
      <c r="D12" s="275">
        <v>34941.0</v>
      </c>
      <c r="E12" s="276" t="s">
        <v>345</v>
      </c>
      <c r="F12" s="260"/>
      <c r="G12" s="260"/>
      <c r="H12" s="259">
        <v>300.0</v>
      </c>
      <c r="I12" s="292"/>
      <c r="J12" s="296"/>
      <c r="K12" s="266" t="s">
        <v>17</v>
      </c>
      <c r="L12" s="186" t="s">
        <v>372</v>
      </c>
      <c r="M12" s="186" t="s">
        <v>183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167"/>
      <c r="B13" s="168"/>
      <c r="C13" s="169"/>
      <c r="D13" s="170"/>
      <c r="E13" s="282"/>
      <c r="F13" s="283"/>
      <c r="G13" s="284"/>
      <c r="H13" s="285"/>
      <c r="I13" s="286"/>
      <c r="J13" s="287"/>
      <c r="K13" s="288"/>
      <c r="L13" s="178"/>
      <c r="M13" s="18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131"/>
      <c r="B14" s="46"/>
      <c r="C14" s="46"/>
      <c r="D14" s="46"/>
      <c r="E14" s="47"/>
      <c r="F14" s="289">
        <f t="shared" ref="F14:H14" si="1">SUM(F4:F13)</f>
        <v>900</v>
      </c>
      <c r="G14" s="289">
        <f t="shared" si="1"/>
        <v>46100</v>
      </c>
      <c r="H14" s="289">
        <f t="shared" si="1"/>
        <v>300</v>
      </c>
      <c r="I14" s="289"/>
      <c r="J14" s="289"/>
      <c r="K14" s="135"/>
      <c r="L14" s="135"/>
      <c r="M14" s="136"/>
    </row>
    <row r="15" ht="48.0" customHeight="1">
      <c r="F15" s="183">
        <f>F14+G14+H14+I14+J14</f>
        <v>47300</v>
      </c>
      <c r="G15" s="46"/>
      <c r="H15" s="46"/>
      <c r="I15" s="46"/>
      <c r="J15" s="4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373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167" t="s">
        <v>35</v>
      </c>
      <c r="B4" s="297">
        <v>45820.0</v>
      </c>
      <c r="C4" s="274" t="s">
        <v>374</v>
      </c>
      <c r="D4" s="275">
        <v>42046.0</v>
      </c>
      <c r="E4" s="276" t="s">
        <v>375</v>
      </c>
      <c r="F4" s="259"/>
      <c r="G4" s="313">
        <v>3600.0</v>
      </c>
      <c r="H4" s="260"/>
      <c r="I4" s="314"/>
      <c r="J4" s="315"/>
      <c r="K4" s="316" t="s">
        <v>17</v>
      </c>
      <c r="L4" s="179" t="s">
        <v>376</v>
      </c>
      <c r="M4" s="179" t="s">
        <v>33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167" t="s">
        <v>19</v>
      </c>
      <c r="B5" s="297">
        <v>45820.0</v>
      </c>
      <c r="C5" s="274" t="s">
        <v>377</v>
      </c>
      <c r="D5" s="275">
        <v>61420.0</v>
      </c>
      <c r="E5" s="276" t="s">
        <v>378</v>
      </c>
      <c r="F5" s="259"/>
      <c r="G5" s="260"/>
      <c r="H5" s="260"/>
      <c r="I5" s="317"/>
      <c r="J5" s="318">
        <v>35.0</v>
      </c>
      <c r="K5" s="316" t="s">
        <v>17</v>
      </c>
      <c r="L5" s="179" t="s">
        <v>379</v>
      </c>
      <c r="M5" s="179" t="s">
        <v>380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67" t="s">
        <v>23</v>
      </c>
      <c r="B6" s="297">
        <v>45820.0</v>
      </c>
      <c r="C6" s="274" t="s">
        <v>381</v>
      </c>
      <c r="D6" s="275">
        <v>50595.0</v>
      </c>
      <c r="E6" s="276" t="s">
        <v>27</v>
      </c>
      <c r="F6" s="260"/>
      <c r="G6" s="319">
        <v>15000.0</v>
      </c>
      <c r="H6" s="260"/>
      <c r="I6" s="314"/>
      <c r="J6" s="315"/>
      <c r="K6" s="316" t="s">
        <v>17</v>
      </c>
      <c r="L6" s="179" t="s">
        <v>382</v>
      </c>
      <c r="M6" s="179" t="s">
        <v>380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67" t="s">
        <v>28</v>
      </c>
      <c r="B7" s="297">
        <v>45820.0</v>
      </c>
      <c r="C7" s="274" t="s">
        <v>383</v>
      </c>
      <c r="D7" s="275">
        <v>47787.0</v>
      </c>
      <c r="E7" s="276" t="s">
        <v>210</v>
      </c>
      <c r="F7" s="259"/>
      <c r="G7" s="320">
        <v>10000.0</v>
      </c>
      <c r="H7" s="260"/>
      <c r="I7" s="314"/>
      <c r="J7" s="318"/>
      <c r="K7" s="316" t="s">
        <v>42</v>
      </c>
      <c r="L7" s="179" t="s">
        <v>384</v>
      </c>
      <c r="M7" s="179" t="s">
        <v>290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67" t="s">
        <v>30</v>
      </c>
      <c r="B8" s="297">
        <v>45820.0</v>
      </c>
      <c r="C8" s="274" t="s">
        <v>385</v>
      </c>
      <c r="D8" s="275">
        <v>22332.0</v>
      </c>
      <c r="E8" s="276" t="s">
        <v>45</v>
      </c>
      <c r="F8" s="260"/>
      <c r="G8" s="259"/>
      <c r="H8" s="320">
        <v>25000.0</v>
      </c>
      <c r="I8" s="314"/>
      <c r="J8" s="315"/>
      <c r="K8" s="316" t="s">
        <v>17</v>
      </c>
      <c r="L8" s="179">
        <v>13.07</v>
      </c>
      <c r="M8" s="179" t="s">
        <v>33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67" t="s">
        <v>87</v>
      </c>
      <c r="B9" s="297"/>
      <c r="C9" s="274"/>
      <c r="D9" s="275"/>
      <c r="E9" s="276"/>
      <c r="F9" s="260"/>
      <c r="G9" s="319" t="s">
        <v>386</v>
      </c>
      <c r="H9" s="260"/>
      <c r="I9" s="314"/>
      <c r="J9" s="315"/>
      <c r="K9" s="316"/>
      <c r="L9" s="179"/>
      <c r="M9" s="179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97"/>
      <c r="C10" s="274"/>
      <c r="D10" s="275"/>
      <c r="E10" s="276"/>
      <c r="F10" s="260"/>
      <c r="G10" s="259"/>
      <c r="H10" s="260"/>
      <c r="I10" s="292"/>
      <c r="J10" s="293"/>
      <c r="K10" s="266"/>
      <c r="L10" s="186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 t="s">
        <v>152</v>
      </c>
      <c r="B11" s="297"/>
      <c r="C11" s="274"/>
      <c r="D11" s="275"/>
      <c r="E11" s="276"/>
      <c r="F11" s="260"/>
      <c r="G11" s="259"/>
      <c r="H11" s="260"/>
      <c r="I11" s="292"/>
      <c r="J11" s="293"/>
      <c r="K11" s="266"/>
      <c r="L11" s="186"/>
      <c r="M11" s="18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30" t="s">
        <v>156</v>
      </c>
      <c r="B12" s="297"/>
      <c r="C12" s="274"/>
      <c r="D12" s="275"/>
      <c r="E12" s="276"/>
      <c r="F12" s="260"/>
      <c r="G12" s="260"/>
      <c r="H12" s="259"/>
      <c r="I12" s="292"/>
      <c r="J12" s="296"/>
      <c r="K12" s="266"/>
      <c r="L12" s="186"/>
      <c r="M12" s="18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167"/>
      <c r="B13" s="168"/>
      <c r="C13" s="169"/>
      <c r="D13" s="170"/>
      <c r="E13" s="282"/>
      <c r="F13" s="283"/>
      <c r="G13" s="284"/>
      <c r="H13" s="285"/>
      <c r="I13" s="286"/>
      <c r="J13" s="287"/>
      <c r="K13" s="288"/>
      <c r="L13" s="178"/>
      <c r="M13" s="18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131"/>
      <c r="B14" s="46"/>
      <c r="C14" s="46"/>
      <c r="D14" s="46"/>
      <c r="E14" s="47"/>
      <c r="F14" s="289">
        <f t="shared" ref="F14:H14" si="1">SUM(F4:F13)</f>
        <v>0</v>
      </c>
      <c r="G14" s="289">
        <f t="shared" si="1"/>
        <v>28600</v>
      </c>
      <c r="H14" s="289">
        <f t="shared" si="1"/>
        <v>25000</v>
      </c>
      <c r="I14" s="289"/>
      <c r="J14" s="289"/>
      <c r="K14" s="135"/>
      <c r="L14" s="135"/>
      <c r="M14" s="136"/>
    </row>
    <row r="15" ht="48.0" customHeight="1">
      <c r="F15" s="183">
        <f>F14+G14+H14+I14+J14</f>
        <v>53600</v>
      </c>
      <c r="G15" s="46"/>
      <c r="H15" s="46"/>
      <c r="I15" s="46"/>
      <c r="J15" s="4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387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167" t="s">
        <v>35</v>
      </c>
      <c r="B4" s="297">
        <v>45821.0</v>
      </c>
      <c r="C4" s="274" t="s">
        <v>388</v>
      </c>
      <c r="D4" s="275">
        <v>22332.0</v>
      </c>
      <c r="E4" s="276" t="s">
        <v>45</v>
      </c>
      <c r="F4" s="259"/>
      <c r="G4" s="313"/>
      <c r="H4" s="320">
        <v>3240.0</v>
      </c>
      <c r="I4" s="314"/>
      <c r="J4" s="315"/>
      <c r="K4" s="316" t="s">
        <v>17</v>
      </c>
      <c r="L4" s="179">
        <v>11.47</v>
      </c>
      <c r="M4" s="179" t="s">
        <v>389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167" t="s">
        <v>19</v>
      </c>
      <c r="B5" s="297">
        <v>45821.0</v>
      </c>
      <c r="C5" s="274" t="s">
        <v>390</v>
      </c>
      <c r="D5" s="275">
        <v>51017.0</v>
      </c>
      <c r="E5" s="276" t="s">
        <v>25</v>
      </c>
      <c r="F5" s="259"/>
      <c r="G5" s="320">
        <v>20000.0</v>
      </c>
      <c r="H5" s="320"/>
      <c r="I5" s="317"/>
      <c r="J5" s="318"/>
      <c r="K5" s="316" t="s">
        <v>17</v>
      </c>
      <c r="L5" s="179">
        <v>12.06</v>
      </c>
      <c r="M5" s="179" t="s">
        <v>391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67" t="s">
        <v>23</v>
      </c>
      <c r="B6" s="297">
        <v>45821.0</v>
      </c>
      <c r="C6" s="274" t="s">
        <v>392</v>
      </c>
      <c r="D6" s="275">
        <v>46927.0</v>
      </c>
      <c r="E6" s="276" t="s">
        <v>140</v>
      </c>
      <c r="F6" s="260"/>
      <c r="G6" s="319"/>
      <c r="H6" s="320">
        <v>4400.0</v>
      </c>
      <c r="I6" s="314"/>
      <c r="J6" s="315"/>
      <c r="K6" s="316" t="s">
        <v>17</v>
      </c>
      <c r="L6" s="179">
        <v>14.59</v>
      </c>
      <c r="M6" s="179" t="s">
        <v>389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67" t="s">
        <v>28</v>
      </c>
      <c r="B7" s="297"/>
      <c r="C7" s="274"/>
      <c r="D7" s="275"/>
      <c r="E7" s="276"/>
      <c r="F7" s="259"/>
      <c r="G7" s="320"/>
      <c r="H7" s="260"/>
      <c r="I7" s="314"/>
      <c r="J7" s="318"/>
      <c r="K7" s="316"/>
      <c r="L7" s="179"/>
      <c r="M7" s="179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67" t="s">
        <v>30</v>
      </c>
      <c r="B8" s="297"/>
      <c r="C8" s="274"/>
      <c r="D8" s="275"/>
      <c r="E8" s="276"/>
      <c r="F8" s="260"/>
      <c r="G8" s="259"/>
      <c r="H8" s="320"/>
      <c r="I8" s="314"/>
      <c r="J8" s="315"/>
      <c r="K8" s="316"/>
      <c r="L8" s="179"/>
      <c r="M8" s="179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67" t="s">
        <v>87</v>
      </c>
      <c r="B9" s="297"/>
      <c r="C9" s="274"/>
      <c r="D9" s="275"/>
      <c r="E9" s="276"/>
      <c r="F9" s="260"/>
      <c r="G9" s="319"/>
      <c r="H9" s="260"/>
      <c r="I9" s="314"/>
      <c r="J9" s="315"/>
      <c r="K9" s="316"/>
      <c r="L9" s="179"/>
      <c r="M9" s="179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230" t="s">
        <v>148</v>
      </c>
      <c r="B10" s="297"/>
      <c r="C10" s="274"/>
      <c r="D10" s="275"/>
      <c r="E10" s="276"/>
      <c r="F10" s="260"/>
      <c r="G10" s="259"/>
      <c r="H10" s="260"/>
      <c r="I10" s="292"/>
      <c r="J10" s="293"/>
      <c r="K10" s="266"/>
      <c r="L10" s="186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230" t="s">
        <v>152</v>
      </c>
      <c r="B11" s="297"/>
      <c r="C11" s="274"/>
      <c r="D11" s="275"/>
      <c r="E11" s="276"/>
      <c r="F11" s="260"/>
      <c r="G11" s="259"/>
      <c r="H11" s="260"/>
      <c r="I11" s="292"/>
      <c r="J11" s="293"/>
      <c r="K11" s="266"/>
      <c r="L11" s="186"/>
      <c r="M11" s="18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230" t="s">
        <v>156</v>
      </c>
      <c r="B12" s="297"/>
      <c r="C12" s="274"/>
      <c r="D12" s="275"/>
      <c r="E12" s="276"/>
      <c r="F12" s="260"/>
      <c r="G12" s="260"/>
      <c r="H12" s="259"/>
      <c r="I12" s="292"/>
      <c r="J12" s="296"/>
      <c r="K12" s="266"/>
      <c r="L12" s="186"/>
      <c r="M12" s="18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167"/>
      <c r="B13" s="168"/>
      <c r="C13" s="169"/>
      <c r="D13" s="170"/>
      <c r="E13" s="282"/>
      <c r="F13" s="283"/>
      <c r="G13" s="284"/>
      <c r="H13" s="285"/>
      <c r="I13" s="286"/>
      <c r="J13" s="287"/>
      <c r="K13" s="288"/>
      <c r="L13" s="178"/>
      <c r="M13" s="18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131"/>
      <c r="B14" s="46"/>
      <c r="C14" s="46"/>
      <c r="D14" s="46"/>
      <c r="E14" s="47"/>
      <c r="F14" s="289">
        <f t="shared" ref="F14:H14" si="1">SUM(F4:F13)</f>
        <v>0</v>
      </c>
      <c r="G14" s="289">
        <f t="shared" si="1"/>
        <v>20000</v>
      </c>
      <c r="H14" s="289">
        <f t="shared" si="1"/>
        <v>7640</v>
      </c>
      <c r="I14" s="289"/>
      <c r="J14" s="289"/>
      <c r="K14" s="135"/>
      <c r="L14" s="135"/>
      <c r="M14" s="136"/>
    </row>
    <row r="15" ht="48.0" customHeight="1">
      <c r="F15" s="183">
        <f>F14+G14+H14+I14+J14</f>
        <v>27640</v>
      </c>
      <c r="G15" s="46"/>
      <c r="H15" s="46"/>
      <c r="I15" s="46"/>
      <c r="J15" s="4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393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167" t="s">
        <v>35</v>
      </c>
      <c r="B4" s="321" t="s">
        <v>394</v>
      </c>
      <c r="C4" s="274" t="s">
        <v>395</v>
      </c>
      <c r="D4" s="275">
        <v>50595.0</v>
      </c>
      <c r="E4" s="276" t="s">
        <v>27</v>
      </c>
      <c r="F4" s="259"/>
      <c r="G4" s="313">
        <v>15000.0</v>
      </c>
      <c r="H4" s="320"/>
      <c r="I4" s="314"/>
      <c r="J4" s="315"/>
      <c r="K4" s="316" t="s">
        <v>17</v>
      </c>
      <c r="L4" s="179" t="s">
        <v>396</v>
      </c>
      <c r="M4" s="179" t="s">
        <v>397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167" t="s">
        <v>19</v>
      </c>
      <c r="B5" s="321" t="s">
        <v>394</v>
      </c>
      <c r="C5" s="274" t="s">
        <v>398</v>
      </c>
      <c r="D5" s="275">
        <v>47787.0</v>
      </c>
      <c r="E5" s="276" t="s">
        <v>210</v>
      </c>
      <c r="F5" s="259"/>
      <c r="G5" s="320">
        <v>5000.0</v>
      </c>
      <c r="H5" s="320"/>
      <c r="I5" s="317"/>
      <c r="J5" s="318"/>
      <c r="K5" s="316" t="s">
        <v>42</v>
      </c>
      <c r="L5" s="179" t="s">
        <v>399</v>
      </c>
      <c r="M5" s="179" t="s">
        <v>290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67" t="s">
        <v>23</v>
      </c>
      <c r="B6" s="321" t="s">
        <v>394</v>
      </c>
      <c r="C6" s="274" t="s">
        <v>400</v>
      </c>
      <c r="D6" s="275">
        <v>10006.0</v>
      </c>
      <c r="E6" s="276" t="s">
        <v>55</v>
      </c>
      <c r="F6" s="260"/>
      <c r="G6" s="319">
        <v>450.0</v>
      </c>
      <c r="H6" s="320"/>
      <c r="I6" s="314"/>
      <c r="J6" s="315"/>
      <c r="K6" s="316" t="s">
        <v>17</v>
      </c>
      <c r="L6" s="179" t="s">
        <v>401</v>
      </c>
      <c r="M6" s="179" t="s">
        <v>95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67" t="s">
        <v>28</v>
      </c>
      <c r="B7" s="321" t="s">
        <v>394</v>
      </c>
      <c r="C7" s="274" t="s">
        <v>402</v>
      </c>
      <c r="D7" s="275">
        <v>51017.0</v>
      </c>
      <c r="E7" s="276" t="s">
        <v>25</v>
      </c>
      <c r="F7" s="259"/>
      <c r="G7" s="320">
        <v>10000.0</v>
      </c>
      <c r="H7" s="260"/>
      <c r="I7" s="314"/>
      <c r="J7" s="318"/>
      <c r="K7" s="316" t="s">
        <v>17</v>
      </c>
      <c r="L7" s="179" t="s">
        <v>403</v>
      </c>
      <c r="M7" s="179" t="s">
        <v>397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67"/>
      <c r="B8" s="297"/>
      <c r="C8" s="274"/>
      <c r="D8" s="275"/>
      <c r="E8" s="276"/>
      <c r="F8" s="260"/>
      <c r="G8" s="259"/>
      <c r="H8" s="320"/>
      <c r="I8" s="314"/>
      <c r="J8" s="315"/>
      <c r="K8" s="316"/>
      <c r="L8" s="179"/>
      <c r="M8" s="179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230"/>
      <c r="B9" s="297"/>
      <c r="C9" s="274"/>
      <c r="D9" s="275"/>
      <c r="E9" s="276"/>
      <c r="F9" s="260"/>
      <c r="G9" s="260"/>
      <c r="H9" s="259"/>
      <c r="I9" s="292"/>
      <c r="J9" s="296"/>
      <c r="K9" s="266"/>
      <c r="L9" s="186"/>
      <c r="M9" s="18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67"/>
      <c r="B10" s="168"/>
      <c r="C10" s="169"/>
      <c r="D10" s="170"/>
      <c r="E10" s="282"/>
      <c r="F10" s="283"/>
      <c r="G10" s="284"/>
      <c r="H10" s="285"/>
      <c r="I10" s="286"/>
      <c r="J10" s="287"/>
      <c r="K10" s="288"/>
      <c r="L10" s="178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0</v>
      </c>
      <c r="G11" s="289">
        <f t="shared" si="1"/>
        <v>30450</v>
      </c>
      <c r="H11" s="289">
        <f t="shared" si="1"/>
        <v>0</v>
      </c>
      <c r="I11" s="289"/>
      <c r="J11" s="289"/>
      <c r="K11" s="135"/>
      <c r="L11" s="135"/>
      <c r="M11" s="136"/>
    </row>
    <row r="12" ht="48.0" customHeight="1">
      <c r="F12" s="183">
        <f>F11+G11+H11+I11+J11</f>
        <v>30450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72.8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404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22" t="s">
        <v>35</v>
      </c>
      <c r="B4" s="244">
        <v>45822.0</v>
      </c>
      <c r="C4" s="249" t="s">
        <v>405</v>
      </c>
      <c r="D4" s="250">
        <v>12102.0</v>
      </c>
      <c r="E4" s="251" t="s">
        <v>406</v>
      </c>
      <c r="F4" s="259"/>
      <c r="G4" s="313">
        <v>7700.0</v>
      </c>
      <c r="H4" s="320"/>
      <c r="I4" s="314"/>
      <c r="J4" s="315"/>
      <c r="K4" s="316" t="s">
        <v>17</v>
      </c>
      <c r="L4" s="179" t="s">
        <v>407</v>
      </c>
      <c r="M4" s="179" t="s">
        <v>183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19</v>
      </c>
      <c r="B5" s="244">
        <v>45823.0</v>
      </c>
      <c r="C5" s="249" t="s">
        <v>408</v>
      </c>
      <c r="D5" s="250">
        <v>37642.0</v>
      </c>
      <c r="E5" s="251" t="s">
        <v>409</v>
      </c>
      <c r="F5" s="259"/>
      <c r="G5" s="320">
        <v>6250.0</v>
      </c>
      <c r="H5" s="320"/>
      <c r="I5" s="317"/>
      <c r="J5" s="318"/>
      <c r="K5" s="316" t="s">
        <v>17</v>
      </c>
      <c r="L5" s="179" t="s">
        <v>410</v>
      </c>
      <c r="M5" s="179" t="s">
        <v>183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244">
        <v>45823.0</v>
      </c>
      <c r="C6" s="249" t="s">
        <v>411</v>
      </c>
      <c r="D6" s="250">
        <v>42046.0</v>
      </c>
      <c r="E6" s="251" t="s">
        <v>375</v>
      </c>
      <c r="F6" s="260"/>
      <c r="G6" s="319">
        <v>3500.0</v>
      </c>
      <c r="H6" s="320"/>
      <c r="I6" s="314"/>
      <c r="J6" s="315"/>
      <c r="K6" s="316" t="s">
        <v>17</v>
      </c>
      <c r="L6" s="179" t="s">
        <v>412</v>
      </c>
      <c r="M6" s="179" t="s">
        <v>183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 t="s">
        <v>28</v>
      </c>
      <c r="B7" s="244">
        <v>45823.0</v>
      </c>
      <c r="C7" s="249" t="s">
        <v>413</v>
      </c>
      <c r="D7" s="250">
        <v>89255.0</v>
      </c>
      <c r="E7" s="251" t="s">
        <v>414</v>
      </c>
      <c r="F7" s="319">
        <v>300.0</v>
      </c>
      <c r="G7" s="320"/>
      <c r="H7" s="260"/>
      <c r="I7" s="314"/>
      <c r="J7" s="318"/>
      <c r="K7" s="316" t="s">
        <v>17</v>
      </c>
      <c r="L7" s="179" t="s">
        <v>415</v>
      </c>
      <c r="M7" s="179" t="s">
        <v>183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22" t="s">
        <v>30</v>
      </c>
      <c r="B8" s="244">
        <v>45823.0</v>
      </c>
      <c r="C8" s="249" t="s">
        <v>416</v>
      </c>
      <c r="D8" s="250">
        <v>76101.0</v>
      </c>
      <c r="E8" s="251" t="s">
        <v>417</v>
      </c>
      <c r="F8" s="260"/>
      <c r="G8" s="259"/>
      <c r="H8" s="320"/>
      <c r="I8" s="314"/>
      <c r="J8" s="318">
        <v>37.0</v>
      </c>
      <c r="K8" s="316" t="s">
        <v>17</v>
      </c>
      <c r="L8" s="179" t="s">
        <v>418</v>
      </c>
      <c r="M8" s="179" t="s">
        <v>183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22" t="s">
        <v>87</v>
      </c>
      <c r="B9" s="244">
        <v>45823.0</v>
      </c>
      <c r="C9" s="249" t="s">
        <v>419</v>
      </c>
      <c r="D9" s="250">
        <v>36928.0</v>
      </c>
      <c r="E9" s="251" t="s">
        <v>420</v>
      </c>
      <c r="F9" s="260"/>
      <c r="G9" s="260"/>
      <c r="H9" s="259"/>
      <c r="I9" s="292"/>
      <c r="J9" s="296">
        <v>37.0</v>
      </c>
      <c r="K9" s="266" t="s">
        <v>17</v>
      </c>
      <c r="L9" s="186" t="s">
        <v>421</v>
      </c>
      <c r="M9" s="186" t="s">
        <v>183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167"/>
      <c r="B10" s="168"/>
      <c r="C10" s="169"/>
      <c r="D10" s="170"/>
      <c r="E10" s="282"/>
      <c r="F10" s="283"/>
      <c r="G10" s="284"/>
      <c r="H10" s="285"/>
      <c r="I10" s="286"/>
      <c r="J10" s="287"/>
      <c r="K10" s="288"/>
      <c r="L10" s="178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300</v>
      </c>
      <c r="G11" s="289">
        <f t="shared" si="1"/>
        <v>17450</v>
      </c>
      <c r="H11" s="289">
        <f t="shared" si="1"/>
        <v>0</v>
      </c>
      <c r="I11" s="289"/>
      <c r="J11" s="289"/>
      <c r="K11" s="135"/>
      <c r="L11" s="135"/>
      <c r="M11" s="136"/>
    </row>
    <row r="12" ht="48.0" customHeight="1">
      <c r="F12" s="183">
        <f>F11+G11+H11+I11+J11</f>
        <v>17750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23" t="s">
        <v>35</v>
      </c>
      <c r="B4" s="324" t="s">
        <v>423</v>
      </c>
      <c r="C4" s="325" t="s">
        <v>424</v>
      </c>
      <c r="D4" s="326">
        <v>33507.0</v>
      </c>
      <c r="E4" s="327" t="s">
        <v>272</v>
      </c>
      <c r="F4" s="328"/>
      <c r="G4" s="329"/>
      <c r="H4" s="330">
        <v>300.0</v>
      </c>
      <c r="I4" s="331"/>
      <c r="J4" s="332"/>
      <c r="K4" s="333" t="s">
        <v>17</v>
      </c>
      <c r="L4" s="165" t="s">
        <v>425</v>
      </c>
      <c r="M4" s="165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3" t="s">
        <v>19</v>
      </c>
      <c r="B5" s="324" t="s">
        <v>423</v>
      </c>
      <c r="C5" s="325" t="s">
        <v>426</v>
      </c>
      <c r="D5" s="326">
        <v>40436.0</v>
      </c>
      <c r="E5" s="327" t="s">
        <v>427</v>
      </c>
      <c r="F5" s="328"/>
      <c r="G5" s="330"/>
      <c r="H5" s="330"/>
      <c r="I5" s="334"/>
      <c r="J5" s="335">
        <v>93.0</v>
      </c>
      <c r="K5" s="333" t="s">
        <v>428</v>
      </c>
      <c r="L5" s="165" t="s">
        <v>429</v>
      </c>
      <c r="M5" s="165" t="s">
        <v>95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3" t="s">
        <v>23</v>
      </c>
      <c r="B6" s="324" t="s">
        <v>423</v>
      </c>
      <c r="C6" s="325" t="s">
        <v>430</v>
      </c>
      <c r="D6" s="326">
        <v>67909.0</v>
      </c>
      <c r="E6" s="327" t="s">
        <v>431</v>
      </c>
      <c r="F6" s="328"/>
      <c r="G6" s="330"/>
      <c r="H6" s="330"/>
      <c r="I6" s="334"/>
      <c r="J6" s="335">
        <v>70.0</v>
      </c>
      <c r="K6" s="333" t="s">
        <v>432</v>
      </c>
      <c r="L6" s="165" t="s">
        <v>433</v>
      </c>
      <c r="M6" s="165" t="s">
        <v>95</v>
      </c>
      <c r="N6" s="166"/>
      <c r="O6" s="166"/>
      <c r="P6" s="166"/>
      <c r="Q6" s="166"/>
      <c r="R6" s="33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3" t="s">
        <v>28</v>
      </c>
      <c r="B7" s="321" t="s">
        <v>434</v>
      </c>
      <c r="C7" s="274" t="s">
        <v>435</v>
      </c>
      <c r="D7" s="275">
        <v>51017.0</v>
      </c>
      <c r="E7" s="276" t="s">
        <v>25</v>
      </c>
      <c r="F7" s="259"/>
      <c r="G7" s="337">
        <v>5000.0</v>
      </c>
      <c r="H7" s="337"/>
      <c r="I7" s="317"/>
      <c r="J7" s="318"/>
      <c r="K7" s="316" t="s">
        <v>17</v>
      </c>
      <c r="L7" s="179" t="s">
        <v>436</v>
      </c>
      <c r="M7" s="179" t="s">
        <v>98</v>
      </c>
      <c r="N7" s="166"/>
      <c r="O7" s="166"/>
      <c r="P7" s="166"/>
      <c r="Q7" s="166"/>
      <c r="R7" s="33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23" t="s">
        <v>30</v>
      </c>
      <c r="B8" s="321" t="s">
        <v>434</v>
      </c>
      <c r="C8" s="274" t="s">
        <v>437</v>
      </c>
      <c r="D8" s="275">
        <v>79584.0</v>
      </c>
      <c r="E8" s="276" t="s">
        <v>438</v>
      </c>
      <c r="F8" s="337">
        <v>2600.0</v>
      </c>
      <c r="G8" s="319"/>
      <c r="H8" s="337"/>
      <c r="I8" s="314"/>
      <c r="J8" s="315"/>
      <c r="K8" s="316" t="s">
        <v>17</v>
      </c>
      <c r="L8" s="179" t="s">
        <v>439</v>
      </c>
      <c r="M8" s="179" t="s">
        <v>141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23" t="s">
        <v>87</v>
      </c>
      <c r="B9" s="321" t="s">
        <v>434</v>
      </c>
      <c r="C9" s="274" t="s">
        <v>440</v>
      </c>
      <c r="D9" s="275">
        <v>43380.0</v>
      </c>
      <c r="E9" s="276" t="s">
        <v>57</v>
      </c>
      <c r="F9" s="319"/>
      <c r="G9" s="337">
        <v>25300.0</v>
      </c>
      <c r="H9" s="338"/>
      <c r="I9" s="314"/>
      <c r="J9" s="318"/>
      <c r="K9" s="316" t="s">
        <v>17</v>
      </c>
      <c r="L9" s="179" t="s">
        <v>441</v>
      </c>
      <c r="M9" s="179" t="s">
        <v>141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23" t="s">
        <v>148</v>
      </c>
      <c r="B10" s="321" t="s">
        <v>434</v>
      </c>
      <c r="C10" s="274" t="s">
        <v>442</v>
      </c>
      <c r="D10" s="275">
        <v>50342.0</v>
      </c>
      <c r="E10" s="276" t="s">
        <v>89</v>
      </c>
      <c r="F10" s="338"/>
      <c r="G10" s="319">
        <v>2500.0</v>
      </c>
      <c r="H10" s="337"/>
      <c r="I10" s="314"/>
      <c r="J10" s="318"/>
      <c r="K10" s="266" t="s">
        <v>42</v>
      </c>
      <c r="L10" s="179" t="s">
        <v>443</v>
      </c>
      <c r="M10" s="179" t="s">
        <v>290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323" t="s">
        <v>152</v>
      </c>
      <c r="B11" s="321" t="s">
        <v>434</v>
      </c>
      <c r="C11" s="274" t="s">
        <v>444</v>
      </c>
      <c r="D11" s="275">
        <v>52669.0</v>
      </c>
      <c r="E11" s="276" t="s">
        <v>21</v>
      </c>
      <c r="F11" s="338"/>
      <c r="G11" s="337">
        <v>25200.0</v>
      </c>
      <c r="H11" s="259"/>
      <c r="I11" s="292"/>
      <c r="J11" s="296"/>
      <c r="K11" s="316" t="s">
        <v>17</v>
      </c>
      <c r="L11" s="179" t="s">
        <v>445</v>
      </c>
      <c r="M11" s="186" t="s">
        <v>208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322"/>
      <c r="B12" s="244"/>
      <c r="C12" s="249"/>
      <c r="D12" s="250"/>
      <c r="E12" s="251"/>
      <c r="F12" s="260"/>
      <c r="G12" s="260"/>
      <c r="H12" s="259"/>
      <c r="I12" s="292"/>
      <c r="J12" s="296"/>
      <c r="K12" s="266"/>
      <c r="L12" s="186"/>
      <c r="M12" s="18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322"/>
      <c r="B13" s="244"/>
      <c r="C13" s="249"/>
      <c r="D13" s="250"/>
      <c r="E13" s="251"/>
      <c r="F13" s="260"/>
      <c r="G13" s="260"/>
      <c r="H13" s="259"/>
      <c r="I13" s="292"/>
      <c r="J13" s="296"/>
      <c r="K13" s="266"/>
      <c r="L13" s="186"/>
      <c r="M13" s="186"/>
      <c r="N13" s="166"/>
      <c r="O13" s="166"/>
      <c r="P13" s="166"/>
      <c r="Q13" s="166"/>
      <c r="R13" s="166"/>
      <c r="S13" s="339"/>
      <c r="T13" s="166"/>
      <c r="U13" s="166"/>
      <c r="V13" s="166"/>
      <c r="W13" s="166"/>
      <c r="X13" s="166"/>
      <c r="Y13" s="166"/>
      <c r="Z13" s="166"/>
    </row>
    <row r="14" ht="49.5" customHeight="1">
      <c r="A14" s="167"/>
      <c r="B14" s="168"/>
      <c r="C14" s="169"/>
      <c r="D14" s="170"/>
      <c r="E14" s="282"/>
      <c r="F14" s="283"/>
      <c r="G14" s="284"/>
      <c r="H14" s="285"/>
      <c r="I14" s="286"/>
      <c r="J14" s="287"/>
      <c r="K14" s="288"/>
      <c r="L14" s="178"/>
      <c r="M14" s="18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49.5" customHeight="1">
      <c r="A15" s="131"/>
      <c r="B15" s="46"/>
      <c r="C15" s="46"/>
      <c r="D15" s="46"/>
      <c r="E15" s="47"/>
      <c r="F15" s="289">
        <f t="shared" ref="F15:H15" si="1">SUM(F4:F14)</f>
        <v>2600</v>
      </c>
      <c r="G15" s="289">
        <f t="shared" si="1"/>
        <v>58000</v>
      </c>
      <c r="H15" s="289">
        <f t="shared" si="1"/>
        <v>300</v>
      </c>
      <c r="I15" s="289"/>
      <c r="J15" s="289"/>
      <c r="K15" s="135"/>
      <c r="L15" s="135"/>
      <c r="M15" s="136"/>
    </row>
    <row r="16" ht="48.0" customHeight="1">
      <c r="F16" s="183">
        <f>F15+G15+H15+I15+J15</f>
        <v>60900</v>
      </c>
      <c r="G16" s="46"/>
      <c r="H16" s="46"/>
      <c r="I16" s="46"/>
      <c r="J16" s="4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5:E15"/>
    <mergeCell ref="F16:J16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446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295">
        <v>45825.0</v>
      </c>
      <c r="C4" s="249" t="s">
        <v>447</v>
      </c>
      <c r="D4" s="250">
        <v>47787.0</v>
      </c>
      <c r="E4" s="251" t="s">
        <v>210</v>
      </c>
      <c r="F4" s="341"/>
      <c r="G4" s="252">
        <v>5000.0</v>
      </c>
      <c r="H4" s="342"/>
      <c r="I4" s="292"/>
      <c r="J4" s="293"/>
      <c r="K4" s="267" t="s">
        <v>42</v>
      </c>
      <c r="L4" s="186" t="s">
        <v>448</v>
      </c>
      <c r="M4" s="186" t="s">
        <v>290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40" t="s">
        <v>19</v>
      </c>
      <c r="B5" s="295">
        <v>45825.0</v>
      </c>
      <c r="C5" s="249" t="s">
        <v>449</v>
      </c>
      <c r="D5" s="250">
        <v>51017.0</v>
      </c>
      <c r="E5" s="251" t="s">
        <v>25</v>
      </c>
      <c r="F5" s="341"/>
      <c r="G5" s="252">
        <v>10000.0</v>
      </c>
      <c r="H5" s="342"/>
      <c r="I5" s="294"/>
      <c r="J5" s="296"/>
      <c r="K5" s="266" t="s">
        <v>428</v>
      </c>
      <c r="L5" s="186" t="s">
        <v>450</v>
      </c>
      <c r="M5" s="186" t="s">
        <v>98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/>
      <c r="B6" s="244"/>
      <c r="C6" s="249"/>
      <c r="D6" s="250"/>
      <c r="E6" s="251"/>
      <c r="F6" s="260"/>
      <c r="G6" s="260"/>
      <c r="H6" s="259"/>
      <c r="I6" s="292"/>
      <c r="J6" s="296"/>
      <c r="K6" s="266"/>
      <c r="L6" s="186"/>
      <c r="M6" s="18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/>
      <c r="B7" s="244"/>
      <c r="C7" s="249"/>
      <c r="D7" s="250"/>
      <c r="E7" s="251"/>
      <c r="F7" s="260"/>
      <c r="G7" s="260"/>
      <c r="H7" s="259"/>
      <c r="I7" s="292"/>
      <c r="J7" s="296"/>
      <c r="K7" s="266"/>
      <c r="L7" s="186"/>
      <c r="M7" s="186"/>
      <c r="N7" s="166"/>
      <c r="O7" s="166"/>
      <c r="P7" s="166"/>
      <c r="Q7" s="166"/>
      <c r="R7" s="166"/>
      <c r="S7" s="339"/>
      <c r="T7" s="166"/>
      <c r="U7" s="166"/>
      <c r="V7" s="166"/>
      <c r="W7" s="166"/>
      <c r="X7" s="166"/>
      <c r="Y7" s="166"/>
      <c r="Z7" s="166"/>
    </row>
    <row r="8" ht="49.5" customHeight="1">
      <c r="A8" s="167"/>
      <c r="B8" s="168"/>
      <c r="C8" s="169"/>
      <c r="D8" s="170"/>
      <c r="E8" s="282"/>
      <c r="F8" s="283"/>
      <c r="G8" s="284"/>
      <c r="H8" s="285"/>
      <c r="I8" s="286"/>
      <c r="J8" s="287"/>
      <c r="K8" s="288"/>
      <c r="L8" s="178"/>
      <c r="M8" s="18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31"/>
      <c r="B9" s="46"/>
      <c r="C9" s="46"/>
      <c r="D9" s="46"/>
      <c r="E9" s="47"/>
      <c r="F9" s="289">
        <f t="shared" ref="F9:H9" si="1">SUM(F4:F8)</f>
        <v>0</v>
      </c>
      <c r="G9" s="289">
        <f t="shared" si="1"/>
        <v>15000</v>
      </c>
      <c r="H9" s="289">
        <f t="shared" si="1"/>
        <v>0</v>
      </c>
      <c r="I9" s="289"/>
      <c r="J9" s="289"/>
      <c r="K9" s="135"/>
      <c r="L9" s="135"/>
      <c r="M9" s="136"/>
    </row>
    <row r="10" ht="48.0" customHeight="1">
      <c r="F10" s="183">
        <f>F9+G9+H9+I9+J9</f>
        <v>15000</v>
      </c>
      <c r="G10" s="46"/>
      <c r="H10" s="46"/>
      <c r="I10" s="46"/>
      <c r="J10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6.38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343">
        <v>45826.0</v>
      </c>
      <c r="C4" s="274" t="s">
        <v>452</v>
      </c>
      <c r="D4" s="275">
        <v>47787.0</v>
      </c>
      <c r="E4" s="276" t="s">
        <v>210</v>
      </c>
      <c r="F4" s="341"/>
      <c r="G4" s="344">
        <v>5000.0</v>
      </c>
      <c r="H4" s="342"/>
      <c r="I4" s="292"/>
      <c r="J4" s="293"/>
      <c r="K4" s="267" t="s">
        <v>42</v>
      </c>
      <c r="L4" s="186" t="s">
        <v>453</v>
      </c>
      <c r="M4" s="186" t="s">
        <v>290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40" t="s">
        <v>19</v>
      </c>
      <c r="B5" s="343">
        <v>45826.0</v>
      </c>
      <c r="C5" s="274" t="s">
        <v>454</v>
      </c>
      <c r="D5" s="275">
        <v>10006.0</v>
      </c>
      <c r="E5" s="276" t="s">
        <v>55</v>
      </c>
      <c r="F5" s="341"/>
      <c r="G5" s="344">
        <v>1500.0</v>
      </c>
      <c r="H5" s="342"/>
      <c r="I5" s="294"/>
      <c r="J5" s="296"/>
      <c r="K5" s="267" t="s">
        <v>455</v>
      </c>
      <c r="L5" s="186" t="s">
        <v>456</v>
      </c>
      <c r="M5" s="186" t="s">
        <v>98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297">
        <v>45826.0</v>
      </c>
      <c r="C6" s="274" t="s">
        <v>457</v>
      </c>
      <c r="D6" s="275">
        <v>51406.0</v>
      </c>
      <c r="E6" s="276" t="s">
        <v>458</v>
      </c>
      <c r="F6" s="260"/>
      <c r="G6" s="320">
        <v>2500.0</v>
      </c>
      <c r="H6" s="259"/>
      <c r="I6" s="292"/>
      <c r="J6" s="296"/>
      <c r="K6" s="267" t="s">
        <v>455</v>
      </c>
      <c r="L6" s="186" t="s">
        <v>459</v>
      </c>
      <c r="M6" s="186" t="s">
        <v>33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40" t="s">
        <v>28</v>
      </c>
      <c r="B7" s="297">
        <v>45826.0</v>
      </c>
      <c r="C7" s="274" t="s">
        <v>460</v>
      </c>
      <c r="D7" s="275">
        <v>10006.0</v>
      </c>
      <c r="E7" s="276" t="s">
        <v>55</v>
      </c>
      <c r="F7" s="260"/>
      <c r="G7" s="320">
        <v>2600.0</v>
      </c>
      <c r="H7" s="259"/>
      <c r="I7" s="292"/>
      <c r="J7" s="296"/>
      <c r="K7" s="267" t="s">
        <v>455</v>
      </c>
      <c r="L7" s="186" t="s">
        <v>456</v>
      </c>
      <c r="M7" s="186" t="s">
        <v>33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 t="s">
        <v>30</v>
      </c>
      <c r="B8" s="297">
        <v>45826.0</v>
      </c>
      <c r="C8" s="274" t="s">
        <v>461</v>
      </c>
      <c r="D8" s="275">
        <v>51017.0</v>
      </c>
      <c r="E8" s="276" t="s">
        <v>25</v>
      </c>
      <c r="F8" s="260"/>
      <c r="G8" s="320">
        <v>16000.0</v>
      </c>
      <c r="H8" s="259"/>
      <c r="I8" s="292"/>
      <c r="J8" s="296"/>
      <c r="K8" s="267" t="s">
        <v>455</v>
      </c>
      <c r="L8" s="186" t="s">
        <v>462</v>
      </c>
      <c r="M8" s="186" t="s">
        <v>98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22" t="s">
        <v>87</v>
      </c>
      <c r="B9" s="297">
        <v>45827.0</v>
      </c>
      <c r="C9" s="274" t="s">
        <v>463</v>
      </c>
      <c r="D9" s="275">
        <v>71914.0</v>
      </c>
      <c r="E9" s="276" t="s">
        <v>464</v>
      </c>
      <c r="F9" s="320">
        <v>32500.0</v>
      </c>
      <c r="G9" s="320"/>
      <c r="H9" s="259"/>
      <c r="I9" s="292"/>
      <c r="J9" s="296"/>
      <c r="K9" s="267" t="s">
        <v>455</v>
      </c>
      <c r="L9" s="186" t="s">
        <v>465</v>
      </c>
      <c r="M9" s="186" t="s">
        <v>33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40"/>
      <c r="B10" s="244"/>
      <c r="C10" s="249"/>
      <c r="D10" s="250"/>
      <c r="E10" s="251"/>
      <c r="F10" s="260"/>
      <c r="G10" s="260"/>
      <c r="H10" s="259"/>
      <c r="I10" s="292"/>
      <c r="J10" s="296"/>
      <c r="K10" s="266"/>
      <c r="L10" s="186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32500</v>
      </c>
      <c r="G11" s="289">
        <f t="shared" si="1"/>
        <v>27600</v>
      </c>
      <c r="H11" s="289">
        <f t="shared" si="1"/>
        <v>0</v>
      </c>
      <c r="I11" s="289"/>
      <c r="J11" s="289"/>
      <c r="K11" s="135"/>
      <c r="L11" s="135"/>
      <c r="M11" s="136"/>
    </row>
    <row r="12" ht="48.0" customHeight="1">
      <c r="F12" s="183">
        <f>F11+G11+H11+I11+J11</f>
        <v>60100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0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5" t="s">
        <v>35</v>
      </c>
      <c r="B4" s="346">
        <v>45826.0</v>
      </c>
      <c r="C4" s="347" t="s">
        <v>467</v>
      </c>
      <c r="D4" s="348">
        <v>47787.0</v>
      </c>
      <c r="E4" s="349" t="s">
        <v>210</v>
      </c>
      <c r="F4" s="350"/>
      <c r="G4" s="351"/>
      <c r="H4" s="352">
        <v>5200.0</v>
      </c>
      <c r="I4" s="353"/>
      <c r="J4" s="354"/>
      <c r="K4" s="355" t="s">
        <v>42</v>
      </c>
      <c r="L4" s="197" t="s">
        <v>468</v>
      </c>
      <c r="M4" s="355" t="s">
        <v>290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45" t="s">
        <v>19</v>
      </c>
      <c r="B5" s="346">
        <v>45826.0</v>
      </c>
      <c r="C5" s="347" t="s">
        <v>469</v>
      </c>
      <c r="D5" s="348">
        <v>89363.0</v>
      </c>
      <c r="E5" s="349" t="s">
        <v>470</v>
      </c>
      <c r="F5" s="350"/>
      <c r="G5" s="351">
        <v>7000.0</v>
      </c>
      <c r="H5" s="352"/>
      <c r="I5" s="356"/>
      <c r="J5" s="357"/>
      <c r="K5" s="355" t="s">
        <v>455</v>
      </c>
      <c r="L5" s="197" t="s">
        <v>471</v>
      </c>
      <c r="M5" s="355" t="s">
        <v>33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297">
        <v>45827.0</v>
      </c>
      <c r="C6" s="274" t="s">
        <v>472</v>
      </c>
      <c r="D6" s="275">
        <v>52669.0</v>
      </c>
      <c r="E6" s="276" t="s">
        <v>21</v>
      </c>
      <c r="F6" s="260"/>
      <c r="G6" s="320">
        <v>26250.0</v>
      </c>
      <c r="H6" s="259"/>
      <c r="I6" s="292"/>
      <c r="J6" s="296"/>
      <c r="K6" s="267" t="s">
        <v>455</v>
      </c>
      <c r="L6" s="186" t="s">
        <v>473</v>
      </c>
      <c r="M6" s="267" t="s">
        <v>33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40" t="s">
        <v>28</v>
      </c>
      <c r="B7" s="297">
        <v>45827.0</v>
      </c>
      <c r="C7" s="274" t="s">
        <v>474</v>
      </c>
      <c r="D7" s="275">
        <v>51782.0</v>
      </c>
      <c r="E7" s="276" t="s">
        <v>235</v>
      </c>
      <c r="F7" s="260"/>
      <c r="G7" s="320">
        <v>2500.0</v>
      </c>
      <c r="H7" s="259"/>
      <c r="I7" s="292"/>
      <c r="J7" s="296"/>
      <c r="K7" s="358" t="s">
        <v>42</v>
      </c>
      <c r="L7" s="186" t="s">
        <v>475</v>
      </c>
      <c r="M7" s="267" t="s">
        <v>290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 t="s">
        <v>30</v>
      </c>
      <c r="B8" s="297"/>
      <c r="C8" s="274"/>
      <c r="D8" s="275"/>
      <c r="E8" s="276"/>
      <c r="F8" s="260"/>
      <c r="G8" s="320"/>
      <c r="H8" s="259"/>
      <c r="I8" s="292"/>
      <c r="J8" s="296"/>
      <c r="K8" s="267"/>
      <c r="L8" s="186"/>
      <c r="M8" s="18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22" t="s">
        <v>87</v>
      </c>
      <c r="B9" s="244"/>
      <c r="C9" s="249"/>
      <c r="D9" s="250"/>
      <c r="E9" s="251"/>
      <c r="F9" s="260"/>
      <c r="G9" s="260"/>
      <c r="H9" s="259"/>
      <c r="I9" s="292"/>
      <c r="J9" s="296"/>
      <c r="K9" s="266"/>
      <c r="L9" s="186"/>
      <c r="M9" s="18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40" t="s">
        <v>148</v>
      </c>
      <c r="B10" s="244"/>
      <c r="C10" s="249"/>
      <c r="D10" s="250"/>
      <c r="E10" s="251"/>
      <c r="F10" s="260"/>
      <c r="G10" s="260"/>
      <c r="H10" s="259"/>
      <c r="I10" s="292"/>
      <c r="J10" s="296"/>
      <c r="K10" s="266"/>
      <c r="L10" s="186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0</v>
      </c>
      <c r="G11" s="289">
        <f t="shared" si="1"/>
        <v>35750</v>
      </c>
      <c r="H11" s="289">
        <f t="shared" si="1"/>
        <v>5200</v>
      </c>
      <c r="I11" s="289"/>
      <c r="J11" s="289"/>
      <c r="K11" s="135"/>
      <c r="L11" s="135"/>
      <c r="M11" s="136"/>
    </row>
    <row r="12" ht="48.0" customHeight="1">
      <c r="F12" s="183">
        <f>F11+G11+H11+I11+J11</f>
        <v>40950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5" t="s">
        <v>35</v>
      </c>
      <c r="B4" s="346">
        <v>45827.0</v>
      </c>
      <c r="C4" s="347" t="s">
        <v>477</v>
      </c>
      <c r="D4" s="348">
        <v>51017.0</v>
      </c>
      <c r="E4" s="349" t="s">
        <v>25</v>
      </c>
      <c r="F4" s="350"/>
      <c r="G4" s="351">
        <v>10000.0</v>
      </c>
      <c r="H4" s="352"/>
      <c r="I4" s="353"/>
      <c r="J4" s="354"/>
      <c r="K4" s="355" t="s">
        <v>455</v>
      </c>
      <c r="L4" s="197" t="s">
        <v>478</v>
      </c>
      <c r="M4" s="355" t="s">
        <v>380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19</v>
      </c>
      <c r="B5" s="343">
        <v>45828.0</v>
      </c>
      <c r="C5" s="274" t="s">
        <v>479</v>
      </c>
      <c r="D5" s="275">
        <v>50342.0</v>
      </c>
      <c r="E5" s="276" t="s">
        <v>89</v>
      </c>
      <c r="F5" s="259"/>
      <c r="G5" s="344">
        <v>5000.0</v>
      </c>
      <c r="H5" s="337"/>
      <c r="I5" s="317"/>
      <c r="J5" s="318"/>
      <c r="K5" s="358" t="s">
        <v>42</v>
      </c>
      <c r="L5" s="179" t="s">
        <v>480</v>
      </c>
      <c r="M5" s="358" t="s">
        <v>481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297">
        <v>45828.0</v>
      </c>
      <c r="C6" s="274" t="s">
        <v>482</v>
      </c>
      <c r="D6" s="275">
        <v>50595.0</v>
      </c>
      <c r="E6" s="276" t="s">
        <v>27</v>
      </c>
      <c r="F6" s="260"/>
      <c r="G6" s="320">
        <v>16250.0</v>
      </c>
      <c r="H6" s="259"/>
      <c r="I6" s="292"/>
      <c r="J6" s="296"/>
      <c r="K6" s="358" t="s">
        <v>455</v>
      </c>
      <c r="L6" s="186" t="s">
        <v>483</v>
      </c>
      <c r="M6" s="358" t="s">
        <v>380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40" t="s">
        <v>28</v>
      </c>
      <c r="B7" s="297">
        <v>45828.0</v>
      </c>
      <c r="C7" s="274" t="s">
        <v>484</v>
      </c>
      <c r="D7" s="275">
        <v>42095.0</v>
      </c>
      <c r="E7" s="276" t="s">
        <v>485</v>
      </c>
      <c r="F7" s="260"/>
      <c r="G7" s="320"/>
      <c r="H7" s="319">
        <v>320.0</v>
      </c>
      <c r="I7" s="292"/>
      <c r="J7" s="296"/>
      <c r="K7" s="358" t="s">
        <v>455</v>
      </c>
      <c r="L7" s="186" t="s">
        <v>486</v>
      </c>
      <c r="M7" s="358" t="s">
        <v>380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 t="s">
        <v>30</v>
      </c>
      <c r="B8" s="297">
        <v>45828.0</v>
      </c>
      <c r="C8" s="274" t="s">
        <v>487</v>
      </c>
      <c r="D8" s="275">
        <v>47787.0</v>
      </c>
      <c r="E8" s="276" t="s">
        <v>210</v>
      </c>
      <c r="F8" s="260"/>
      <c r="G8" s="320">
        <v>9500.0</v>
      </c>
      <c r="H8" s="259"/>
      <c r="I8" s="292"/>
      <c r="J8" s="296"/>
      <c r="K8" s="358" t="s">
        <v>42</v>
      </c>
      <c r="L8" s="186" t="s">
        <v>488</v>
      </c>
      <c r="M8" s="358" t="s">
        <v>481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22" t="s">
        <v>87</v>
      </c>
      <c r="B9" s="244"/>
      <c r="C9" s="249"/>
      <c r="D9" s="250"/>
      <c r="E9" s="251"/>
      <c r="F9" s="260"/>
      <c r="G9" s="260"/>
      <c r="H9" s="259"/>
      <c r="I9" s="292"/>
      <c r="J9" s="296"/>
      <c r="K9" s="266"/>
      <c r="L9" s="186"/>
      <c r="M9" s="18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40" t="s">
        <v>148</v>
      </c>
      <c r="B10" s="244"/>
      <c r="C10" s="249"/>
      <c r="D10" s="250"/>
      <c r="E10" s="251"/>
      <c r="F10" s="260"/>
      <c r="G10" s="260"/>
      <c r="H10" s="259"/>
      <c r="I10" s="292"/>
      <c r="J10" s="296"/>
      <c r="K10" s="266"/>
      <c r="L10" s="186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0</v>
      </c>
      <c r="G11" s="289">
        <f t="shared" si="1"/>
        <v>40750</v>
      </c>
      <c r="H11" s="289">
        <f t="shared" si="1"/>
        <v>320</v>
      </c>
      <c r="I11" s="289"/>
      <c r="J11" s="289"/>
      <c r="K11" s="135"/>
      <c r="L11" s="135"/>
      <c r="M11" s="136"/>
    </row>
    <row r="12" ht="48.0" customHeight="1">
      <c r="F12" s="183">
        <f>F11+G11+H11+I11+J11</f>
        <v>41070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489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359">
        <v>45829.0</v>
      </c>
      <c r="C4" s="360" t="s">
        <v>490</v>
      </c>
      <c r="D4" s="361">
        <v>10249.0</v>
      </c>
      <c r="E4" s="362" t="s">
        <v>491</v>
      </c>
      <c r="F4" s="363">
        <v>37000.0</v>
      </c>
      <c r="G4" s="363"/>
      <c r="H4" s="364"/>
      <c r="I4" s="365"/>
      <c r="J4" s="293"/>
      <c r="K4" s="267" t="s">
        <v>17</v>
      </c>
      <c r="L4" s="186" t="s">
        <v>492</v>
      </c>
      <c r="M4" s="267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/>
      <c r="B5" s="343"/>
      <c r="C5" s="274"/>
      <c r="D5" s="275"/>
      <c r="E5" s="276"/>
      <c r="F5" s="259"/>
      <c r="G5" s="344"/>
      <c r="H5" s="337"/>
      <c r="I5" s="317"/>
      <c r="J5" s="318"/>
      <c r="K5" s="358"/>
      <c r="L5" s="179"/>
      <c r="M5" s="358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40"/>
      <c r="B6" s="244"/>
      <c r="C6" s="249"/>
      <c r="D6" s="250"/>
      <c r="E6" s="251"/>
      <c r="F6" s="260"/>
      <c r="G6" s="260"/>
      <c r="H6" s="259"/>
      <c r="I6" s="292"/>
      <c r="J6" s="296"/>
      <c r="K6" s="266"/>
      <c r="L6" s="186"/>
      <c r="M6" s="18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131"/>
      <c r="B7" s="46"/>
      <c r="C7" s="46"/>
      <c r="D7" s="46"/>
      <c r="E7" s="47"/>
      <c r="F7" s="289">
        <f t="shared" ref="F7:H7" si="1">SUM(F4:F6)</f>
        <v>37000</v>
      </c>
      <c r="G7" s="289">
        <f t="shared" si="1"/>
        <v>0</v>
      </c>
      <c r="H7" s="289">
        <f t="shared" si="1"/>
        <v>0</v>
      </c>
      <c r="I7" s="289"/>
      <c r="J7" s="289"/>
      <c r="K7" s="135"/>
      <c r="L7" s="135"/>
      <c r="M7" s="136"/>
    </row>
    <row r="8" ht="48.0" customHeight="1">
      <c r="F8" s="183">
        <f>F7+G7+H7+I7+J7</f>
        <v>37000</v>
      </c>
      <c r="G8" s="46"/>
      <c r="H8" s="46"/>
      <c r="I8" s="46"/>
      <c r="J8" s="4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7:E7"/>
    <mergeCell ref="F8:J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493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66" t="s">
        <v>35</v>
      </c>
      <c r="B4" s="367" t="s">
        <v>494</v>
      </c>
      <c r="C4" s="368" t="s">
        <v>495</v>
      </c>
      <c r="D4" s="369">
        <v>77838.0</v>
      </c>
      <c r="E4" s="370" t="s">
        <v>496</v>
      </c>
      <c r="F4" s="371">
        <v>2600.0</v>
      </c>
      <c r="G4" s="371"/>
      <c r="H4" s="372"/>
      <c r="I4" s="373"/>
      <c r="J4" s="309"/>
      <c r="K4" s="374" t="s">
        <v>17</v>
      </c>
      <c r="L4" s="311" t="s">
        <v>497</v>
      </c>
      <c r="M4" s="375" t="s">
        <v>498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23</v>
      </c>
      <c r="B5" s="321" t="s">
        <v>499</v>
      </c>
      <c r="C5" s="274" t="s">
        <v>500</v>
      </c>
      <c r="D5" s="275">
        <v>51017.0</v>
      </c>
      <c r="E5" s="276" t="s">
        <v>25</v>
      </c>
      <c r="F5" s="259"/>
      <c r="G5" s="376">
        <v>15000.0</v>
      </c>
      <c r="H5" s="337"/>
      <c r="I5" s="317"/>
      <c r="J5" s="318"/>
      <c r="K5" s="358" t="s">
        <v>17</v>
      </c>
      <c r="L5" s="179" t="s">
        <v>501</v>
      </c>
      <c r="M5" s="358" t="s">
        <v>183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321" t="s">
        <v>499</v>
      </c>
      <c r="C6" s="274" t="s">
        <v>502</v>
      </c>
      <c r="D6" s="275">
        <v>51782.0</v>
      </c>
      <c r="E6" s="276" t="s">
        <v>235</v>
      </c>
      <c r="F6" s="259"/>
      <c r="G6" s="376">
        <v>300.0</v>
      </c>
      <c r="H6" s="337"/>
      <c r="I6" s="317"/>
      <c r="J6" s="318"/>
      <c r="K6" s="358" t="s">
        <v>42</v>
      </c>
      <c r="L6" s="179" t="s">
        <v>503</v>
      </c>
      <c r="M6" s="358" t="s">
        <v>504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/>
      <c r="B7" s="343"/>
      <c r="C7" s="274"/>
      <c r="D7" s="275"/>
      <c r="E7" s="276"/>
      <c r="F7" s="259"/>
      <c r="G7" s="344"/>
      <c r="H7" s="337"/>
      <c r="I7" s="317"/>
      <c r="J7" s="318"/>
      <c r="K7" s="358"/>
      <c r="L7" s="179"/>
      <c r="M7" s="358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/>
      <c r="B8" s="244"/>
      <c r="C8" s="249"/>
      <c r="D8" s="250"/>
      <c r="E8" s="251"/>
      <c r="F8" s="260"/>
      <c r="G8" s="260"/>
      <c r="H8" s="259"/>
      <c r="I8" s="292"/>
      <c r="J8" s="296"/>
      <c r="K8" s="266"/>
      <c r="L8" s="186"/>
      <c r="M8" s="18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31"/>
      <c r="B9" s="46"/>
      <c r="C9" s="46"/>
      <c r="D9" s="46"/>
      <c r="E9" s="47"/>
      <c r="F9" s="289">
        <f t="shared" ref="F9:H9" si="1">SUM(F4:F8)</f>
        <v>2600</v>
      </c>
      <c r="G9" s="289">
        <f t="shared" si="1"/>
        <v>15300</v>
      </c>
      <c r="H9" s="289">
        <f t="shared" si="1"/>
        <v>0</v>
      </c>
      <c r="I9" s="289"/>
      <c r="J9" s="289"/>
      <c r="K9" s="135"/>
      <c r="L9" s="135"/>
      <c r="M9" s="136"/>
    </row>
    <row r="10" ht="48.0" customHeight="1">
      <c r="F10" s="183">
        <f>F9+G9+H9+I9+J9</f>
        <v>17900</v>
      </c>
      <c r="G10" s="46"/>
      <c r="H10" s="46"/>
      <c r="I10" s="46"/>
      <c r="J10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22" t="s">
        <v>35</v>
      </c>
      <c r="B4" s="343">
        <v>45831.0</v>
      </c>
      <c r="C4" s="274" t="s">
        <v>506</v>
      </c>
      <c r="D4" s="275">
        <v>87312.0</v>
      </c>
      <c r="E4" s="276" t="s">
        <v>507</v>
      </c>
      <c r="F4" s="377"/>
      <c r="G4" s="319">
        <v>12500.0</v>
      </c>
      <c r="H4" s="378"/>
      <c r="I4" s="379"/>
      <c r="J4" s="315"/>
      <c r="K4" s="358" t="s">
        <v>17</v>
      </c>
      <c r="L4" s="179" t="s">
        <v>508</v>
      </c>
      <c r="M4" s="380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23</v>
      </c>
      <c r="B5" s="343">
        <v>45831.0</v>
      </c>
      <c r="C5" s="274" t="s">
        <v>509</v>
      </c>
      <c r="D5" s="275">
        <v>45937.0</v>
      </c>
      <c r="E5" s="276" t="s">
        <v>510</v>
      </c>
      <c r="F5" s="259"/>
      <c r="G5" s="376">
        <v>1200.0</v>
      </c>
      <c r="H5" s="337"/>
      <c r="I5" s="317"/>
      <c r="J5" s="318"/>
      <c r="K5" s="358" t="s">
        <v>17</v>
      </c>
      <c r="L5" s="179" t="s">
        <v>501</v>
      </c>
      <c r="M5" s="358" t="s">
        <v>183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321"/>
      <c r="C6" s="274"/>
      <c r="D6" s="275"/>
      <c r="E6" s="276"/>
      <c r="F6" s="259"/>
      <c r="G6" s="376"/>
      <c r="H6" s="337"/>
      <c r="I6" s="317"/>
      <c r="J6" s="318"/>
      <c r="K6" s="358"/>
      <c r="L6" s="179"/>
      <c r="M6" s="358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/>
      <c r="B7" s="343"/>
      <c r="C7" s="274"/>
      <c r="D7" s="275"/>
      <c r="E7" s="276"/>
      <c r="F7" s="259"/>
      <c r="G7" s="344"/>
      <c r="H7" s="337"/>
      <c r="I7" s="317"/>
      <c r="J7" s="318"/>
      <c r="K7" s="358"/>
      <c r="L7" s="179"/>
      <c r="M7" s="358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/>
      <c r="B8" s="244"/>
      <c r="C8" s="249"/>
      <c r="D8" s="250"/>
      <c r="E8" s="251"/>
      <c r="F8" s="260"/>
      <c r="G8" s="260"/>
      <c r="H8" s="259"/>
      <c r="I8" s="292"/>
      <c r="J8" s="296"/>
      <c r="K8" s="266"/>
      <c r="L8" s="186"/>
      <c r="M8" s="18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31"/>
      <c r="B9" s="46"/>
      <c r="C9" s="46"/>
      <c r="D9" s="46"/>
      <c r="E9" s="47"/>
      <c r="F9" s="289">
        <f t="shared" ref="F9:H9" si="1">SUM(F4:F8)</f>
        <v>0</v>
      </c>
      <c r="G9" s="289">
        <f t="shared" si="1"/>
        <v>13700</v>
      </c>
      <c r="H9" s="289">
        <f t="shared" si="1"/>
        <v>0</v>
      </c>
      <c r="I9" s="289"/>
      <c r="J9" s="289"/>
      <c r="K9" s="135"/>
      <c r="L9" s="135"/>
      <c r="M9" s="136"/>
    </row>
    <row r="10" ht="48.0" customHeight="1">
      <c r="F10" s="183">
        <f>F9+G9+H9+I9+J9</f>
        <v>13700</v>
      </c>
      <c r="G10" s="46"/>
      <c r="H10" s="46"/>
      <c r="I10" s="46"/>
      <c r="J10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22" t="s">
        <v>35</v>
      </c>
      <c r="B4" s="343">
        <v>45831.0</v>
      </c>
      <c r="C4" s="274" t="s">
        <v>512</v>
      </c>
      <c r="D4" s="275">
        <v>82254.0</v>
      </c>
      <c r="E4" s="276" t="s">
        <v>245</v>
      </c>
      <c r="F4" s="377"/>
      <c r="G4" s="319">
        <v>5100.0</v>
      </c>
      <c r="H4" s="378"/>
      <c r="I4" s="379"/>
      <c r="J4" s="315"/>
      <c r="K4" s="358" t="s">
        <v>17</v>
      </c>
      <c r="L4" s="179">
        <v>21.17</v>
      </c>
      <c r="M4" s="380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19</v>
      </c>
      <c r="B5" s="343">
        <v>45832.0</v>
      </c>
      <c r="C5" s="274" t="s">
        <v>513</v>
      </c>
      <c r="D5" s="275">
        <v>25542.0</v>
      </c>
      <c r="E5" s="276" t="s">
        <v>325</v>
      </c>
      <c r="F5" s="259"/>
      <c r="G5" s="376">
        <v>4500.0</v>
      </c>
      <c r="H5" s="337"/>
      <c r="I5" s="317"/>
      <c r="J5" s="318"/>
      <c r="K5" s="358" t="s">
        <v>17</v>
      </c>
      <c r="L5" s="179" t="s">
        <v>514</v>
      </c>
      <c r="M5" s="358" t="s">
        <v>515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343">
        <v>45832.0</v>
      </c>
      <c r="C6" s="274" t="s">
        <v>516</v>
      </c>
      <c r="D6" s="275">
        <v>27880.0</v>
      </c>
      <c r="E6" s="276" t="s">
        <v>517</v>
      </c>
      <c r="F6" s="259"/>
      <c r="G6" s="376">
        <v>4500.0</v>
      </c>
      <c r="H6" s="337"/>
      <c r="I6" s="317"/>
      <c r="J6" s="318"/>
      <c r="K6" s="358" t="s">
        <v>17</v>
      </c>
      <c r="L6" s="179">
        <v>6.46</v>
      </c>
      <c r="M6" s="358" t="s">
        <v>515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 t="s">
        <v>28</v>
      </c>
      <c r="B7" s="343">
        <v>45832.0</v>
      </c>
      <c r="C7" s="274" t="s">
        <v>518</v>
      </c>
      <c r="D7" s="275">
        <v>68284.0</v>
      </c>
      <c r="E7" s="276" t="s">
        <v>519</v>
      </c>
      <c r="F7" s="259"/>
      <c r="G7" s="376">
        <v>8990.0</v>
      </c>
      <c r="H7" s="337"/>
      <c r="I7" s="317"/>
      <c r="J7" s="318"/>
      <c r="K7" s="358" t="s">
        <v>17</v>
      </c>
      <c r="L7" s="179">
        <v>12.53</v>
      </c>
      <c r="M7" s="380" t="s">
        <v>141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22" t="s">
        <v>30</v>
      </c>
      <c r="B8" s="343">
        <v>45832.0</v>
      </c>
      <c r="C8" s="274" t="s">
        <v>520</v>
      </c>
      <c r="D8" s="275">
        <v>50595.0</v>
      </c>
      <c r="E8" s="276" t="s">
        <v>27</v>
      </c>
      <c r="F8" s="259"/>
      <c r="G8" s="376">
        <v>15000.0</v>
      </c>
      <c r="H8" s="337"/>
      <c r="I8" s="317"/>
      <c r="J8" s="318"/>
      <c r="K8" s="358" t="s">
        <v>17</v>
      </c>
      <c r="L8" s="179">
        <v>15.04</v>
      </c>
      <c r="M8" s="358" t="s">
        <v>515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22" t="s">
        <v>87</v>
      </c>
      <c r="B9" s="343">
        <v>45832.0</v>
      </c>
      <c r="C9" s="274" t="s">
        <v>521</v>
      </c>
      <c r="D9" s="275">
        <v>52215.0</v>
      </c>
      <c r="E9" s="276" t="s">
        <v>522</v>
      </c>
      <c r="F9" s="259"/>
      <c r="G9" s="344">
        <v>9000.0</v>
      </c>
      <c r="H9" s="337"/>
      <c r="I9" s="317"/>
      <c r="J9" s="318"/>
      <c r="K9" s="358" t="s">
        <v>17</v>
      </c>
      <c r="L9" s="179">
        <v>16.39</v>
      </c>
      <c r="M9" s="380" t="s">
        <v>141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22" t="s">
        <v>148</v>
      </c>
      <c r="B10" s="244"/>
      <c r="C10" s="249"/>
      <c r="D10" s="250"/>
      <c r="E10" s="251"/>
      <c r="F10" s="260"/>
      <c r="G10" s="260"/>
      <c r="H10" s="259"/>
      <c r="I10" s="292"/>
      <c r="J10" s="296"/>
      <c r="K10" s="266"/>
      <c r="L10" s="186"/>
      <c r="M10" s="18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131"/>
      <c r="B11" s="46"/>
      <c r="C11" s="46"/>
      <c r="D11" s="46"/>
      <c r="E11" s="47"/>
      <c r="F11" s="289">
        <f t="shared" ref="F11:H11" si="1">SUM(F4:F10)</f>
        <v>0</v>
      </c>
      <c r="G11" s="289">
        <f t="shared" si="1"/>
        <v>47090</v>
      </c>
      <c r="H11" s="289">
        <f t="shared" si="1"/>
        <v>0</v>
      </c>
      <c r="I11" s="289"/>
      <c r="J11" s="289"/>
      <c r="K11" s="135"/>
      <c r="L11" s="135"/>
      <c r="M11" s="136"/>
    </row>
    <row r="12" ht="48.0" customHeight="1">
      <c r="F12" s="183">
        <f>F11+G11+H11+I11+J11</f>
        <v>47090</v>
      </c>
      <c r="G12" s="46"/>
      <c r="H12" s="46"/>
      <c r="I12" s="46"/>
      <c r="J1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22" t="s">
        <v>35</v>
      </c>
      <c r="B4" s="321" t="s">
        <v>524</v>
      </c>
      <c r="C4" s="274" t="s">
        <v>525</v>
      </c>
      <c r="D4" s="275">
        <v>51017.0</v>
      </c>
      <c r="E4" s="276" t="s">
        <v>25</v>
      </c>
      <c r="F4" s="377"/>
      <c r="G4" s="319">
        <v>16700.0</v>
      </c>
      <c r="H4" s="378"/>
      <c r="I4" s="379"/>
      <c r="J4" s="315"/>
      <c r="K4" s="358" t="s">
        <v>17</v>
      </c>
      <c r="L4" s="179" t="s">
        <v>526</v>
      </c>
      <c r="M4" s="380" t="s">
        <v>515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19</v>
      </c>
      <c r="B5" s="321" t="s">
        <v>524</v>
      </c>
      <c r="C5" s="274" t="s">
        <v>527</v>
      </c>
      <c r="D5" s="275">
        <v>89655.0</v>
      </c>
      <c r="E5" s="276" t="s">
        <v>528</v>
      </c>
      <c r="F5" s="319">
        <v>300.0</v>
      </c>
      <c r="G5" s="376"/>
      <c r="H5" s="337"/>
      <c r="I5" s="317"/>
      <c r="J5" s="318"/>
      <c r="K5" s="358" t="s">
        <v>17</v>
      </c>
      <c r="L5" s="179" t="s">
        <v>529</v>
      </c>
      <c r="M5" s="358" t="s">
        <v>95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321" t="s">
        <v>524</v>
      </c>
      <c r="C6" s="274" t="s">
        <v>530</v>
      </c>
      <c r="D6" s="275">
        <v>50342.0</v>
      </c>
      <c r="E6" s="276" t="s">
        <v>89</v>
      </c>
      <c r="F6" s="259"/>
      <c r="G6" s="376"/>
      <c r="H6" s="337">
        <v>2500.0</v>
      </c>
      <c r="I6" s="317"/>
      <c r="J6" s="318"/>
      <c r="K6" s="358" t="s">
        <v>42</v>
      </c>
      <c r="L6" s="179" t="s">
        <v>531</v>
      </c>
      <c r="M6" s="358" t="s">
        <v>290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/>
      <c r="B7" s="244"/>
      <c r="C7" s="249"/>
      <c r="D7" s="250"/>
      <c r="E7" s="251"/>
      <c r="F7" s="260"/>
      <c r="G7" s="260"/>
      <c r="H7" s="259"/>
      <c r="I7" s="292"/>
      <c r="J7" s="296"/>
      <c r="K7" s="266"/>
      <c r="L7" s="186"/>
      <c r="M7" s="18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31"/>
      <c r="B8" s="46"/>
      <c r="C8" s="46"/>
      <c r="D8" s="46"/>
      <c r="E8" s="47"/>
      <c r="F8" s="289">
        <f t="shared" ref="F8:H8" si="1">SUM(F4:F7)</f>
        <v>300</v>
      </c>
      <c r="G8" s="289">
        <f t="shared" si="1"/>
        <v>16700</v>
      </c>
      <c r="H8" s="289">
        <f t="shared" si="1"/>
        <v>2500</v>
      </c>
      <c r="I8" s="289"/>
      <c r="J8" s="289"/>
      <c r="K8" s="135"/>
      <c r="L8" s="135"/>
      <c r="M8" s="136"/>
    </row>
    <row r="9" ht="48.0" customHeight="1">
      <c r="F9" s="183">
        <f>F8+G8+H8+I8+J8</f>
        <v>19500</v>
      </c>
      <c r="G9" s="46"/>
      <c r="H9" s="46"/>
      <c r="I9" s="46"/>
      <c r="J9" s="4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66" t="s">
        <v>35</v>
      </c>
      <c r="B4" s="381">
        <v>45833.0</v>
      </c>
      <c r="C4" s="382" t="s">
        <v>533</v>
      </c>
      <c r="D4" s="383">
        <v>59793.0</v>
      </c>
      <c r="E4" s="384" t="s">
        <v>534</v>
      </c>
      <c r="F4" s="371"/>
      <c r="G4" s="385">
        <v>5300.0</v>
      </c>
      <c r="H4" s="372"/>
      <c r="I4" s="373"/>
      <c r="J4" s="309"/>
      <c r="K4" s="374" t="s">
        <v>17</v>
      </c>
      <c r="L4" s="311" t="s">
        <v>535</v>
      </c>
      <c r="M4" s="375" t="s">
        <v>95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 t="s">
        <v>19</v>
      </c>
      <c r="B5" s="244">
        <v>45834.0</v>
      </c>
      <c r="C5" s="249" t="s">
        <v>536</v>
      </c>
      <c r="D5" s="250">
        <v>51017.0</v>
      </c>
      <c r="E5" s="251" t="s">
        <v>25</v>
      </c>
      <c r="F5" s="319"/>
      <c r="G5" s="252">
        <v>13850.0</v>
      </c>
      <c r="H5" s="337"/>
      <c r="I5" s="317"/>
      <c r="J5" s="318"/>
      <c r="K5" s="358" t="s">
        <v>17</v>
      </c>
      <c r="L5" s="179" t="s">
        <v>537</v>
      </c>
      <c r="M5" s="358" t="s">
        <v>208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22" t="s">
        <v>23</v>
      </c>
      <c r="B6" s="244">
        <v>45834.0</v>
      </c>
      <c r="C6" s="249" t="s">
        <v>538</v>
      </c>
      <c r="D6" s="250">
        <v>52083.0</v>
      </c>
      <c r="E6" s="251" t="s">
        <v>539</v>
      </c>
      <c r="F6" s="259"/>
      <c r="G6" s="252">
        <v>5000.0</v>
      </c>
      <c r="H6" s="337"/>
      <c r="I6" s="317"/>
      <c r="J6" s="318"/>
      <c r="K6" s="358" t="s">
        <v>17</v>
      </c>
      <c r="L6" s="179" t="s">
        <v>540</v>
      </c>
      <c r="M6" s="358" t="s">
        <v>208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 t="s">
        <v>28</v>
      </c>
      <c r="B7" s="244">
        <v>45834.0</v>
      </c>
      <c r="C7" s="249" t="s">
        <v>541</v>
      </c>
      <c r="D7" s="250">
        <v>50595.0</v>
      </c>
      <c r="E7" s="251" t="s">
        <v>27</v>
      </c>
      <c r="F7" s="260"/>
      <c r="G7" s="252">
        <v>15000.0</v>
      </c>
      <c r="H7" s="259"/>
      <c r="I7" s="292"/>
      <c r="J7" s="296"/>
      <c r="K7" s="358" t="s">
        <v>17</v>
      </c>
      <c r="L7" s="179" t="s">
        <v>542</v>
      </c>
      <c r="M7" s="358" t="s">
        <v>208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22"/>
      <c r="B8" s="244"/>
      <c r="C8" s="249"/>
      <c r="D8" s="250"/>
      <c r="E8" s="251"/>
      <c r="F8" s="260"/>
      <c r="G8" s="260"/>
      <c r="H8" s="259"/>
      <c r="I8" s="292"/>
      <c r="J8" s="296"/>
      <c r="K8" s="266"/>
      <c r="L8" s="186"/>
      <c r="M8" s="18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131"/>
      <c r="B9" s="46"/>
      <c r="C9" s="46"/>
      <c r="D9" s="46"/>
      <c r="E9" s="47"/>
      <c r="F9" s="289">
        <f t="shared" ref="F9:H9" si="1">SUM(F4:F8)</f>
        <v>0</v>
      </c>
      <c r="G9" s="289">
        <f t="shared" si="1"/>
        <v>39150</v>
      </c>
      <c r="H9" s="289">
        <f t="shared" si="1"/>
        <v>0</v>
      </c>
      <c r="I9" s="289"/>
      <c r="J9" s="289"/>
      <c r="K9" s="135"/>
      <c r="L9" s="135"/>
      <c r="M9" s="136"/>
    </row>
    <row r="10" ht="48.0" customHeight="1">
      <c r="F10" s="183">
        <f>F9+G9+H9+I9+J9</f>
        <v>39150</v>
      </c>
      <c r="G10" s="46"/>
      <c r="H10" s="46"/>
      <c r="I10" s="46"/>
      <c r="J10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386" t="s">
        <v>544</v>
      </c>
      <c r="C4" s="387" t="s">
        <v>545</v>
      </c>
      <c r="D4" s="388">
        <v>19122.0</v>
      </c>
      <c r="E4" s="389" t="s">
        <v>546</v>
      </c>
      <c r="F4" s="363"/>
      <c r="G4" s="390">
        <v>3340.0</v>
      </c>
      <c r="H4" s="364"/>
      <c r="I4" s="365"/>
      <c r="J4" s="293"/>
      <c r="K4" s="267" t="s">
        <v>17</v>
      </c>
      <c r="L4" s="186" t="s">
        <v>547</v>
      </c>
      <c r="M4" s="391" t="s">
        <v>141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/>
      <c r="B5" s="244"/>
      <c r="C5" s="249"/>
      <c r="D5" s="250"/>
      <c r="E5" s="251"/>
      <c r="F5" s="260"/>
      <c r="G5" s="260"/>
      <c r="H5" s="259"/>
      <c r="I5" s="292"/>
      <c r="J5" s="296"/>
      <c r="K5" s="266"/>
      <c r="L5" s="186"/>
      <c r="M5" s="18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31"/>
      <c r="B6" s="46"/>
      <c r="C6" s="46"/>
      <c r="D6" s="46"/>
      <c r="E6" s="47"/>
      <c r="F6" s="289">
        <f t="shared" ref="F6:H6" si="1">SUM(F4:F5)</f>
        <v>0</v>
      </c>
      <c r="G6" s="289">
        <f t="shared" si="1"/>
        <v>3340</v>
      </c>
      <c r="H6" s="289">
        <f t="shared" si="1"/>
        <v>0</v>
      </c>
      <c r="I6" s="289"/>
      <c r="J6" s="289"/>
      <c r="K6" s="135"/>
      <c r="L6" s="135"/>
      <c r="M6" s="136"/>
    </row>
    <row r="7" ht="48.0" customHeight="1">
      <c r="F7" s="183">
        <f>F6+G6+H6+I6+J6</f>
        <v>3340</v>
      </c>
      <c r="G7" s="46"/>
      <c r="H7" s="46"/>
      <c r="I7" s="46"/>
      <c r="J7" s="4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2">
    <mergeCell ref="K2:K3"/>
    <mergeCell ref="L2:L3"/>
    <mergeCell ref="E2:E3"/>
    <mergeCell ref="A6:E6"/>
    <mergeCell ref="F7:J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392">
        <v>45836.0</v>
      </c>
      <c r="C4" s="387" t="s">
        <v>549</v>
      </c>
      <c r="D4" s="388">
        <v>36918.0</v>
      </c>
      <c r="E4" s="389" t="s">
        <v>550</v>
      </c>
      <c r="F4" s="363"/>
      <c r="G4" s="390"/>
      <c r="H4" s="364">
        <v>3600.0</v>
      </c>
      <c r="I4" s="365"/>
      <c r="J4" s="293"/>
      <c r="K4" s="267" t="s">
        <v>17</v>
      </c>
      <c r="L4" s="186" t="s">
        <v>551</v>
      </c>
      <c r="M4" s="391" t="s">
        <v>552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22"/>
      <c r="B5" s="244"/>
      <c r="C5" s="249"/>
      <c r="D5" s="250"/>
      <c r="E5" s="251"/>
      <c r="F5" s="260"/>
      <c r="G5" s="260"/>
      <c r="H5" s="259"/>
      <c r="I5" s="292"/>
      <c r="J5" s="296"/>
      <c r="K5" s="266"/>
      <c r="L5" s="186"/>
      <c r="M5" s="18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131"/>
      <c r="B6" s="46"/>
      <c r="C6" s="46"/>
      <c r="D6" s="46"/>
      <c r="E6" s="47"/>
      <c r="F6" s="289">
        <f t="shared" ref="F6:H6" si="1">SUM(F4:F5)</f>
        <v>0</v>
      </c>
      <c r="G6" s="289">
        <f t="shared" si="1"/>
        <v>0</v>
      </c>
      <c r="H6" s="289">
        <f t="shared" si="1"/>
        <v>3600</v>
      </c>
      <c r="I6" s="289"/>
      <c r="J6" s="289"/>
      <c r="K6" s="135"/>
      <c r="L6" s="135"/>
      <c r="M6" s="136"/>
    </row>
    <row r="7" ht="48.0" customHeight="1">
      <c r="F7" s="183">
        <f>F6+G6+H6+I6+J6</f>
        <v>3600</v>
      </c>
      <c r="G7" s="46"/>
      <c r="H7" s="46"/>
      <c r="I7" s="46"/>
      <c r="J7" s="4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2">
    <mergeCell ref="K2:K3"/>
    <mergeCell ref="L2:L3"/>
    <mergeCell ref="E2:E3"/>
    <mergeCell ref="A6:E6"/>
    <mergeCell ref="F7:J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553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393">
        <v>45837.0</v>
      </c>
      <c r="C4" s="232" t="s">
        <v>554</v>
      </c>
      <c r="D4" s="233">
        <v>47787.0</v>
      </c>
      <c r="E4" s="389" t="s">
        <v>210</v>
      </c>
      <c r="F4" s="394"/>
      <c r="G4" s="236">
        <v>5000.0</v>
      </c>
      <c r="H4" s="395"/>
      <c r="I4" s="365"/>
      <c r="J4" s="396"/>
      <c r="K4" s="267" t="s">
        <v>17</v>
      </c>
      <c r="L4" s="397" t="s">
        <v>555</v>
      </c>
      <c r="M4" s="391" t="s">
        <v>556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40" t="s">
        <v>19</v>
      </c>
      <c r="B5" s="393">
        <v>45837.0</v>
      </c>
      <c r="C5" s="232" t="s">
        <v>557</v>
      </c>
      <c r="D5" s="233">
        <v>35245.0</v>
      </c>
      <c r="E5" s="389" t="s">
        <v>132</v>
      </c>
      <c r="F5" s="394"/>
      <c r="G5" s="236">
        <v>5290.0</v>
      </c>
      <c r="H5" s="395"/>
      <c r="I5" s="365"/>
      <c r="J5" s="396"/>
      <c r="K5" s="267" t="s">
        <v>17</v>
      </c>
      <c r="L5" s="397" t="s">
        <v>558</v>
      </c>
      <c r="M5" s="391" t="s">
        <v>552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40" t="s">
        <v>23</v>
      </c>
      <c r="B6" s="392"/>
      <c r="C6" s="387"/>
      <c r="D6" s="388"/>
      <c r="E6" s="389"/>
      <c r="F6" s="363"/>
      <c r="G6" s="390"/>
      <c r="H6" s="364"/>
      <c r="I6" s="365"/>
      <c r="J6" s="293"/>
      <c r="K6" s="267"/>
      <c r="L6" s="186"/>
      <c r="M6" s="391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22" t="s">
        <v>28</v>
      </c>
      <c r="B7" s="244"/>
      <c r="C7" s="249"/>
      <c r="D7" s="250"/>
      <c r="E7" s="251"/>
      <c r="F7" s="260"/>
      <c r="G7" s="260"/>
      <c r="H7" s="259"/>
      <c r="I7" s="292"/>
      <c r="J7" s="296"/>
      <c r="K7" s="266"/>
      <c r="L7" s="186"/>
      <c r="M7" s="18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131"/>
      <c r="B8" s="46"/>
      <c r="C8" s="46"/>
      <c r="D8" s="46"/>
      <c r="E8" s="47"/>
      <c r="F8" s="289">
        <f t="shared" ref="F8:J8" si="1">SUM(F4:F7)</f>
        <v>0</v>
      </c>
      <c r="G8" s="289">
        <f t="shared" si="1"/>
        <v>10290</v>
      </c>
      <c r="H8" s="289">
        <f t="shared" si="1"/>
        <v>0</v>
      </c>
      <c r="I8" s="289">
        <f t="shared" si="1"/>
        <v>0</v>
      </c>
      <c r="J8" s="289">
        <f t="shared" si="1"/>
        <v>0</v>
      </c>
      <c r="K8" s="135"/>
      <c r="L8" s="135"/>
      <c r="M8" s="136"/>
    </row>
    <row r="9" ht="48.0" customHeight="1">
      <c r="F9" s="183">
        <f>F8+G8+H8+I8+J8</f>
        <v>10290</v>
      </c>
      <c r="G9" s="46"/>
      <c r="H9" s="46"/>
      <c r="I9" s="46"/>
      <c r="J9" s="4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244">
        <v>45837.0</v>
      </c>
      <c r="C4" s="249" t="s">
        <v>560</v>
      </c>
      <c r="D4" s="250">
        <v>51017.0</v>
      </c>
      <c r="E4" s="251" t="s">
        <v>25</v>
      </c>
      <c r="F4" s="257"/>
      <c r="G4" s="252">
        <v>1250.0</v>
      </c>
      <c r="H4" s="257"/>
      <c r="I4" s="365"/>
      <c r="J4" s="396"/>
      <c r="K4" s="267" t="s">
        <v>17</v>
      </c>
      <c r="L4" s="397" t="s">
        <v>561</v>
      </c>
      <c r="M4" s="391" t="s">
        <v>183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40" t="s">
        <v>19</v>
      </c>
      <c r="B5" s="244">
        <v>45838.0</v>
      </c>
      <c r="C5" s="249" t="s">
        <v>562</v>
      </c>
      <c r="D5" s="250">
        <v>50595.0</v>
      </c>
      <c r="E5" s="251" t="s">
        <v>27</v>
      </c>
      <c r="F5" s="257"/>
      <c r="G5" s="252">
        <v>15000.0</v>
      </c>
      <c r="H5" s="257"/>
      <c r="I5" s="365"/>
      <c r="J5" s="396"/>
      <c r="K5" s="267" t="s">
        <v>17</v>
      </c>
      <c r="L5" s="397" t="s">
        <v>563</v>
      </c>
      <c r="M5" s="391" t="s">
        <v>125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40" t="s">
        <v>23</v>
      </c>
      <c r="B6" s="244">
        <v>45838.0</v>
      </c>
      <c r="C6" s="249" t="s">
        <v>564</v>
      </c>
      <c r="D6" s="250">
        <v>10008.0</v>
      </c>
      <c r="E6" s="251" t="s">
        <v>565</v>
      </c>
      <c r="F6" s="252">
        <v>900.0</v>
      </c>
      <c r="G6" s="257"/>
      <c r="H6" s="257"/>
      <c r="I6" s="365"/>
      <c r="J6" s="396"/>
      <c r="K6" s="267" t="s">
        <v>17</v>
      </c>
      <c r="L6" s="397" t="s">
        <v>483</v>
      </c>
      <c r="M6" s="391" t="s">
        <v>566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40" t="s">
        <v>28</v>
      </c>
      <c r="B7" s="244">
        <v>45838.0</v>
      </c>
      <c r="C7" s="249" t="s">
        <v>567</v>
      </c>
      <c r="D7" s="250">
        <v>21828.0</v>
      </c>
      <c r="E7" s="251" t="s">
        <v>16</v>
      </c>
      <c r="F7" s="257"/>
      <c r="G7" s="257"/>
      <c r="H7" s="252">
        <v>2800.0</v>
      </c>
      <c r="I7" s="365"/>
      <c r="J7" s="396"/>
      <c r="K7" s="267" t="s">
        <v>17</v>
      </c>
      <c r="L7" s="397" t="s">
        <v>568</v>
      </c>
      <c r="M7" s="391" t="s">
        <v>569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 t="s">
        <v>30</v>
      </c>
      <c r="B8" s="244">
        <v>45838.0</v>
      </c>
      <c r="C8" s="249" t="s">
        <v>570</v>
      </c>
      <c r="D8" s="250">
        <v>89894.0</v>
      </c>
      <c r="E8" s="251" t="s">
        <v>571</v>
      </c>
      <c r="F8" s="252">
        <v>300.0</v>
      </c>
      <c r="G8" s="257"/>
      <c r="H8" s="257"/>
      <c r="I8" s="365"/>
      <c r="J8" s="396"/>
      <c r="K8" s="267" t="s">
        <v>17</v>
      </c>
      <c r="L8" s="397" t="s">
        <v>572</v>
      </c>
      <c r="M8" s="391" t="s">
        <v>204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40" t="s">
        <v>87</v>
      </c>
      <c r="B9" s="244">
        <v>45838.0</v>
      </c>
      <c r="C9" s="249" t="s">
        <v>573</v>
      </c>
      <c r="D9" s="250">
        <v>52669.0</v>
      </c>
      <c r="E9" s="251" t="s">
        <v>21</v>
      </c>
      <c r="F9" s="252">
        <v>15000.0</v>
      </c>
      <c r="G9" s="257"/>
      <c r="H9" s="257"/>
      <c r="I9" s="365"/>
      <c r="J9" s="396"/>
      <c r="K9" s="267" t="s">
        <v>17</v>
      </c>
      <c r="L9" s="397" t="s">
        <v>574</v>
      </c>
      <c r="M9" s="391" t="s">
        <v>125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40" t="s">
        <v>148</v>
      </c>
      <c r="B10" s="244">
        <v>45838.0</v>
      </c>
      <c r="C10" s="249" t="s">
        <v>575</v>
      </c>
      <c r="D10" s="250">
        <v>89894.0</v>
      </c>
      <c r="E10" s="251" t="s">
        <v>571</v>
      </c>
      <c r="F10" s="252">
        <v>3050.0</v>
      </c>
      <c r="G10" s="257"/>
      <c r="H10" s="257"/>
      <c r="I10" s="365"/>
      <c r="J10" s="396"/>
      <c r="K10" s="267" t="s">
        <v>17</v>
      </c>
      <c r="L10" s="397" t="s">
        <v>576</v>
      </c>
      <c r="M10" s="391" t="s">
        <v>577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340" t="s">
        <v>152</v>
      </c>
      <c r="B11" s="244">
        <v>45838.0</v>
      </c>
      <c r="C11" s="249" t="s">
        <v>578</v>
      </c>
      <c r="D11" s="250">
        <v>89909.0</v>
      </c>
      <c r="E11" s="251" t="s">
        <v>579</v>
      </c>
      <c r="F11" s="252">
        <v>300.0</v>
      </c>
      <c r="G11" s="257"/>
      <c r="H11" s="257"/>
      <c r="I11" s="365"/>
      <c r="J11" s="396"/>
      <c r="K11" s="267" t="s">
        <v>17</v>
      </c>
      <c r="L11" s="397" t="s">
        <v>580</v>
      </c>
      <c r="M11" s="391" t="s">
        <v>95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340" t="s">
        <v>156</v>
      </c>
      <c r="B12" s="244">
        <v>45838.0</v>
      </c>
      <c r="C12" s="249" t="s">
        <v>581</v>
      </c>
      <c r="D12" s="250">
        <v>89909.0</v>
      </c>
      <c r="E12" s="251" t="s">
        <v>579</v>
      </c>
      <c r="F12" s="252">
        <v>2950.0</v>
      </c>
      <c r="G12" s="257"/>
      <c r="H12" s="257"/>
      <c r="I12" s="365"/>
      <c r="J12" s="396"/>
      <c r="K12" s="267" t="s">
        <v>17</v>
      </c>
      <c r="L12" s="397" t="s">
        <v>582</v>
      </c>
      <c r="M12" s="391" t="s">
        <v>95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340" t="s">
        <v>160</v>
      </c>
      <c r="B13" s="244">
        <v>45838.0</v>
      </c>
      <c r="C13" s="249" t="s">
        <v>583</v>
      </c>
      <c r="D13" s="250">
        <v>88552.0</v>
      </c>
      <c r="E13" s="251" t="s">
        <v>83</v>
      </c>
      <c r="F13" s="252">
        <v>2400.0</v>
      </c>
      <c r="G13" s="257"/>
      <c r="H13" s="257"/>
      <c r="I13" s="365"/>
      <c r="J13" s="396"/>
      <c r="K13" s="267" t="s">
        <v>17</v>
      </c>
      <c r="L13" s="397" t="s">
        <v>584</v>
      </c>
      <c r="M13" s="391" t="s">
        <v>95</v>
      </c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340" t="s">
        <v>163</v>
      </c>
      <c r="B14" s="244">
        <v>45838.0</v>
      </c>
      <c r="C14" s="249" t="s">
        <v>585</v>
      </c>
      <c r="D14" s="250">
        <v>51017.0</v>
      </c>
      <c r="E14" s="251" t="s">
        <v>25</v>
      </c>
      <c r="F14" s="394"/>
      <c r="G14" s="236">
        <v>12500.0</v>
      </c>
      <c r="H14" s="395"/>
      <c r="I14" s="365"/>
      <c r="J14" s="396"/>
      <c r="K14" s="267" t="s">
        <v>428</v>
      </c>
      <c r="L14" s="397" t="s">
        <v>586</v>
      </c>
      <c r="M14" s="391" t="s">
        <v>552</v>
      </c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49.5" customHeight="1">
      <c r="A15" s="340"/>
      <c r="B15" s="392"/>
      <c r="C15" s="387"/>
      <c r="D15" s="388"/>
      <c r="E15" s="389"/>
      <c r="F15" s="363"/>
      <c r="G15" s="390"/>
      <c r="H15" s="364"/>
      <c r="I15" s="365"/>
      <c r="J15" s="293"/>
      <c r="K15" s="267"/>
      <c r="L15" s="186"/>
      <c r="M15" s="391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ht="49.5" customHeight="1">
      <c r="A16" s="322"/>
      <c r="B16" s="244"/>
      <c r="C16" s="249"/>
      <c r="D16" s="250"/>
      <c r="E16" s="251"/>
      <c r="F16" s="260"/>
      <c r="G16" s="260"/>
      <c r="H16" s="259"/>
      <c r="I16" s="292"/>
      <c r="J16" s="296"/>
      <c r="K16" s="266"/>
      <c r="L16" s="186"/>
      <c r="M16" s="18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ht="49.5" customHeight="1">
      <c r="A17" s="131"/>
      <c r="B17" s="46"/>
      <c r="C17" s="46"/>
      <c r="D17" s="46"/>
      <c r="E17" s="47"/>
      <c r="F17" s="289">
        <f t="shared" ref="F17:J17" si="1">SUM(F4:F16)</f>
        <v>24900</v>
      </c>
      <c r="G17" s="289">
        <f t="shared" si="1"/>
        <v>28750</v>
      </c>
      <c r="H17" s="289">
        <f t="shared" si="1"/>
        <v>2800</v>
      </c>
      <c r="I17" s="289">
        <f t="shared" si="1"/>
        <v>0</v>
      </c>
      <c r="J17" s="289">
        <f t="shared" si="1"/>
        <v>0</v>
      </c>
      <c r="K17" s="135"/>
      <c r="L17" s="135"/>
      <c r="M17" s="136"/>
    </row>
    <row r="18" ht="48.0" customHeight="1">
      <c r="F18" s="183">
        <f>F17+G17+H17+I17+J17</f>
        <v>56450</v>
      </c>
      <c r="G18" s="46"/>
      <c r="H18" s="46"/>
      <c r="I18" s="46"/>
      <c r="J1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2">
    <mergeCell ref="K2:K3"/>
    <mergeCell ref="L2:L3"/>
    <mergeCell ref="E2:E3"/>
    <mergeCell ref="A17:E17"/>
    <mergeCell ref="F18:J1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45" t="s">
        <v>587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>
      <c r="A2" s="48" t="s">
        <v>1</v>
      </c>
      <c r="B2" s="49" t="s">
        <v>2</v>
      </c>
      <c r="C2" s="49" t="s">
        <v>3</v>
      </c>
      <c r="D2" s="49" t="s">
        <v>4</v>
      </c>
      <c r="E2" s="48" t="s">
        <v>5</v>
      </c>
      <c r="F2" s="50" t="s">
        <v>6</v>
      </c>
      <c r="G2" s="46"/>
      <c r="H2" s="46"/>
      <c r="I2" s="46"/>
      <c r="J2" s="47"/>
      <c r="K2" s="49" t="s">
        <v>7</v>
      </c>
      <c r="L2" s="48" t="s">
        <v>8</v>
      </c>
      <c r="M2" s="51" t="s">
        <v>9</v>
      </c>
    </row>
    <row r="3">
      <c r="A3" s="52"/>
      <c r="B3" s="53"/>
      <c r="C3" s="53"/>
      <c r="D3" s="53"/>
      <c r="E3" s="52"/>
      <c r="F3" s="54" t="s">
        <v>10</v>
      </c>
      <c r="G3" s="55" t="s">
        <v>11</v>
      </c>
      <c r="H3" s="56" t="s">
        <v>12</v>
      </c>
      <c r="I3" s="57" t="s">
        <v>13</v>
      </c>
      <c r="J3" s="265" t="s">
        <v>270</v>
      </c>
      <c r="K3" s="53"/>
      <c r="L3" s="52"/>
      <c r="M3" s="59"/>
    </row>
    <row r="4" ht="49.5" customHeight="1">
      <c r="A4" s="340" t="s">
        <v>35</v>
      </c>
      <c r="B4" s="244">
        <v>45837.0</v>
      </c>
      <c r="C4" s="249" t="s">
        <v>560</v>
      </c>
      <c r="D4" s="250">
        <v>51017.0</v>
      </c>
      <c r="E4" s="251" t="s">
        <v>25</v>
      </c>
      <c r="F4" s="257"/>
      <c r="G4" s="252">
        <v>1250.0</v>
      </c>
      <c r="H4" s="257"/>
      <c r="I4" s="365"/>
      <c r="J4" s="396"/>
      <c r="K4" s="267" t="s">
        <v>17</v>
      </c>
      <c r="L4" s="397" t="s">
        <v>561</v>
      </c>
      <c r="M4" s="391" t="s">
        <v>183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49.5" customHeight="1">
      <c r="A5" s="340" t="s">
        <v>19</v>
      </c>
      <c r="B5" s="244">
        <v>45838.0</v>
      </c>
      <c r="C5" s="249" t="s">
        <v>562</v>
      </c>
      <c r="D5" s="250">
        <v>50595.0</v>
      </c>
      <c r="E5" s="251" t="s">
        <v>27</v>
      </c>
      <c r="F5" s="257"/>
      <c r="G5" s="252">
        <v>15000.0</v>
      </c>
      <c r="H5" s="257"/>
      <c r="I5" s="365"/>
      <c r="J5" s="396"/>
      <c r="K5" s="267" t="s">
        <v>17</v>
      </c>
      <c r="L5" s="397" t="s">
        <v>563</v>
      </c>
      <c r="M5" s="391" t="s">
        <v>125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49.5" customHeight="1">
      <c r="A6" s="340" t="s">
        <v>23</v>
      </c>
      <c r="B6" s="244">
        <v>45838.0</v>
      </c>
      <c r="C6" s="249" t="s">
        <v>564</v>
      </c>
      <c r="D6" s="250">
        <v>10008.0</v>
      </c>
      <c r="E6" s="251" t="s">
        <v>565</v>
      </c>
      <c r="F6" s="252">
        <v>900.0</v>
      </c>
      <c r="G6" s="257"/>
      <c r="H6" s="257"/>
      <c r="I6" s="365"/>
      <c r="J6" s="396"/>
      <c r="K6" s="267" t="s">
        <v>17</v>
      </c>
      <c r="L6" s="397" t="s">
        <v>483</v>
      </c>
      <c r="M6" s="391" t="s">
        <v>566</v>
      </c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49.5" customHeight="1">
      <c r="A7" s="340" t="s">
        <v>28</v>
      </c>
      <c r="B7" s="244">
        <v>45838.0</v>
      </c>
      <c r="C7" s="249" t="s">
        <v>567</v>
      </c>
      <c r="D7" s="250">
        <v>21828.0</v>
      </c>
      <c r="E7" s="251" t="s">
        <v>16</v>
      </c>
      <c r="F7" s="257"/>
      <c r="G7" s="257"/>
      <c r="H7" s="252">
        <v>2800.0</v>
      </c>
      <c r="I7" s="365"/>
      <c r="J7" s="396"/>
      <c r="K7" s="267" t="s">
        <v>17</v>
      </c>
      <c r="L7" s="397" t="s">
        <v>568</v>
      </c>
      <c r="M7" s="391" t="s">
        <v>569</v>
      </c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49.5" customHeight="1">
      <c r="A8" s="340" t="s">
        <v>30</v>
      </c>
      <c r="B8" s="244">
        <v>45838.0</v>
      </c>
      <c r="C8" s="249" t="s">
        <v>570</v>
      </c>
      <c r="D8" s="250">
        <v>89894.0</v>
      </c>
      <c r="E8" s="251" t="s">
        <v>571</v>
      </c>
      <c r="F8" s="252">
        <v>300.0</v>
      </c>
      <c r="G8" s="257"/>
      <c r="H8" s="257"/>
      <c r="I8" s="365"/>
      <c r="J8" s="396"/>
      <c r="K8" s="267" t="s">
        <v>17</v>
      </c>
      <c r="L8" s="397" t="s">
        <v>572</v>
      </c>
      <c r="M8" s="391" t="s">
        <v>204</v>
      </c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49.5" customHeight="1">
      <c r="A9" s="340" t="s">
        <v>87</v>
      </c>
      <c r="B9" s="244">
        <v>45838.0</v>
      </c>
      <c r="C9" s="249" t="s">
        <v>573</v>
      </c>
      <c r="D9" s="250">
        <v>52669.0</v>
      </c>
      <c r="E9" s="251" t="s">
        <v>21</v>
      </c>
      <c r="F9" s="252">
        <v>15000.0</v>
      </c>
      <c r="G9" s="257"/>
      <c r="H9" s="257"/>
      <c r="I9" s="365"/>
      <c r="J9" s="396"/>
      <c r="K9" s="267" t="s">
        <v>17</v>
      </c>
      <c r="L9" s="397" t="s">
        <v>574</v>
      </c>
      <c r="M9" s="391" t="s">
        <v>125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49.5" customHeight="1">
      <c r="A10" s="340" t="s">
        <v>148</v>
      </c>
      <c r="B10" s="244">
        <v>45838.0</v>
      </c>
      <c r="C10" s="249" t="s">
        <v>575</v>
      </c>
      <c r="D10" s="250">
        <v>89894.0</v>
      </c>
      <c r="E10" s="251" t="s">
        <v>571</v>
      </c>
      <c r="F10" s="252">
        <v>3050.0</v>
      </c>
      <c r="G10" s="257"/>
      <c r="H10" s="257"/>
      <c r="I10" s="365"/>
      <c r="J10" s="396"/>
      <c r="K10" s="267" t="s">
        <v>17</v>
      </c>
      <c r="L10" s="397" t="s">
        <v>576</v>
      </c>
      <c r="M10" s="391" t="s">
        <v>577</v>
      </c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49.5" customHeight="1">
      <c r="A11" s="340" t="s">
        <v>152</v>
      </c>
      <c r="B11" s="244">
        <v>45838.0</v>
      </c>
      <c r="C11" s="249" t="s">
        <v>578</v>
      </c>
      <c r="D11" s="250">
        <v>89909.0</v>
      </c>
      <c r="E11" s="251" t="s">
        <v>579</v>
      </c>
      <c r="F11" s="252">
        <v>300.0</v>
      </c>
      <c r="G11" s="257"/>
      <c r="H11" s="257"/>
      <c r="I11" s="365"/>
      <c r="J11" s="396"/>
      <c r="K11" s="267" t="s">
        <v>17</v>
      </c>
      <c r="L11" s="397" t="s">
        <v>580</v>
      </c>
      <c r="M11" s="391" t="s">
        <v>95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49.5" customHeight="1">
      <c r="A12" s="340" t="s">
        <v>156</v>
      </c>
      <c r="B12" s="244">
        <v>45838.0</v>
      </c>
      <c r="C12" s="249" t="s">
        <v>581</v>
      </c>
      <c r="D12" s="250">
        <v>89909.0</v>
      </c>
      <c r="E12" s="251" t="s">
        <v>579</v>
      </c>
      <c r="F12" s="252">
        <v>2950.0</v>
      </c>
      <c r="G12" s="257"/>
      <c r="H12" s="257"/>
      <c r="I12" s="365"/>
      <c r="J12" s="396"/>
      <c r="K12" s="267" t="s">
        <v>17</v>
      </c>
      <c r="L12" s="397" t="s">
        <v>582</v>
      </c>
      <c r="M12" s="391" t="s">
        <v>95</v>
      </c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49.5" customHeight="1">
      <c r="A13" s="340" t="s">
        <v>160</v>
      </c>
      <c r="B13" s="244">
        <v>45838.0</v>
      </c>
      <c r="C13" s="249" t="s">
        <v>583</v>
      </c>
      <c r="D13" s="250">
        <v>88552.0</v>
      </c>
      <c r="E13" s="251" t="s">
        <v>83</v>
      </c>
      <c r="F13" s="252">
        <v>2400.0</v>
      </c>
      <c r="G13" s="257"/>
      <c r="H13" s="257"/>
      <c r="I13" s="365"/>
      <c r="J13" s="396"/>
      <c r="K13" s="267" t="s">
        <v>17</v>
      </c>
      <c r="L13" s="397" t="s">
        <v>584</v>
      </c>
      <c r="M13" s="391" t="s">
        <v>95</v>
      </c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49.5" customHeight="1">
      <c r="A14" s="340" t="s">
        <v>163</v>
      </c>
      <c r="B14" s="244">
        <v>45838.0</v>
      </c>
      <c r="C14" s="249" t="s">
        <v>585</v>
      </c>
      <c r="D14" s="250">
        <v>51017.0</v>
      </c>
      <c r="E14" s="251" t="s">
        <v>25</v>
      </c>
      <c r="F14" s="394"/>
      <c r="G14" s="236">
        <v>12500.0</v>
      </c>
      <c r="H14" s="395"/>
      <c r="I14" s="365"/>
      <c r="J14" s="396"/>
      <c r="K14" s="267" t="s">
        <v>428</v>
      </c>
      <c r="L14" s="397" t="s">
        <v>586</v>
      </c>
      <c r="M14" s="391" t="s">
        <v>552</v>
      </c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49.5" customHeight="1">
      <c r="A15" s="340"/>
      <c r="B15" s="392"/>
      <c r="C15" s="387"/>
      <c r="D15" s="388"/>
      <c r="E15" s="389"/>
      <c r="F15" s="363"/>
      <c r="G15" s="390"/>
      <c r="H15" s="364"/>
      <c r="I15" s="365"/>
      <c r="J15" s="293"/>
      <c r="K15" s="267"/>
      <c r="L15" s="186"/>
      <c r="M15" s="391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ht="49.5" customHeight="1">
      <c r="A16" s="322"/>
      <c r="B16" s="244"/>
      <c r="C16" s="249"/>
      <c r="D16" s="250"/>
      <c r="E16" s="251"/>
      <c r="F16" s="260"/>
      <c r="G16" s="260"/>
      <c r="H16" s="259"/>
      <c r="I16" s="292"/>
      <c r="J16" s="296"/>
      <c r="K16" s="266"/>
      <c r="L16" s="186"/>
      <c r="M16" s="18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ht="49.5" customHeight="1">
      <c r="A17" s="131"/>
      <c r="B17" s="46"/>
      <c r="C17" s="46"/>
      <c r="D17" s="46"/>
      <c r="E17" s="47"/>
      <c r="F17" s="289">
        <f t="shared" ref="F17:J17" si="1">SUM(F4:F16)</f>
        <v>24900</v>
      </c>
      <c r="G17" s="289">
        <f t="shared" si="1"/>
        <v>28750</v>
      </c>
      <c r="H17" s="289">
        <f t="shared" si="1"/>
        <v>2800</v>
      </c>
      <c r="I17" s="289">
        <f t="shared" si="1"/>
        <v>0</v>
      </c>
      <c r="J17" s="289">
        <f t="shared" si="1"/>
        <v>0</v>
      </c>
      <c r="K17" s="135"/>
      <c r="L17" s="135"/>
      <c r="M17" s="136"/>
    </row>
    <row r="18" ht="48.0" customHeight="1">
      <c r="F18" s="183">
        <f>F17+G17+H17+I17+J17</f>
        <v>56450</v>
      </c>
      <c r="G18" s="46"/>
      <c r="H18" s="46"/>
      <c r="I18" s="46"/>
      <c r="J1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2">
    <mergeCell ref="B2:B3"/>
    <mergeCell ref="C2:C3"/>
    <mergeCell ref="E2:E3"/>
    <mergeCell ref="F2:J2"/>
    <mergeCell ref="K2:K3"/>
    <mergeCell ref="L2:L3"/>
    <mergeCell ref="A17:E17"/>
    <mergeCell ref="F18:J18"/>
    <mergeCell ref="A1:M1"/>
    <mergeCell ref="A2:A3"/>
    <mergeCell ref="D2:D3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
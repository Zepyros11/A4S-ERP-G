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0-68" sheetId="1" r:id="rId4"/>
    <sheet state="visible" name="2 -10-68" sheetId="2" r:id="rId5"/>
    <sheet state="visible" name="3 -10-68" sheetId="3" r:id="rId6"/>
    <sheet state="visible" name="4-10-68" sheetId="4" r:id="rId7"/>
    <sheet state="visible" name="5-10-68" sheetId="5" r:id="rId8"/>
    <sheet state="visible" name="6-10-68" sheetId="6" r:id="rId9"/>
    <sheet state="visible" name="7-10-68" sheetId="7" r:id="rId10"/>
    <sheet state="visible" name="8-10-68" sheetId="8" r:id="rId11"/>
    <sheet state="visible" name="9-10-68" sheetId="9" r:id="rId12"/>
    <sheet state="visible" name="10-10-68" sheetId="10" r:id="rId13"/>
    <sheet state="visible" name="11-10-68" sheetId="11" r:id="rId14"/>
    <sheet state="visible" name="12-10-68" sheetId="12" r:id="rId15"/>
    <sheet state="visible" name="14-10-68" sheetId="13" r:id="rId16"/>
    <sheet state="visible" name="สำเนาของ 14-10-68" sheetId="14" r:id="rId17"/>
    <sheet state="visible" name="15-10-68" sheetId="15" r:id="rId18"/>
    <sheet state="visible" name="16-10-68" sheetId="16" r:id="rId19"/>
    <sheet state="visible" name="17-10-68" sheetId="17" r:id="rId20"/>
    <sheet state="visible" name="18-10-68" sheetId="18" r:id="rId21"/>
    <sheet state="visible" name="19-10-68" sheetId="19" r:id="rId22"/>
    <sheet state="visible" name="20-10-68" sheetId="20" r:id="rId23"/>
    <sheet state="visible" name="21-10-68" sheetId="21" r:id="rId24"/>
    <sheet state="visible" name="22-10-68" sheetId="22" r:id="rId25"/>
    <sheet state="visible" name="24-10-68" sheetId="23" r:id="rId26"/>
    <sheet state="visible" name="25-10-68" sheetId="24" r:id="rId27"/>
    <sheet state="visible" name="27-10-68" sheetId="25" r:id="rId28"/>
    <sheet state="visible" name="28-10-68" sheetId="26" r:id="rId29"/>
    <sheet state="visible" name="29-10-68" sheetId="27" r:id="rId30"/>
    <sheet state="visible" name="30-10-68" sheetId="28" r:id="rId31"/>
    <sheet state="visible" name="31-10-68" sheetId="29" r:id="rId32"/>
    <sheet state="visible" name="สำเนาของ 31-10-68" sheetId="30" r:id="rId33"/>
  </sheets>
  <definedNames/>
  <calcPr/>
  <extLst>
    <ext uri="GoogleSheetsCustomDataVersion2">
      <go:sheetsCustomData xmlns:go="http://customooxmlschemas.google.com/" r:id="rId34" roundtripDataChecksum="Gn9qPWAgwWAvVWBbFF8ALTCIwURsKZ5oyh/DcPAE4Wk="/>
    </ext>
  </extLst>
</workbook>
</file>

<file path=xl/sharedStrings.xml><?xml version="1.0" encoding="utf-8"?>
<sst xmlns="http://schemas.openxmlformats.org/spreadsheetml/2006/main" count="1352" uniqueCount="327">
  <si>
    <t xml:space="preserve">              สรุปยอด บิลออนไลน์  จัดส่ง / นำเข้า DP ดึงตั้งแต่ 30 กันยายน  -   1   ตุลาคม  2568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</si>
  <si>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</si>
  <si>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</si>
  <si>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</si>
  <si>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</si>
  <si>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</si>
  <si>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</si>
  <si>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</si>
  <si>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</si>
  <si>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</si>
  <si>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QR</t>
  </si>
  <si>
    <t>payment</t>
  </si>
  <si>
    <t>e-wallet</t>
  </si>
  <si>
    <t>หักคอม</t>
  </si>
  <si>
    <t>arp (usd)</t>
  </si>
  <si>
    <t>1</t>
  </si>
  <si>
    <t>STHONLIN2509007329</t>
  </si>
  <si>
    <t>นาย สุเมธ จันทร์งาม</t>
  </si>
  <si>
    <t>BKK01</t>
  </si>
  <si>
    <t>รับเอง กทม.</t>
  </si>
  <si>
    <t>2</t>
  </si>
  <si>
    <t>STHONLIN2509007412</t>
  </si>
  <si>
    <t>นางสาว ธัญญรัตน์ มานะโพน</t>
  </si>
  <si>
    <t>3</t>
  </si>
  <si>
    <t>STHONLIN2509007415</t>
  </si>
  <si>
    <t>นางสาว นฤชา แสงระวี</t>
  </si>
  <si>
    <t xml:space="preserve">              สรุปยอด บิลออนไลน์  จัดส่ง / นำเข้า DP ดึงตั้งแต่   2    ตุลาคม  2568</t>
  </si>
  <si>
    <t>STHONLIN2510000243</t>
  </si>
  <si>
    <t>ห้างหุ้นส่วน โกรท โกลเบิล เน็ตเวิร์ก (สำนักงานใหญ่)</t>
  </si>
  <si>
    <t>NB</t>
  </si>
  <si>
    <t>รับเอง DP</t>
  </si>
  <si>
    <t>STHONLIN2510000244</t>
  </si>
  <si>
    <t xml:space="preserve">              สรุปยอด บิลออนไลน์  จัดส่ง / นำเข้า DP ดึงตั้งแต่   3    ตุลาคม  2568</t>
  </si>
  <si>
    <t>STHONLIN2510000263</t>
  </si>
  <si>
    <t>นาย สรรณ สินธุรัตน์</t>
  </si>
  <si>
    <t>BKK</t>
  </si>
  <si>
    <t>จัดส่ง กทม.</t>
  </si>
  <si>
    <t>STHONLIN2510000264</t>
  </si>
  <si>
    <t>นางสาว พิมพ์ชญา  สุริยปรีชาพงษ์</t>
  </si>
  <si>
    <t>STHONLIN2510000271</t>
  </si>
  <si>
    <t>4</t>
  </si>
  <si>
    <t>STHONLIN2510000284</t>
  </si>
  <si>
    <t>บริษัท โคบาราเอฟโวลูชั่น (ประเทศไทย)จำกัด ( สำนักงานใหญ่ )</t>
  </si>
  <si>
    <t>5</t>
  </si>
  <si>
    <t>STHONLIN2510000286</t>
  </si>
  <si>
    <t>รุ่งรวี  ประสิทธิการกุล</t>
  </si>
  <si>
    <t>6</t>
  </si>
  <si>
    <t>STHONLIN2510000288</t>
  </si>
  <si>
    <t>นางสาว ณุชรี  กาญจนกำเนิด</t>
  </si>
  <si>
    <t>7</t>
  </si>
  <si>
    <t>STHONLIN2510000290</t>
  </si>
  <si>
    <t>นาย อภินันท์ หนูนัง</t>
  </si>
  <si>
    <t>8</t>
  </si>
  <si>
    <t>STHONLIN2510000291</t>
  </si>
  <si>
    <t>Mr. Mbutuh Nvenyi Celestine</t>
  </si>
  <si>
    <t>9</t>
  </si>
  <si>
    <t>STHONLIN2510000292</t>
  </si>
  <si>
    <t>10</t>
  </si>
  <si>
    <t>STHONLIN2510000293</t>
  </si>
  <si>
    <t>11</t>
  </si>
  <si>
    <t>STHONLIN2510000297</t>
  </si>
  <si>
    <t>นาย ดิเรก  กรีฑา</t>
  </si>
  <si>
    <t>12</t>
  </si>
  <si>
    <t>STHONLIN2510000298</t>
  </si>
  <si>
    <t>นางสาว ดารดี ญาณกวี</t>
  </si>
  <si>
    <t xml:space="preserve">              สรุปยอด บิลออนไลน์  จัดส่ง / นำเข้า DP ดึงตั้งแต่   4    ตุลาคม  2568</t>
  </si>
  <si>
    <t>STHONLIN2510000313</t>
  </si>
  <si>
    <t>นางสาว กิ่งแก้ว บุญโยประการ</t>
  </si>
  <si>
    <t>STHONLIN2510000327</t>
  </si>
  <si>
    <t>บริษัท ต.ศรีโสภณ จำกัด (สำนักงานใหญ่)</t>
  </si>
  <si>
    <t>STHONLIN2510000330</t>
  </si>
  <si>
    <t>Mr. NzahbEnstein Aba</t>
  </si>
  <si>
    <t>STHONLIN2510000334</t>
  </si>
  <si>
    <t>Mr. Godwin Amanui Ngongang</t>
  </si>
  <si>
    <t>STHONLIN2510000335</t>
  </si>
  <si>
    <t>STHONLIN2510000336</t>
  </si>
  <si>
    <t>STHONLIN2510000342</t>
  </si>
  <si>
    <t>นาย สมศักดิ์ แสงรัตนเจริญ</t>
  </si>
  <si>
    <t xml:space="preserve">              สรุปยอด บิลออนไลน์  จัดส่ง / นำเข้า DP ดึงตั้งแต่   5    ตุลาคม  2568</t>
  </si>
  <si>
    <t>STHONLIN2510000348</t>
  </si>
  <si>
    <t>นางสาว ปุณยนุช ชูช่วย</t>
  </si>
  <si>
    <t>STHONLIN2510000370</t>
  </si>
  <si>
    <t>นางสาว วศินี สุนทรสวัสดิ์</t>
  </si>
  <si>
    <t>STHONLIN2510000385</t>
  </si>
  <si>
    <t>บริษัท เค24 โกลบอล จำกัด (สำนักงานใหญ่)</t>
  </si>
  <si>
    <t>STHONLIN2510000406</t>
  </si>
  <si>
    <t>นางสาว พัชรมณฑ์ พรมทา</t>
  </si>
  <si>
    <t>STHONLIN2510000409</t>
  </si>
  <si>
    <t>STHONLIN2510000413</t>
  </si>
  <si>
    <t>นางสาว ธนพรรษ​ ยี่ภู</t>
  </si>
  <si>
    <t xml:space="preserve">              สรุปยอด บิลออนไลน์  จัดส่ง / นำเข้า DP ดึงตั้งแต่   6    ตุลาคม  2568</t>
  </si>
  <si>
    <t>STHONLIN2510000509</t>
  </si>
  <si>
    <t>บริษัท สยามทวีทิพย์ จำกัด(สำนักงานใหญ่)</t>
  </si>
  <si>
    <t>STHONLIN2510000519</t>
  </si>
  <si>
    <t>นาย ประชุม มูลศาสตร์</t>
  </si>
  <si>
    <t>STHONLIN2510000533</t>
  </si>
  <si>
    <t xml:space="preserve">              สรุปยอด บิลออนไลน์  จัดส่ง / นำเข้า DP ดึงตั้งแต่   7  ตุลาคม  2568</t>
  </si>
  <si>
    <t>ONLINE</t>
  </si>
  <si>
    <t>STHONLIN2510000628</t>
  </si>
  <si>
    <t>นาง จิรภาส อินราช</t>
  </si>
  <si>
    <t>STHONLIN2510000630</t>
  </si>
  <si>
    <t>นางสาว ฤชาภร ทัฬหหสายทอง</t>
  </si>
  <si>
    <t>STHONLIN2510000631</t>
  </si>
  <si>
    <t>นาย ถาวร จำเริญลาภ</t>
  </si>
  <si>
    <t>STHONLIN2510000632</t>
  </si>
  <si>
    <t>นาย อนันต์กฤช เต็มศิริพันธุ์</t>
  </si>
  <si>
    <t>STHONLIN2510000877</t>
  </si>
  <si>
    <t xml:space="preserve">              สรุปยอด บิลออนไลน์  จัดส่ง / นำเข้า DP ดึงตั้งแต่   8  ตุลาคม  2568</t>
  </si>
  <si>
    <t>STHONLIN2510001018</t>
  </si>
  <si>
    <t>นางสาว วิลาวรรณ โคตัน</t>
  </si>
  <si>
    <t>STHONLIN2510001027</t>
  </si>
  <si>
    <t>จัดส่ง DP</t>
  </si>
  <si>
    <t>STHONLIN2510001043</t>
  </si>
  <si>
    <t>นางสาว ธนิชชนันท์ สิริภาคยะประภา</t>
  </si>
  <si>
    <t>STHONLIN2510000934</t>
  </si>
  <si>
    <t>บริษัท ฟองใหญ่ จำกัด (สำนักงานใหญ่)</t>
  </si>
  <si>
    <t>STHONLIN2510001028</t>
  </si>
  <si>
    <t>นาย พิสิฐพงษ์ ยอดจันทร์</t>
  </si>
  <si>
    <t xml:space="preserve">              สรุปยอด บิลออนไลน์  จัดส่ง / นำเข้า DP ดึงตั้งแต่   9  ตุลาคม  2568</t>
  </si>
  <si>
    <t>STHONLIN2510001256</t>
  </si>
  <si>
    <t>นาย จักรพงศ์ สินธุรักษ์</t>
  </si>
  <si>
    <t>STHONLIN2510001261</t>
  </si>
  <si>
    <t>STHONLIN2510001285</t>
  </si>
  <si>
    <t>วรรณภา กระวีเฟื่องฟู</t>
  </si>
  <si>
    <t>STHONLIN2510001258</t>
  </si>
  <si>
    <t>นาง ทูนศรี บัวนุช</t>
  </si>
  <si>
    <t>STHONLIN2510001259</t>
  </si>
  <si>
    <t>นางสาว จุฑารัตน์ ตรงดี</t>
  </si>
  <si>
    <t>STHONLIN2510001264</t>
  </si>
  <si>
    <t>นางสาว ขวัญจิตร์ กลิ่นเจริญ</t>
  </si>
  <si>
    <t>STHONLIN2510001266</t>
  </si>
  <si>
    <t>นาง สีแพร มังกรแก้ว</t>
  </si>
  <si>
    <t>STHONLIN2510001267</t>
  </si>
  <si>
    <t>นาง นาง วรรณา มั่นต่าย</t>
  </si>
  <si>
    <t>STHONLIN2510001268</t>
  </si>
  <si>
    <t>นางสาว พีระญา พูลวงษ์  นาย กมล แจ่มสุริยา</t>
  </si>
  <si>
    <t xml:space="preserve">              สรุปยอด บิลออนไลน์  จัดส่ง / นำเข้า DP ดึงตั้งแต่   10  ตุลาคม  2568</t>
  </si>
  <si>
    <t>STHONLIN2510001521</t>
  </si>
  <si>
    <t>STHONLIN2510001522</t>
  </si>
  <si>
    <t>นาง ทัศนา เลื่อมสำราญ</t>
  </si>
  <si>
    <t>STHONLIN2510001526</t>
  </si>
  <si>
    <t>นาย อำนาจ ประภาโส</t>
  </si>
  <si>
    <t>STHONLIN2510001588</t>
  </si>
  <si>
    <t>นาย ไทคูณ ไพรบึง</t>
  </si>
  <si>
    <t xml:space="preserve">              สรุปยอด บิลออนไลน์  จัดส่ง / นำเข้า DP ดึงตั้งแต่   11  ตุลาคม  2568</t>
  </si>
  <si>
    <t>STHONLIN2510001752</t>
  </si>
  <si>
    <t>STHONLIN2510001765</t>
  </si>
  <si>
    <t>นางสาว ธนัชชา  หวังเทวีวรกุล</t>
  </si>
  <si>
    <t>STHONLIN2510001766</t>
  </si>
  <si>
    <t>นางสาว ธนัญญา  หวังเทวีวรกุล</t>
  </si>
  <si>
    <t>STHONLIN2510001797</t>
  </si>
  <si>
    <t>นางสาว ลำใย  เจริญศิริ</t>
  </si>
  <si>
    <t xml:space="preserve">              สรุปยอด บิลออนไลน์  จัดส่ง / นำเข้า DP ดึงตั้งแต่   12  ตุลาคม  2568</t>
  </si>
  <si>
    <t>STHONLIN2510001951</t>
  </si>
  <si>
    <t>นางสาว กาญจนา บุญเกษม</t>
  </si>
  <si>
    <t>STHONLIN2510001953</t>
  </si>
  <si>
    <t>STHONLIN2510001955</t>
  </si>
  <si>
    <t xml:space="preserve">              สรุปยอด บิลออนไลน์  จัดส่ง / นำเข้า DP ดึงตั้งแต่   14  ตุลาคม  2568</t>
  </si>
  <si>
    <t>STHONLIN2510002102</t>
  </si>
  <si>
    <t>10.41 น.</t>
  </si>
  <si>
    <t>STHONLIN2510002172</t>
  </si>
  <si>
    <t>ธีรยุทธ จิตพงศ์</t>
  </si>
  <si>
    <t>17.09 น.</t>
  </si>
  <si>
    <t>STHONLIN2510002382</t>
  </si>
  <si>
    <t>11.43 น.</t>
  </si>
  <si>
    <t>STHONLIN2510002387</t>
  </si>
  <si>
    <t>Mr. FREDERICK BALOKO</t>
  </si>
  <si>
    <t>12.05 น.</t>
  </si>
  <si>
    <t>STHONLIN2510002381</t>
  </si>
  <si>
    <t>จันทร์เพ็ญ วิลัยกุล</t>
  </si>
  <si>
    <t>11.15 น.</t>
  </si>
  <si>
    <t xml:space="preserve">    </t>
  </si>
  <si>
    <t xml:space="preserve">              สรุปยอด บิลออนไลน์  จัดส่ง / นำเข้า DP ดึงตั้งแต่   15  ตุลาคม  2568</t>
  </si>
  <si>
    <t>STHONLIN2510002715</t>
  </si>
  <si>
    <t>นาย วิเชษฐ สกุลหอม</t>
  </si>
  <si>
    <t>09.04 น.</t>
  </si>
  <si>
    <t>STHONLIN2510002716</t>
  </si>
  <si>
    <t>นางสาว กวินพรรณ สารบุตร</t>
  </si>
  <si>
    <t>09.08 น.</t>
  </si>
  <si>
    <t>STHONLIN2510002717</t>
  </si>
  <si>
    <t>สิริกร เพชรน่าชม</t>
  </si>
  <si>
    <t>09.21 น.</t>
  </si>
  <si>
    <t>STHONLIN2510002718</t>
  </si>
  <si>
    <t>นางสาว อัมพร ภูมี</t>
  </si>
  <si>
    <t>09.38 น.</t>
  </si>
  <si>
    <t>STHONLIN2510002719</t>
  </si>
  <si>
    <t>นาย เพชร ภูมี</t>
  </si>
  <si>
    <t>09.41 น.</t>
  </si>
  <si>
    <t>STHONLIN2510002790</t>
  </si>
  <si>
    <t>นาง กัญจนา ศุภศิษฏ์</t>
  </si>
  <si>
    <t>15.26 น.</t>
  </si>
  <si>
    <t xml:space="preserve">              สรุปยอด บิลออนไลน์  จัดส่ง / นำเข้า DP ดึงตั้งแต่   16  ตุลาคม  2568</t>
  </si>
  <si>
    <t>STHONLIN2510002841</t>
  </si>
  <si>
    <t>นาย สุวิทย์ รองชูเพ็ง</t>
  </si>
  <si>
    <t xml:space="preserve">              สรุปยอด บิลออนไลน์  จัดส่ง / นำเข้า DP ดึงตั้งแต่   17  ตุลาคม  2568                                                                                                </t>
  </si>
  <si>
    <t>STHONLIN2510003342</t>
  </si>
  <si>
    <t>STHONLIN2510003344</t>
  </si>
  <si>
    <t>STHONLIN2510003362</t>
  </si>
  <si>
    <t>นางสาว นิตญา ไชยวงศ์</t>
  </si>
  <si>
    <t>STHONLIN2510003371</t>
  </si>
  <si>
    <t>บริษัท ดีเวย์ ริชคอร์ป จำกัด(สำนักงานใหญ่)</t>
  </si>
  <si>
    <t xml:space="preserve">              สรุปยอด บิลออนไลน์  จัดส่ง / นำเข้า DP ดึงตั้งแต่   18  ตุลาคม  2568                                                                                                </t>
  </si>
  <si>
    <t>10/17/2025</t>
  </si>
  <si>
    <t>STHONLIN2510003446</t>
  </si>
  <si>
    <t>ชัยนรินทร์ โชโต</t>
  </si>
  <si>
    <t>STHONLIN2510003561</t>
  </si>
  <si>
    <t>10/18/2025</t>
  </si>
  <si>
    <t>STHONLIN2510003634</t>
  </si>
  <si>
    <t>นาย จิรายุ งามวัฒนะศิลป์</t>
  </si>
  <si>
    <t>STHONLIN2510003694</t>
  </si>
  <si>
    <t>STHONLIN2510003717</t>
  </si>
  <si>
    <t>STHONLIN2510003725</t>
  </si>
  <si>
    <t>STHONLIN2510003727</t>
  </si>
  <si>
    <t>ธนอนันต์ ศิรโภคินรัตนชัย</t>
  </si>
  <si>
    <t xml:space="preserve">              สรุปยอด บิลออนไลน์  จัดส่ง / นำเข้า DP ดึงตั้งแต่   19  ตุลาคม  2568                                                                                                </t>
  </si>
  <si>
    <t>STHONLIN2510003765</t>
  </si>
  <si>
    <t>17.22 น.</t>
  </si>
  <si>
    <t>STHONLIN2510003785</t>
  </si>
  <si>
    <t>19.06 น.</t>
  </si>
  <si>
    <t>STHONLIN2510003817</t>
  </si>
  <si>
    <t>นาย ภักค์ จันทวรรณ</t>
  </si>
  <si>
    <t>20.12 น.</t>
  </si>
  <si>
    <t>STHONLIN2510003996</t>
  </si>
  <si>
    <t>นาง ดุษณี เจมส์</t>
  </si>
  <si>
    <t>STHONLIN2510003997</t>
  </si>
  <si>
    <t>12.15 น.</t>
  </si>
  <si>
    <t xml:space="preserve">              สรุปยอด บิลออนไลน์  จัดส่ง / นำเข้า DP ดึงตั้งแต่   20  ตุลาคม  2568                                                                                                </t>
  </si>
  <si>
    <t>STHONLIN2510004017</t>
  </si>
  <si>
    <t>บุญชัย สุทธิไตรรงค์</t>
  </si>
  <si>
    <t>10/20/2025</t>
  </si>
  <si>
    <t>STHONLIN2510004121</t>
  </si>
  <si>
    <t>นางฐิติยา เพ็ชร์พันธ์</t>
  </si>
  <si>
    <t xml:space="preserve">              สรุปยอด บิลออนไลน์  จัดส่ง / นำเข้า DP ดึงตั้งแต่   21  ตุลาคม  2568                                                                                                </t>
  </si>
  <si>
    <t>gift voucher</t>
  </si>
  <si>
    <t>STHONLIN2510004439</t>
  </si>
  <si>
    <t>นางสาว วาสนา บุญเกษม</t>
  </si>
  <si>
    <t>STHONLIN2510004442</t>
  </si>
  <si>
    <t xml:space="preserve">              สรุปยอด บิลออนไลน์  จัดส่ง / นำเข้า DP ดึงตั้งแต่   22  ตุลาคม  2568                                                                                                </t>
  </si>
  <si>
    <t>STHONLIN2510004713</t>
  </si>
  <si>
    <t>STHONLIN2510004717</t>
  </si>
  <si>
    <t xml:space="preserve">              สรุปยอด บิลออนไลน์  จัดส่ง / นำเข้า DP ดึงตั้งแต่   24  ตุลาคม  2568                                                                                                </t>
  </si>
  <si>
    <t>10/23/2025</t>
  </si>
  <si>
    <t>STHONLIN2510004955</t>
  </si>
  <si>
    <t>นายรณฤทธิ์ นาที</t>
  </si>
  <si>
    <t>STHONLIN2510005000</t>
  </si>
  <si>
    <t>กิตติโชติ ปฐมาขจรพงศ์</t>
  </si>
  <si>
    <t>10/24/2025</t>
  </si>
  <si>
    <t>STHONLIN2510005230</t>
  </si>
  <si>
    <t>นาย สุรพล จันทรานุรักษ์</t>
  </si>
  <si>
    <t>STHONLIN2510005249</t>
  </si>
  <si>
    <t>นางสาว ประภัสสร  ดีดวงพันธ์</t>
  </si>
  <si>
    <t>STHONLIN2510005251</t>
  </si>
  <si>
    <t>STHONLIN2510005253</t>
  </si>
  <si>
    <t>STHONLIN2510005265</t>
  </si>
  <si>
    <t>นางพรพรรณ วัฒนสิน</t>
  </si>
  <si>
    <t xml:space="preserve">              สรุปยอด บิลออนไลน์  จัดส่ง / นำเข้า DP ดึงตั้งแต่   25  ตุลาคม  2568                                                                                                </t>
  </si>
  <si>
    <t>STHONLIN2510005425</t>
  </si>
  <si>
    <t>นางสาว พิมพ์ชญา สุริยปรีชาพงษ์</t>
  </si>
  <si>
    <t>11.48 น.</t>
  </si>
  <si>
    <t xml:space="preserve">              สรุปยอด บิลออนไลน์  จัดส่ง / นำเข้า DP ดึงตั้งแต่   27 ตุลาคม  2568                                                                                                </t>
  </si>
  <si>
    <t>STHONLIN2510005757</t>
  </si>
  <si>
    <t>นาง อริยา สุขเกษม</t>
  </si>
  <si>
    <t>06.24. น.</t>
  </si>
  <si>
    <t>STHONLIN2510005758</t>
  </si>
  <si>
    <t>นาย สาธิต คำรังษี</t>
  </si>
  <si>
    <t xml:space="preserve">              สรุปยอด บิลออนไลน์  จัดส่ง / นำเข้า DP ดึงตั้งแต่   28 ตุลาคม  2568                                                                                                </t>
  </si>
  <si>
    <t>ไม่มีบิลออนไลน์</t>
  </si>
  <si>
    <t xml:space="preserve">              สรุปยอด บิลออนไลน์  จัดส่ง / นำเข้า DP ดึงตั้งแต่   29 ตุลาคม  2568                                                                                                </t>
  </si>
  <si>
    <t>STHONLIN2510006098</t>
  </si>
  <si>
    <t>นางสาว มัลลิกา พลรัตน์</t>
  </si>
  <si>
    <t>17.30 น.</t>
  </si>
  <si>
    <t>STHONLIN2510006328</t>
  </si>
  <si>
    <t>12.33 น.</t>
  </si>
  <si>
    <t>STHONLIN2510006342</t>
  </si>
  <si>
    <t>นาย ธนบูลย์ แสงฐิตาพันธุ์</t>
  </si>
  <si>
    <t>13.47 น.</t>
  </si>
  <si>
    <t xml:space="preserve">              สรุปยอด บิลออนไลน์  จัดส่ง / นำเข้า DP ดึงตั้งแต่  30 ตุลาคม  2568                                                                                                </t>
  </si>
  <si>
    <t>STHONLIN2510006677</t>
  </si>
  <si>
    <t>12.24 น.</t>
  </si>
  <si>
    <t>STHONLIN2510006701</t>
  </si>
  <si>
    <t>บริษัท เศรษฐกวี จำกัด ( สำนักงานใหญ่ )</t>
  </si>
  <si>
    <t>16.40 น.</t>
  </si>
  <si>
    <t>STHONLIN2510006705</t>
  </si>
  <si>
    <t>กิตติศักดิ์ ฐานพีรสิทธิ์</t>
  </si>
  <si>
    <t>16.47 น.</t>
  </si>
  <si>
    <t>STHONLIN2510006707</t>
  </si>
  <si>
    <t>16.49 น.</t>
  </si>
  <si>
    <t xml:space="preserve">              สรุปยอด บิลออนไลน์  จัดส่ง / นำเข้า DP ดึงตั้งแต่  31 ตุลาคม  2568                                                                                                </t>
  </si>
  <si>
    <t>STHONLIN2510007014</t>
  </si>
  <si>
    <t>08.02 น.</t>
  </si>
  <si>
    <t>STHONLIN2510007022</t>
  </si>
  <si>
    <t>09.58 น.</t>
  </si>
  <si>
    <t>STHONLIN2510007023</t>
  </si>
  <si>
    <t>10.02 น.</t>
  </si>
  <si>
    <t>STHONLIN2510007024</t>
  </si>
  <si>
    <t>10.25 น.</t>
  </si>
  <si>
    <t>STHONLIN2510007025</t>
  </si>
  <si>
    <t>นางสาว ริญญ์รภัส ศรีศุภณัฐธนากุล</t>
  </si>
  <si>
    <t>10.28 น.</t>
  </si>
  <si>
    <t>STHONLIN2510007026</t>
  </si>
  <si>
    <t>นาย เก่งภพ ศุภาภพปภาส</t>
  </si>
  <si>
    <t>10.36 น.</t>
  </si>
  <si>
    <t>STHONLIN2510007035</t>
  </si>
  <si>
    <t>นาย ดำรงค์ ปฏิสังข์</t>
  </si>
  <si>
    <t>11.24 น.</t>
  </si>
  <si>
    <t>STHONLIN2510007073</t>
  </si>
  <si>
    <t>นางสาว ภาพิมล ฉัตรเฉลิมวิทย์</t>
  </si>
  <si>
    <t>12.16 น.</t>
  </si>
  <si>
    <t>STHONLIN2510007078</t>
  </si>
  <si>
    <t>นางสาว ณัฐนันท์ เจริญศิริวิชญกุล</t>
  </si>
  <si>
    <t>STHONLIN2510007082</t>
  </si>
  <si>
    <t>12.31 น.</t>
  </si>
  <si>
    <t>STHONLIN2510007091</t>
  </si>
  <si>
    <t>13.31 น.</t>
  </si>
  <si>
    <t>STHONLIN2510007092</t>
  </si>
  <si>
    <t>13.40 น.</t>
  </si>
  <si>
    <t>13</t>
  </si>
  <si>
    <t>STHONLIN2510007104</t>
  </si>
  <si>
    <t>ชาญวิทย์ เอียดขาว</t>
  </si>
  <si>
    <t>14.09 น.</t>
  </si>
  <si>
    <t>14</t>
  </si>
  <si>
    <t>STHONLIN2510007106</t>
  </si>
  <si>
    <t>10.10 น.</t>
  </si>
  <si>
    <t>15</t>
  </si>
  <si>
    <t>STHONLIN2510007124</t>
  </si>
  <si>
    <t>นาง วิชญ์ชยา ภูธนโรจน์สิริ</t>
  </si>
  <si>
    <t>15.56 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</si>
</sst>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"/>
    <numFmt numFmtId="166" formatCode="d/m/yyyy"/>
  </numFmts>
  <fonts count="48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29.0"/>
      <color rgb="FF000000"/>
      <name val="Angsana New"/>
    </font>
    <font>
      <sz val="18.0"/>
      <color theme="1"/>
      <name val="Arial"/>
    </font>
    <font>
      <color theme="1"/>
      <name val="Arial"/>
    </font>
    <font>
      <sz val="29.0"/>
      <color theme="1"/>
      <name val="Aptos Narrow"/>
    </font>
    <font>
      <b/>
      <sz val="22.0"/>
      <color theme="1"/>
      <name val="Arial"/>
    </font>
    <font>
      <sz val="26.0"/>
      <color theme="1"/>
      <name val="Arial"/>
    </font>
    <font>
      <b/>
      <sz val="18.0"/>
      <color theme="1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23.0"/>
      <color theme="1"/>
      <name val="Arial"/>
    </font>
    <font>
      <b/>
      <sz val="26.0"/>
      <color rgb="FF000000"/>
      <name val="Arial"/>
    </font>
    <font>
      <b/>
      <sz val="29.0"/>
      <color rgb="FFFF0000"/>
      <name val="Arial"/>
    </font>
    <font>
      <b/>
      <sz val="22.0"/>
      <color rgb="FF000000"/>
      <name val="Arial"/>
    </font>
    <font>
      <sz val="22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19.0"/>
      <color theme="1"/>
      <name val="Arial"/>
    </font>
    <font>
      <sz val="23.0"/>
      <color theme="1"/>
      <name val="Arial"/>
    </font>
    <font>
      <b/>
      <sz val="26.0"/>
      <color theme="1"/>
      <name val="Arial"/>
    </font>
    <font>
      <sz val="21.0"/>
      <color theme="1"/>
      <name val="Arial"/>
    </font>
    <font>
      <sz val="20.0"/>
      <color theme="1"/>
      <name val="Arial"/>
    </font>
    <font>
      <sz val="26.0"/>
      <color rgb="FF000000"/>
      <name val="Arial"/>
    </font>
    <font>
      <b/>
      <sz val="19.0"/>
      <color theme="1"/>
      <name val="Aptos Narrow"/>
    </font>
    <font>
      <sz val="18.0"/>
      <color rgb="FFFF0000"/>
      <name val="Arial"/>
    </font>
    <font>
      <b/>
      <sz val="18.0"/>
      <color rgb="FFFF0000"/>
      <name val="Arial"/>
    </font>
    <font>
      <b/>
      <sz val="23.0"/>
      <color theme="1"/>
      <name val="Aptos Narrow"/>
    </font>
    <font>
      <sz val="17.0"/>
      <color rgb="FF000000"/>
      <name val="Arial"/>
    </font>
    <font>
      <b/>
      <sz val="26.0"/>
      <color rgb="FF000000"/>
      <name val="Angsana New"/>
    </font>
    <font>
      <sz val="26.0"/>
      <color rgb="FFFF0000"/>
      <name val="Arial"/>
    </font>
    <font>
      <sz val="19.0"/>
      <color rgb="FFFF0000"/>
      <name val="Arial"/>
    </font>
    <font>
      <sz val="24.0"/>
      <color theme="1"/>
      <name val="Arial"/>
    </font>
    <font>
      <sz val="27.0"/>
      <color theme="1"/>
      <name val="Arial"/>
    </font>
    <font>
      <sz val="25.0"/>
      <color theme="1"/>
      <name val="Arial"/>
    </font>
    <font>
      <sz val="25.0"/>
      <color rgb="FFFF0000"/>
      <name val="Arial"/>
    </font>
    <font>
      <sz val="25.0"/>
      <color rgb="FFCC4125"/>
      <name val="Arial"/>
    </font>
    <font>
      <sz val="21.0"/>
      <color rgb="FFFF0000"/>
      <name val="Arial"/>
    </font>
    <font>
      <sz val="23.0"/>
      <color rgb="FFFF0000"/>
      <name val="Arial"/>
    </font>
    <font>
      <sz val="27.0"/>
      <color rgb="FFFF0000"/>
      <name val="Arial"/>
    </font>
    <font>
      <b/>
      <sz val="22.0"/>
      <color theme="1"/>
      <name val="Aptos Narrow"/>
    </font>
    <font>
      <b/>
      <sz val="27.0"/>
      <color rgb="FFFF0000"/>
      <name val="Arial"/>
    </font>
    <font>
      <sz val="22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3" fillId="0" fontId="2" numFmtId="0" xfId="0" applyBorder="1" applyFont="1"/>
    <xf borderId="12" fillId="4" fontId="5" numFmtId="49" xfId="0" applyAlignment="1" applyBorder="1" applyFill="1" applyFont="1" applyNumberFormat="1">
      <alignment horizontal="center" shrinkToFit="0" vertical="center" wrapText="0"/>
    </xf>
    <xf borderId="12" fillId="0" fontId="6" numFmtId="164" xfId="0" applyAlignment="1" applyBorder="1" applyFont="1" applyNumberFormat="1">
      <alignment horizontal="right"/>
    </xf>
    <xf borderId="12" fillId="0" fontId="6" numFmtId="4" xfId="0" applyBorder="1" applyFont="1" applyNumberFormat="1"/>
    <xf borderId="12" fillId="0" fontId="6" numFmtId="1" xfId="0" applyAlignment="1" applyBorder="1" applyFont="1" applyNumberFormat="1">
      <alignment horizontal="right"/>
    </xf>
    <xf borderId="12" fillId="0" fontId="6" numFmtId="0" xfId="0" applyBorder="1" applyFont="1"/>
    <xf borderId="12" fillId="5" fontId="6" numFmtId="38" xfId="0" applyAlignment="1" applyBorder="1" applyFill="1" applyFont="1" applyNumberFormat="1">
      <alignment horizontal="center"/>
    </xf>
    <xf borderId="12" fillId="6" fontId="7" numFmtId="38" xfId="0" applyBorder="1" applyFill="1" applyFont="1" applyNumberFormat="1"/>
    <xf borderId="12" fillId="7" fontId="7" numFmtId="38" xfId="0" applyBorder="1" applyFill="1" applyFont="1" applyNumberFormat="1"/>
    <xf borderId="12" fillId="6" fontId="7" numFmtId="0" xfId="0" applyBorder="1" applyFont="1"/>
    <xf borderId="12" fillId="6" fontId="7" numFmtId="3" xfId="0" applyBorder="1" applyFont="1" applyNumberFormat="1"/>
    <xf borderId="12" fillId="0" fontId="7" numFmtId="0" xfId="0" applyBorder="1" applyFont="1"/>
    <xf borderId="0" fillId="0" fontId="8" numFmtId="0" xfId="0" applyFont="1"/>
    <xf borderId="13" fillId="4" fontId="9" numFmtId="0" xfId="0" applyAlignment="1" applyBorder="1" applyFont="1">
      <alignment horizontal="center" vertical="bottom"/>
    </xf>
    <xf borderId="13" fillId="4" fontId="4" numFmtId="4" xfId="0" applyAlignment="1" applyBorder="1" applyFont="1" applyNumberFormat="1">
      <alignment vertical="bottom"/>
    </xf>
    <xf borderId="13" fillId="4" fontId="9" numFmtId="1" xfId="0" applyAlignment="1" applyBorder="1" applyFont="1" applyNumberFormat="1">
      <alignment horizontal="center" vertical="bottom"/>
    </xf>
    <xf borderId="13" fillId="4" fontId="9" numFmtId="0" xfId="0" applyAlignment="1" applyBorder="1" applyFont="1">
      <alignment vertical="bottom"/>
    </xf>
    <xf borderId="13" fillId="4" fontId="10" numFmtId="38" xfId="0" applyAlignment="1" applyBorder="1" applyFont="1" applyNumberFormat="1">
      <alignment vertical="bottom"/>
    </xf>
    <xf borderId="13" fillId="4" fontId="11" numFmtId="38" xfId="0" applyAlignment="1" applyBorder="1" applyFont="1" applyNumberFormat="1">
      <alignment horizontal="right" vertical="bottom"/>
    </xf>
    <xf borderId="12" fillId="4" fontId="12" numFmtId="38" xfId="0" applyAlignment="1" applyBorder="1" applyFont="1" applyNumberFormat="1">
      <alignment vertical="bottom"/>
    </xf>
    <xf borderId="12" fillId="4" fontId="13" numFmtId="0" xfId="0" applyAlignment="1" applyBorder="1" applyFont="1">
      <alignment horizontal="center" shrinkToFit="0" vertical="center" wrapText="1"/>
    </xf>
    <xf borderId="12" fillId="4" fontId="14" numFmtId="3" xfId="0" applyAlignment="1" applyBorder="1" applyFont="1" applyNumberFormat="1">
      <alignment horizontal="center" shrinkToFit="0" vertical="center" wrapText="1"/>
    </xf>
    <xf borderId="10" fillId="4" fontId="15" numFmtId="0" xfId="0" applyAlignment="1" applyBorder="1" applyFont="1">
      <alignment horizontal="center" vertical="center"/>
    </xf>
    <xf borderId="12" fillId="4" fontId="16" numFmtId="0" xfId="0" applyAlignment="1" applyBorder="1" applyFont="1">
      <alignment horizontal="center" vertical="center"/>
    </xf>
    <xf borderId="10" fillId="4" fontId="17" numFmtId="0" xfId="0" applyAlignment="1" applyBorder="1" applyFont="1">
      <alignment horizontal="center" vertical="center"/>
    </xf>
    <xf borderId="12" fillId="8" fontId="5" numFmtId="49" xfId="0" applyAlignment="1" applyBorder="1" applyFill="1" applyFont="1" applyNumberFormat="1">
      <alignment horizontal="center" shrinkToFit="0" vertical="center" wrapText="0"/>
    </xf>
    <xf borderId="13" fillId="8" fontId="9" numFmtId="165" xfId="0" applyAlignment="1" applyBorder="1" applyFont="1" applyNumberFormat="1">
      <alignment horizontal="center" vertical="bottom"/>
    </xf>
    <xf borderId="13" fillId="8" fontId="4" numFmtId="4" xfId="0" applyAlignment="1" applyBorder="1" applyFont="1" applyNumberFormat="1">
      <alignment vertical="bottom"/>
    </xf>
    <xf borderId="13" fillId="8" fontId="9" numFmtId="1" xfId="0" applyAlignment="1" applyBorder="1" applyFont="1" applyNumberFormat="1">
      <alignment horizontal="center" vertical="bottom"/>
    </xf>
    <xf borderId="13" fillId="8" fontId="9" numFmtId="0" xfId="0" applyAlignment="1" applyBorder="1" applyFont="1">
      <alignment vertical="bottom"/>
    </xf>
    <xf borderId="13" fillId="8" fontId="10" numFmtId="38" xfId="0" applyAlignment="1" applyBorder="1" applyFont="1" applyNumberFormat="1">
      <alignment vertical="bottom"/>
    </xf>
    <xf borderId="13" fillId="8" fontId="11" numFmtId="38" xfId="0" applyAlignment="1" applyBorder="1" applyFont="1" applyNumberFormat="1">
      <alignment horizontal="right" vertical="bottom"/>
    </xf>
    <xf borderId="12" fillId="8" fontId="12" numFmtId="38" xfId="0" applyAlignment="1" applyBorder="1" applyFont="1" applyNumberFormat="1">
      <alignment vertical="bottom"/>
    </xf>
    <xf borderId="12" fillId="8" fontId="13" numFmtId="0" xfId="0" applyAlignment="1" applyBorder="1" applyFont="1">
      <alignment horizontal="center" shrinkToFit="0" vertical="center" wrapText="1"/>
    </xf>
    <xf borderId="12" fillId="8" fontId="14" numFmtId="3" xfId="0" applyAlignment="1" applyBorder="1" applyFont="1" applyNumberFormat="1">
      <alignment horizontal="center" shrinkToFit="0" vertical="center" wrapText="1"/>
    </xf>
    <xf borderId="10" fillId="8" fontId="15" numFmtId="0" xfId="0" applyAlignment="1" applyBorder="1" applyFont="1">
      <alignment horizontal="center" vertical="center"/>
    </xf>
    <xf borderId="12" fillId="8" fontId="16" numFmtId="0" xfId="0" applyAlignment="1" applyBorder="1" applyFont="1">
      <alignment horizontal="center" vertical="center"/>
    </xf>
    <xf borderId="10" fillId="8" fontId="17" numFmtId="0" xfId="0" applyAlignment="1" applyBorder="1" applyFont="1">
      <alignment horizontal="center" vertical="center"/>
    </xf>
    <xf borderId="13" fillId="8" fontId="4" numFmtId="166" xfId="0" applyAlignment="1" applyBorder="1" applyFont="1" applyNumberFormat="1">
      <alignment horizontal="center" vertical="bottom"/>
    </xf>
    <xf borderId="13" fillId="8" fontId="11" numFmtId="4" xfId="0" applyAlignment="1" applyBorder="1" applyFont="1" applyNumberFormat="1">
      <alignment vertical="bottom"/>
    </xf>
    <xf borderId="13" fillId="8" fontId="11" numFmtId="1" xfId="0" applyAlignment="1" applyBorder="1" applyFont="1" applyNumberFormat="1">
      <alignment horizontal="center" vertical="bottom"/>
    </xf>
    <xf borderId="13" fillId="8" fontId="11" numFmtId="0" xfId="0" applyAlignment="1" applyBorder="1" applyFont="1">
      <alignment vertical="bottom"/>
    </xf>
    <xf borderId="13" fillId="8" fontId="18" numFmtId="38" xfId="0" applyAlignment="1" applyBorder="1" applyFont="1" applyNumberFormat="1">
      <alignment vertical="bottom"/>
    </xf>
    <xf borderId="12" fillId="8" fontId="12" numFmtId="38" xfId="0" applyAlignment="1" applyBorder="1" applyFont="1" applyNumberFormat="1">
      <alignment horizontal="right" vertical="bottom"/>
    </xf>
    <xf borderId="1" fillId="9" fontId="19" numFmtId="0" xfId="0" applyAlignment="1" applyBorder="1" applyFill="1" applyFont="1">
      <alignment horizontal="center"/>
    </xf>
    <xf borderId="14" fillId="9" fontId="20" numFmtId="3" xfId="0" applyAlignment="1" applyBorder="1" applyFont="1" applyNumberFormat="1">
      <alignment horizontal="center"/>
    </xf>
    <xf borderId="12" fillId="9" fontId="21" numFmtId="3" xfId="0" applyAlignment="1" applyBorder="1" applyFont="1" applyNumberFormat="1">
      <alignment horizontal="center"/>
    </xf>
    <xf borderId="12" fillId="9" fontId="22" numFmtId="3" xfId="0" applyAlignment="1" applyBorder="1" applyFont="1" applyNumberFormat="1">
      <alignment horizontal="right"/>
    </xf>
    <xf borderId="1" fillId="10" fontId="20" numFmtId="3" xfId="0" applyAlignment="1" applyBorder="1" applyFill="1" applyFont="1" applyNumberFormat="1">
      <alignment horizontal="center" vertical="top"/>
    </xf>
    <xf borderId="12" fillId="4" fontId="6" numFmtId="38" xfId="0" applyAlignment="1" applyBorder="1" applyFont="1" applyNumberFormat="1">
      <alignment horizontal="center"/>
    </xf>
    <xf borderId="12" fillId="4" fontId="23" numFmtId="38" xfId="0" applyBorder="1" applyFont="1" applyNumberFormat="1"/>
    <xf borderId="12" fillId="4" fontId="7" numFmtId="38" xfId="0" applyBorder="1" applyFont="1" applyNumberFormat="1"/>
    <xf borderId="12" fillId="4" fontId="7" numFmtId="0" xfId="0" applyBorder="1" applyFont="1"/>
    <xf borderId="12" fillId="4" fontId="7" numFmtId="3" xfId="0" applyBorder="1" applyFont="1" applyNumberFormat="1"/>
    <xf borderId="12" fillId="0" fontId="6" numFmtId="0" xfId="0" applyAlignment="1" applyBorder="1" applyFont="1">
      <alignment horizontal="center"/>
    </xf>
    <xf borderId="12" fillId="4" fontId="24" numFmtId="38" xfId="0" applyBorder="1" applyFont="1" applyNumberFormat="1"/>
    <xf borderId="12" fillId="4" fontId="24" numFmtId="0" xfId="0" applyBorder="1" applyFont="1"/>
    <xf borderId="12" fillId="4" fontId="24" numFmtId="3" xfId="0" applyBorder="1" applyFont="1" applyNumberFormat="1"/>
    <xf borderId="13" fillId="4" fontId="9" numFmtId="166" xfId="0" applyAlignment="1" applyBorder="1" applyFont="1" applyNumberFormat="1">
      <alignment horizontal="center" vertical="bottom"/>
    </xf>
    <xf borderId="12" fillId="8" fontId="6" numFmtId="3" xfId="0" applyAlignment="1" applyBorder="1" applyFont="1" applyNumberFormat="1">
      <alignment horizontal="center"/>
    </xf>
    <xf borderId="10" fillId="3" fontId="25" numFmtId="0" xfId="0" applyAlignment="1" applyBorder="1" applyFont="1">
      <alignment horizontal="center"/>
    </xf>
    <xf borderId="12" fillId="4" fontId="26" numFmtId="3" xfId="0" applyAlignment="1" applyBorder="1" applyFont="1" applyNumberFormat="1">
      <alignment horizontal="center" vertical="center"/>
    </xf>
    <xf borderId="13" fillId="8" fontId="11" numFmtId="0" xfId="0" applyAlignment="1" applyBorder="1" applyFont="1">
      <alignment horizontal="center" vertical="center"/>
    </xf>
    <xf borderId="12" fillId="0" fontId="6" numFmtId="1" xfId="0" applyAlignment="1" applyBorder="1" applyFont="1" applyNumberFormat="1">
      <alignment horizontal="center"/>
    </xf>
    <xf borderId="12" fillId="4" fontId="27" numFmtId="38" xfId="0" applyBorder="1" applyFont="1" applyNumberFormat="1"/>
    <xf borderId="13" fillId="8" fontId="23" numFmtId="166" xfId="0" applyAlignment="1" applyBorder="1" applyFont="1" applyNumberFormat="1">
      <alignment horizontal="center" vertical="bottom"/>
    </xf>
    <xf borderId="13" fillId="8" fontId="6" numFmtId="4" xfId="0" applyAlignment="1" applyBorder="1" applyFont="1" applyNumberFormat="1">
      <alignment vertical="bottom"/>
    </xf>
    <xf borderId="13" fillId="8" fontId="6" numFmtId="1" xfId="0" applyAlignment="1" applyBorder="1" applyFont="1" applyNumberFormat="1">
      <alignment horizontal="center" vertical="bottom"/>
    </xf>
    <xf borderId="13" fillId="8" fontId="6" numFmtId="0" xfId="0" applyAlignment="1" applyBorder="1" applyFont="1">
      <alignment horizontal="left" vertical="center"/>
    </xf>
    <xf borderId="12" fillId="8" fontId="24" numFmtId="3" xfId="0" applyAlignment="1" applyBorder="1" applyFont="1" applyNumberFormat="1">
      <alignment horizontal="center" shrinkToFit="0" vertical="center" wrapText="1"/>
    </xf>
    <xf borderId="10" fillId="8" fontId="28" numFmtId="0" xfId="0" applyAlignment="1" applyBorder="1" applyFont="1">
      <alignment horizontal="center" vertical="center"/>
    </xf>
    <xf borderId="13" fillId="8" fontId="6" numFmtId="0" xfId="0" applyAlignment="1" applyBorder="1" applyFont="1">
      <alignment vertical="bottom"/>
    </xf>
    <xf borderId="13" fillId="8" fontId="12" numFmtId="38" xfId="0" applyAlignment="1" applyBorder="1" applyFont="1" applyNumberFormat="1">
      <alignment horizontal="right" vertical="bottom"/>
    </xf>
    <xf borderId="10" fillId="3" fontId="4" numFmtId="0" xfId="0" applyAlignment="1" applyBorder="1" applyFont="1">
      <alignment horizontal="center"/>
    </xf>
    <xf borderId="11" fillId="3" fontId="29" numFmtId="0" xfId="0" applyAlignment="1" applyBorder="1" applyFont="1">
      <alignment horizontal="center"/>
    </xf>
    <xf borderId="11" fillId="3" fontId="4" numFmtId="0" xfId="0" applyAlignment="1" applyBorder="1" applyFont="1">
      <alignment horizontal="center"/>
    </xf>
    <xf borderId="12" fillId="3" fontId="29" numFmtId="0" xfId="0" applyAlignment="1" applyBorder="1" applyFont="1">
      <alignment horizontal="center"/>
    </xf>
    <xf borderId="12" fillId="11" fontId="5" numFmtId="49" xfId="0" applyAlignment="1" applyBorder="1" applyFill="1" applyFont="1" applyNumberFormat="1">
      <alignment horizontal="center" shrinkToFit="0" vertical="center" wrapText="0"/>
    </xf>
    <xf borderId="12" fillId="11" fontId="6" numFmtId="164" xfId="0" applyAlignment="1" applyBorder="1" applyFont="1" applyNumberFormat="1">
      <alignment horizontal="right"/>
    </xf>
    <xf borderId="12" fillId="11" fontId="6" numFmtId="4" xfId="0" applyBorder="1" applyFont="1" applyNumberFormat="1"/>
    <xf borderId="12" fillId="11" fontId="6" numFmtId="1" xfId="0" applyAlignment="1" applyBorder="1" applyFont="1" applyNumberFormat="1">
      <alignment horizontal="center"/>
    </xf>
    <xf borderId="12" fillId="11" fontId="6" numFmtId="0" xfId="0" applyBorder="1" applyFont="1"/>
    <xf borderId="12" fillId="11" fontId="6" numFmtId="38" xfId="0" applyAlignment="1" applyBorder="1" applyFont="1" applyNumberFormat="1">
      <alignment horizontal="center"/>
    </xf>
    <xf borderId="13" fillId="11" fontId="11" numFmtId="38" xfId="0" applyAlignment="1" applyBorder="1" applyFont="1" applyNumberFormat="1">
      <alignment horizontal="right" vertical="bottom"/>
    </xf>
    <xf borderId="12" fillId="11" fontId="27" numFmtId="38" xfId="0" applyBorder="1" applyFont="1" applyNumberFormat="1"/>
    <xf borderId="12" fillId="11" fontId="7" numFmtId="0" xfId="0" applyBorder="1" applyFont="1"/>
    <xf borderId="12" fillId="11" fontId="7" numFmtId="3" xfId="0" applyBorder="1" applyFont="1" applyNumberFormat="1"/>
    <xf borderId="12" fillId="11" fontId="6" numFmtId="0" xfId="0" applyAlignment="1" applyBorder="1" applyFont="1">
      <alignment horizontal="center"/>
    </xf>
    <xf borderId="12" fillId="11" fontId="30" numFmtId="0" xfId="0" applyAlignment="1" applyBorder="1" applyFont="1">
      <alignment horizontal="center" vertical="center"/>
    </xf>
    <xf borderId="12" fillId="11" fontId="6" numFmtId="3" xfId="0" applyAlignment="1" applyBorder="1" applyFont="1" applyNumberFormat="1">
      <alignment horizontal="center"/>
    </xf>
    <xf borderId="12" fillId="0" fontId="30" numFmtId="0" xfId="0" applyAlignment="1" applyBorder="1" applyFont="1">
      <alignment horizontal="center" vertical="center"/>
    </xf>
    <xf borderId="12" fillId="8" fontId="31" numFmtId="0" xfId="0" applyAlignment="1" applyBorder="1" applyFont="1">
      <alignment horizontal="center" vertical="center"/>
    </xf>
    <xf borderId="12" fillId="4" fontId="6" numFmtId="164" xfId="0" applyAlignment="1" applyBorder="1" applyFont="1" applyNumberFormat="1">
      <alignment horizontal="right"/>
    </xf>
    <xf borderId="12" fillId="4" fontId="6" numFmtId="4" xfId="0" applyBorder="1" applyFont="1" applyNumberFormat="1"/>
    <xf borderId="12" fillId="4" fontId="6" numFmtId="1" xfId="0" applyAlignment="1" applyBorder="1" applyFont="1" applyNumberFormat="1">
      <alignment horizontal="center"/>
    </xf>
    <xf borderId="12" fillId="4" fontId="6" numFmtId="0" xfId="0" applyBorder="1" applyFont="1"/>
    <xf borderId="12" fillId="4" fontId="6" numFmtId="0" xfId="0" applyAlignment="1" applyBorder="1" applyFont="1">
      <alignment horizontal="center"/>
    </xf>
    <xf borderId="12" fillId="4" fontId="30" numFmtId="0" xfId="0" applyAlignment="1" applyBorder="1" applyFont="1">
      <alignment horizontal="center" vertical="center"/>
    </xf>
    <xf borderId="12" fillId="4" fontId="24" numFmtId="3" xfId="0" applyAlignment="1" applyBorder="1" applyFont="1" applyNumberFormat="1">
      <alignment horizontal="center"/>
    </xf>
    <xf borderId="12" fillId="8" fontId="24" numFmtId="3" xfId="0" applyAlignment="1" applyBorder="1" applyFont="1" applyNumberFormat="1">
      <alignment horizontal="center"/>
    </xf>
    <xf borderId="12" fillId="4" fontId="24" numFmtId="3" xfId="0" applyAlignment="1" applyBorder="1" applyFont="1" applyNumberFormat="1">
      <alignment horizontal="center" vertical="center"/>
    </xf>
    <xf borderId="12" fillId="8" fontId="14" numFmtId="38" xfId="0" applyAlignment="1" applyBorder="1" applyFont="1" applyNumberFormat="1">
      <alignment vertical="bottom"/>
    </xf>
    <xf borderId="12" fillId="8" fontId="32" numFmtId="0" xfId="0" applyAlignment="1" applyBorder="1" applyFont="1">
      <alignment horizontal="center" shrinkToFit="0" vertical="center" wrapText="1"/>
    </xf>
    <xf borderId="10" fillId="8" fontId="33" numFmtId="0" xfId="0" applyAlignment="1" applyBorder="1" applyFont="1">
      <alignment horizontal="center" vertical="center"/>
    </xf>
    <xf borderId="12" fillId="8" fontId="30" numFmtId="0" xfId="0" applyAlignment="1" applyBorder="1" applyFont="1">
      <alignment horizontal="center" vertical="center"/>
    </xf>
    <xf borderId="12" fillId="4" fontId="34" numFmtId="49" xfId="0" applyAlignment="1" applyBorder="1" applyFont="1" applyNumberFormat="1">
      <alignment horizontal="center" shrinkToFit="0" vertical="center" wrapText="0"/>
    </xf>
    <xf borderId="12" fillId="4" fontId="24" numFmtId="164" xfId="0" applyAlignment="1" applyBorder="1" applyFont="1" applyNumberFormat="1">
      <alignment horizontal="right"/>
    </xf>
    <xf borderId="12" fillId="4" fontId="27" numFmtId="4" xfId="0" applyBorder="1" applyFont="1" applyNumberFormat="1"/>
    <xf borderId="12" fillId="4" fontId="10" numFmtId="1" xfId="0" applyAlignment="1" applyBorder="1" applyFont="1" applyNumberFormat="1">
      <alignment horizontal="center"/>
    </xf>
    <xf borderId="12" fillId="4" fontId="10" numFmtId="0" xfId="0" applyBorder="1" applyFont="1"/>
    <xf borderId="12" fillId="4" fontId="10" numFmtId="38" xfId="0" applyAlignment="1" applyBorder="1" applyFont="1" applyNumberFormat="1">
      <alignment horizontal="center"/>
    </xf>
    <xf borderId="13" fillId="4" fontId="25" numFmtId="38" xfId="0" applyAlignment="1" applyBorder="1" applyFont="1" applyNumberFormat="1">
      <alignment horizontal="right" vertical="bottom"/>
    </xf>
    <xf borderId="12" fillId="4" fontId="10" numFmtId="38" xfId="0" applyBorder="1" applyFont="1" applyNumberFormat="1"/>
    <xf borderId="12" fillId="4" fontId="10" numFmtId="3" xfId="0" applyBorder="1" applyFont="1" applyNumberFormat="1"/>
    <xf borderId="12" fillId="4" fontId="10" numFmtId="0" xfId="0" applyAlignment="1" applyBorder="1" applyFont="1">
      <alignment horizontal="center"/>
    </xf>
    <xf borderId="12" fillId="4" fontId="35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2" fillId="4" fontId="24" numFmtId="0" xfId="0" applyAlignment="1" applyBorder="1" applyFont="1">
      <alignment horizontal="right" readingOrder="0"/>
    </xf>
    <xf borderId="12" fillId="4" fontId="27" numFmtId="4" xfId="0" applyAlignment="1" applyBorder="1" applyFont="1" applyNumberFormat="1">
      <alignment readingOrder="0"/>
    </xf>
    <xf borderId="12" fillId="4" fontId="10" numFmtId="1" xfId="0" applyAlignment="1" applyBorder="1" applyFont="1" applyNumberFormat="1">
      <alignment horizontal="center" readingOrder="0"/>
    </xf>
    <xf borderId="12" fillId="4" fontId="10" numFmtId="0" xfId="0" applyAlignment="1" applyBorder="1" applyFont="1">
      <alignment readingOrder="0"/>
    </xf>
    <xf borderId="12" fillId="4" fontId="10" numFmtId="38" xfId="0" applyAlignment="1" applyBorder="1" applyFont="1" applyNumberFormat="1">
      <alignment readingOrder="0"/>
    </xf>
    <xf borderId="12" fillId="4" fontId="6" numFmtId="0" xfId="0" applyAlignment="1" applyBorder="1" applyFont="1">
      <alignment horizontal="right" readingOrder="0"/>
    </xf>
    <xf borderId="12" fillId="4" fontId="6" numFmtId="4" xfId="0" applyAlignment="1" applyBorder="1" applyFont="1" applyNumberFormat="1">
      <alignment readingOrder="0"/>
    </xf>
    <xf borderId="12" fillId="4" fontId="6" numFmtId="1" xfId="0" applyAlignment="1" applyBorder="1" applyFont="1" applyNumberFormat="1">
      <alignment horizontal="center" readingOrder="0"/>
    </xf>
    <xf borderId="12" fillId="4" fontId="6" numFmtId="0" xfId="0" applyAlignment="1" applyBorder="1" applyFont="1">
      <alignment readingOrder="0"/>
    </xf>
    <xf borderId="12" fillId="4" fontId="24" numFmtId="38" xfId="0" applyAlignment="1" applyBorder="1" applyFont="1" applyNumberFormat="1">
      <alignment readingOrder="0"/>
    </xf>
    <xf borderId="12" fillId="0" fontId="6" numFmtId="0" xfId="0" applyAlignment="1" applyBorder="1" applyFont="1">
      <alignment horizontal="right" readingOrder="0"/>
    </xf>
    <xf borderId="12" fillId="0" fontId="6" numFmtId="4" xfId="0" applyAlignment="1" applyBorder="1" applyFont="1" applyNumberFormat="1">
      <alignment readingOrder="0"/>
    </xf>
    <xf borderId="12" fillId="0" fontId="6" numFmtId="1" xfId="0" applyAlignment="1" applyBorder="1" applyFont="1" applyNumberFormat="1">
      <alignment horizontal="center" readingOrder="0"/>
    </xf>
    <xf borderId="12" fillId="0" fontId="6" numFmtId="0" xfId="0" applyAlignment="1" applyBorder="1" applyFont="1">
      <alignment readingOrder="0"/>
    </xf>
    <xf borderId="12" fillId="4" fontId="6" numFmtId="38" xfId="0" applyAlignment="1" applyBorder="1" applyFont="1" applyNumberFormat="1">
      <alignment horizontal="center" readingOrder="0"/>
    </xf>
    <xf borderId="13" fillId="8" fontId="23" numFmtId="0" xfId="0" applyAlignment="1" applyBorder="1" applyFont="1">
      <alignment horizontal="center" readingOrder="0" vertical="bottom"/>
    </xf>
    <xf borderId="13" fillId="8" fontId="6" numFmtId="4" xfId="0" applyAlignment="1" applyBorder="1" applyFont="1" applyNumberFormat="1">
      <alignment readingOrder="0" vertical="bottom"/>
    </xf>
    <xf borderId="13" fillId="8" fontId="6" numFmtId="1" xfId="0" applyAlignment="1" applyBorder="1" applyFont="1" applyNumberFormat="1">
      <alignment horizontal="center" readingOrder="0" vertical="bottom"/>
    </xf>
    <xf borderId="13" fillId="8" fontId="6" numFmtId="0" xfId="0" applyAlignment="1" applyBorder="1" applyFont="1">
      <alignment horizontal="left" readingOrder="0" vertical="center"/>
    </xf>
    <xf borderId="13" fillId="8" fontId="11" numFmtId="38" xfId="0" applyAlignment="1" applyBorder="1" applyFont="1" applyNumberFormat="1">
      <alignment readingOrder="0" vertical="bottom"/>
    </xf>
    <xf borderId="13" fillId="8" fontId="6" numFmtId="0" xfId="0" applyAlignment="1" applyBorder="1" applyFont="1">
      <alignment readingOrder="0" vertical="bottom"/>
    </xf>
    <xf borderId="12" fillId="8" fontId="12" numFmtId="38" xfId="0" applyAlignment="1" applyBorder="1" applyFont="1" applyNumberFormat="1">
      <alignment readingOrder="0" vertical="bottom"/>
    </xf>
    <xf borderId="12" fillId="6" fontId="34" numFmtId="49" xfId="0" applyAlignment="1" applyBorder="1" applyFont="1" applyNumberFormat="1">
      <alignment horizontal="center" shrinkToFit="0" vertical="center" wrapText="0"/>
    </xf>
    <xf borderId="12" fillId="6" fontId="26" numFmtId="166" xfId="0" applyAlignment="1" applyBorder="1" applyFont="1" applyNumberFormat="1">
      <alignment horizontal="right" readingOrder="0"/>
    </xf>
    <xf borderId="12" fillId="6" fontId="26" numFmtId="4" xfId="0" applyAlignment="1" applyBorder="1" applyFont="1" applyNumberFormat="1">
      <alignment readingOrder="0"/>
    </xf>
    <xf borderId="12" fillId="6" fontId="26" numFmtId="1" xfId="0" applyAlignment="1" applyBorder="1" applyFont="1" applyNumberFormat="1">
      <alignment horizontal="center" readingOrder="0"/>
    </xf>
    <xf borderId="12" fillId="6" fontId="26" numFmtId="0" xfId="0" applyAlignment="1" applyBorder="1" applyFont="1">
      <alignment readingOrder="0"/>
    </xf>
    <xf borderId="12" fillId="6" fontId="10" numFmtId="38" xfId="0" applyAlignment="1" applyBorder="1" applyFont="1" applyNumberFormat="1">
      <alignment horizontal="center" readingOrder="0"/>
    </xf>
    <xf borderId="13" fillId="6" fontId="25" numFmtId="38" xfId="0" applyAlignment="1" applyBorder="1" applyFont="1" applyNumberFormat="1">
      <alignment horizontal="right" vertical="bottom"/>
    </xf>
    <xf borderId="12" fillId="6" fontId="10" numFmtId="38" xfId="0" applyAlignment="1" applyBorder="1" applyFont="1" applyNumberFormat="1">
      <alignment readingOrder="0"/>
    </xf>
    <xf borderId="12" fillId="6" fontId="10" numFmtId="0" xfId="0" applyBorder="1" applyFont="1"/>
    <xf borderId="12" fillId="6" fontId="10" numFmtId="3" xfId="0" applyBorder="1" applyFont="1" applyNumberFormat="1"/>
    <xf borderId="12" fillId="6" fontId="6" numFmtId="0" xfId="0" applyAlignment="1" applyBorder="1" applyFont="1">
      <alignment horizontal="center" readingOrder="0"/>
    </xf>
    <xf borderId="12" fillId="6" fontId="36" numFmtId="0" xfId="0" applyAlignment="1" applyBorder="1" applyFont="1">
      <alignment horizontal="center" readingOrder="0" vertical="center"/>
    </xf>
    <xf borderId="12" fillId="6" fontId="6" numFmtId="0" xfId="0" applyAlignment="1" applyBorder="1" applyFont="1">
      <alignment readingOrder="0"/>
    </xf>
    <xf borderId="12" fillId="6" fontId="5" numFmtId="49" xfId="0" applyAlignment="1" applyBorder="1" applyFont="1" applyNumberFormat="1">
      <alignment horizontal="center" shrinkToFit="0" vertical="center" wrapText="0"/>
    </xf>
    <xf borderId="12" fillId="6" fontId="6" numFmtId="166" xfId="0" applyAlignment="1" applyBorder="1" applyFont="1" applyNumberFormat="1">
      <alignment horizontal="right" readingOrder="0"/>
    </xf>
    <xf borderId="12" fillId="6" fontId="6" numFmtId="4" xfId="0" applyAlignment="1" applyBorder="1" applyFont="1" applyNumberFormat="1">
      <alignment readingOrder="0"/>
    </xf>
    <xf borderId="12" fillId="6" fontId="6" numFmtId="1" xfId="0" applyAlignment="1" applyBorder="1" applyFont="1" applyNumberFormat="1">
      <alignment horizontal="center" readingOrder="0"/>
    </xf>
    <xf borderId="12" fillId="6" fontId="6" numFmtId="38" xfId="0" applyAlignment="1" applyBorder="1" applyFont="1" applyNumberFormat="1">
      <alignment horizontal="center"/>
    </xf>
    <xf borderId="13" fillId="6" fontId="11" numFmtId="38" xfId="0" applyAlignment="1" applyBorder="1" applyFont="1" applyNumberFormat="1">
      <alignment horizontal="right" vertical="bottom"/>
    </xf>
    <xf borderId="12" fillId="6" fontId="24" numFmtId="38" xfId="0" applyAlignment="1" applyBorder="1" applyFont="1" applyNumberFormat="1">
      <alignment readingOrder="0"/>
    </xf>
    <xf borderId="12" fillId="6" fontId="24" numFmtId="0" xfId="0" applyBorder="1" applyFont="1"/>
    <xf borderId="12" fillId="6" fontId="24" numFmtId="3" xfId="0" applyAlignment="1" applyBorder="1" applyFont="1" applyNumberFormat="1">
      <alignment horizontal="center"/>
    </xf>
    <xf borderId="12" fillId="6" fontId="30" numFmtId="0" xfId="0" applyAlignment="1" applyBorder="1" applyFont="1">
      <alignment horizontal="center" readingOrder="0" vertical="center"/>
    </xf>
    <xf borderId="12" fillId="6" fontId="6" numFmtId="38" xfId="0" applyAlignment="1" applyBorder="1" applyFont="1" applyNumberFormat="1">
      <alignment horizontal="center" readingOrder="0"/>
    </xf>
    <xf borderId="12" fillId="6" fontId="6" numFmtId="3" xfId="0" applyAlignment="1" applyBorder="1" applyFont="1" applyNumberFormat="1">
      <alignment horizontal="center"/>
    </xf>
    <xf borderId="12" fillId="0" fontId="6" numFmtId="166" xfId="0" applyAlignment="1" applyBorder="1" applyFont="1" applyNumberFormat="1">
      <alignment horizontal="right" readingOrder="0"/>
    </xf>
    <xf borderId="12" fillId="4" fontId="6" numFmtId="0" xfId="0" applyAlignment="1" applyBorder="1" applyFont="1">
      <alignment horizontal="center" readingOrder="0"/>
    </xf>
    <xf borderId="12" fillId="4" fontId="5" numFmtId="49" xfId="0" applyAlignment="1" applyBorder="1" applyFont="1" applyNumberFormat="1">
      <alignment horizontal="center" readingOrder="0" shrinkToFit="0" vertical="center" wrapText="0"/>
    </xf>
    <xf borderId="12" fillId="4" fontId="23" numFmtId="38" xfId="0" applyAlignment="1" applyBorder="1" applyFont="1" applyNumberFormat="1">
      <alignment readingOrder="0"/>
    </xf>
    <xf borderId="12" fillId="0" fontId="30" numFmtId="0" xfId="0" applyAlignment="1" applyBorder="1" applyFont="1">
      <alignment horizontal="center" readingOrder="0" vertical="center"/>
    </xf>
    <xf borderId="12" fillId="8" fontId="34" numFmtId="49" xfId="0" applyAlignment="1" applyBorder="1" applyFont="1" applyNumberFormat="1">
      <alignment horizontal="center" shrinkToFit="0" vertical="center" wrapText="0"/>
    </xf>
    <xf borderId="12" fillId="8" fontId="26" numFmtId="166" xfId="0" applyAlignment="1" applyBorder="1" applyFont="1" applyNumberFormat="1">
      <alignment horizontal="right" readingOrder="0"/>
    </xf>
    <xf borderId="12" fillId="8" fontId="26" numFmtId="4" xfId="0" applyAlignment="1" applyBorder="1" applyFont="1" applyNumberFormat="1">
      <alignment readingOrder="0"/>
    </xf>
    <xf borderId="12" fillId="8" fontId="26" numFmtId="1" xfId="0" applyAlignment="1" applyBorder="1" applyFont="1" applyNumberFormat="1">
      <alignment horizontal="center" readingOrder="0"/>
    </xf>
    <xf borderId="12" fillId="8" fontId="26" numFmtId="0" xfId="0" applyAlignment="1" applyBorder="1" applyFont="1">
      <alignment readingOrder="0"/>
    </xf>
    <xf borderId="12" fillId="8" fontId="10" numFmtId="38" xfId="0" applyAlignment="1" applyBorder="1" applyFont="1" applyNumberFormat="1">
      <alignment horizontal="center" readingOrder="0"/>
    </xf>
    <xf borderId="13" fillId="8" fontId="25" numFmtId="38" xfId="0" applyAlignment="1" applyBorder="1" applyFont="1" applyNumberFormat="1">
      <alignment horizontal="right" vertical="bottom"/>
    </xf>
    <xf borderId="12" fillId="8" fontId="10" numFmtId="38" xfId="0" applyAlignment="1" applyBorder="1" applyFont="1" applyNumberFormat="1">
      <alignment readingOrder="0"/>
    </xf>
    <xf borderId="12" fillId="8" fontId="10" numFmtId="0" xfId="0" applyBorder="1" applyFont="1"/>
    <xf borderId="12" fillId="8" fontId="10" numFmtId="3" xfId="0" applyBorder="1" applyFont="1" applyNumberFormat="1"/>
    <xf borderId="12" fillId="8" fontId="6" numFmtId="0" xfId="0" applyAlignment="1" applyBorder="1" applyFont="1">
      <alignment horizontal="center" readingOrder="0"/>
    </xf>
    <xf borderId="12" fillId="8" fontId="36" numFmtId="0" xfId="0" applyAlignment="1" applyBorder="1" applyFont="1">
      <alignment horizontal="center" readingOrder="0" vertical="center"/>
    </xf>
    <xf borderId="12" fillId="8" fontId="6" numFmtId="0" xfId="0" applyAlignment="1" applyBorder="1" applyFont="1">
      <alignment readingOrder="0"/>
    </xf>
    <xf borderId="12" fillId="8" fontId="6" numFmtId="0" xfId="0" applyAlignment="1" applyBorder="1" applyFont="1">
      <alignment horizontal="right" readingOrder="0"/>
    </xf>
    <xf borderId="12" fillId="8" fontId="6" numFmtId="4" xfId="0" applyAlignment="1" applyBorder="1" applyFont="1" applyNumberFormat="1">
      <alignment readingOrder="0"/>
    </xf>
    <xf borderId="12" fillId="8" fontId="6" numFmtId="1" xfId="0" applyAlignment="1" applyBorder="1" applyFont="1" applyNumberFormat="1">
      <alignment horizontal="center" readingOrder="0"/>
    </xf>
    <xf borderId="12" fillId="8" fontId="6" numFmtId="38" xfId="0" applyAlignment="1" applyBorder="1" applyFont="1" applyNumberFormat="1">
      <alignment horizontal="center"/>
    </xf>
    <xf borderId="12" fillId="8" fontId="24" numFmtId="38" xfId="0" applyAlignment="1" applyBorder="1" applyFont="1" applyNumberFormat="1">
      <alignment readingOrder="0"/>
    </xf>
    <xf borderId="12" fillId="8" fontId="24" numFmtId="0" xfId="0" applyBorder="1" applyFont="1"/>
    <xf borderId="12" fillId="8" fontId="30" numFmtId="0" xfId="0" applyAlignment="1" applyBorder="1" applyFont="1">
      <alignment horizontal="center" readingOrder="0" vertical="center"/>
    </xf>
    <xf borderId="12" fillId="8" fontId="6" numFmtId="166" xfId="0" applyAlignment="1" applyBorder="1" applyFont="1" applyNumberFormat="1">
      <alignment horizontal="right" readingOrder="0"/>
    </xf>
    <xf borderId="12" fillId="8" fontId="6" numFmtId="38" xfId="0" applyAlignment="1" applyBorder="1" applyFont="1" applyNumberFormat="1">
      <alignment horizontal="center" readingOrder="0"/>
    </xf>
    <xf borderId="12" fillId="3" fontId="4" numFmtId="0" xfId="0" applyAlignment="1" applyBorder="1" applyFont="1">
      <alignment horizontal="center" readingOrder="0"/>
    </xf>
    <xf borderId="12" fillId="8" fontId="10" numFmtId="0" xfId="0" applyAlignment="1" applyBorder="1" applyFont="1">
      <alignment readingOrder="0"/>
    </xf>
    <xf borderId="12" fillId="8" fontId="26" numFmtId="0" xfId="0" applyAlignment="1" applyBorder="1" applyFont="1">
      <alignment horizontal="right" readingOrder="0"/>
    </xf>
    <xf borderId="12" fillId="8" fontId="31" numFmtId="0" xfId="0" applyAlignment="1" applyBorder="1" applyFont="1">
      <alignment horizontal="center" readingOrder="0" vertical="center"/>
    </xf>
    <xf borderId="12" fillId="8" fontId="37" numFmtId="1" xfId="0" applyAlignment="1" applyBorder="1" applyFont="1" applyNumberFormat="1">
      <alignment horizontal="center" readingOrder="0"/>
    </xf>
    <xf borderId="12" fillId="8" fontId="38" numFmtId="0" xfId="0" applyAlignment="1" applyBorder="1" applyFont="1">
      <alignment readingOrder="0"/>
    </xf>
    <xf borderId="12" fillId="8" fontId="39" numFmtId="0" xfId="0" applyAlignment="1" applyBorder="1" applyFont="1">
      <alignment horizontal="center" readingOrder="0"/>
    </xf>
    <xf borderId="12" fillId="8" fontId="40" numFmtId="0" xfId="0" applyAlignment="1" applyBorder="1" applyFont="1">
      <alignment horizontal="center" readingOrder="0" vertical="center"/>
    </xf>
    <xf borderId="12" fillId="8" fontId="39" numFmtId="0" xfId="0" applyAlignment="1" applyBorder="1" applyFont="1">
      <alignment readingOrder="0"/>
    </xf>
    <xf borderId="12" fillId="8" fontId="39" numFmtId="1" xfId="0" applyAlignment="1" applyBorder="1" applyFont="1" applyNumberFormat="1">
      <alignment horizontal="center" readingOrder="0"/>
    </xf>
    <xf borderId="12" fillId="8" fontId="39" numFmtId="38" xfId="0" applyAlignment="1" applyBorder="1" applyFont="1" applyNumberFormat="1">
      <alignment horizontal="center" readingOrder="0"/>
    </xf>
    <xf borderId="12" fillId="8" fontId="39" numFmtId="38" xfId="0" applyAlignment="1" applyBorder="1" applyFont="1" applyNumberFormat="1">
      <alignment readingOrder="0"/>
    </xf>
    <xf borderId="12" fillId="8" fontId="39" numFmtId="3" xfId="0" applyBorder="1" applyFont="1" applyNumberFormat="1"/>
    <xf borderId="12" fillId="8" fontId="35" numFmtId="0" xfId="0" applyAlignment="1" applyBorder="1" applyFont="1">
      <alignment horizontal="center" readingOrder="0" vertical="center"/>
    </xf>
    <xf borderId="12" fillId="8" fontId="5" numFmtId="49" xfId="0" applyAlignment="1" applyBorder="1" applyFont="1" applyNumberFormat="1">
      <alignment horizontal="center" readingOrder="0" shrinkToFit="0" vertical="center" wrapText="0"/>
    </xf>
    <xf borderId="12" fillId="8" fontId="23" numFmtId="166" xfId="0" applyAlignment="1" applyBorder="1" applyFont="1" applyNumberFormat="1">
      <alignment horizontal="right" readingOrder="0"/>
    </xf>
    <xf borderId="12" fillId="8" fontId="23" numFmtId="4" xfId="0" applyAlignment="1" applyBorder="1" applyFont="1" applyNumberFormat="1">
      <alignment readingOrder="0"/>
    </xf>
    <xf borderId="12" fillId="8" fontId="39" numFmtId="0" xfId="0" applyBorder="1" applyFont="1"/>
    <xf borderId="12" fillId="8" fontId="39" numFmtId="3" xfId="0" applyAlignment="1" applyBorder="1" applyFont="1" applyNumberFormat="1">
      <alignment horizontal="center"/>
    </xf>
    <xf borderId="12" fillId="8" fontId="41" numFmtId="0" xfId="0" applyAlignment="1" applyBorder="1" applyFont="1">
      <alignment horizontal="center" readingOrder="0" vertical="center"/>
    </xf>
    <xf borderId="13" fillId="8" fontId="12" numFmtId="38" xfId="0" applyAlignment="1" applyBorder="1" applyFont="1" applyNumberFormat="1">
      <alignment horizontal="right" readingOrder="0" vertical="bottom"/>
    </xf>
    <xf borderId="12" fillId="8" fontId="27" numFmtId="1" xfId="0" applyAlignment="1" applyBorder="1" applyFont="1" applyNumberFormat="1">
      <alignment horizontal="center" readingOrder="0"/>
    </xf>
    <xf borderId="12" fillId="8" fontId="24" numFmtId="0" xfId="0" applyAlignment="1" applyBorder="1" applyFont="1">
      <alignment readingOrder="0"/>
    </xf>
    <xf borderId="12" fillId="8" fontId="27" numFmtId="38" xfId="0" applyAlignment="1" applyBorder="1" applyFont="1" applyNumberFormat="1">
      <alignment horizontal="center" readingOrder="0"/>
    </xf>
    <xf borderId="12" fillId="8" fontId="27" numFmtId="0" xfId="0" applyAlignment="1" applyBorder="1" applyFont="1">
      <alignment horizontal="center" readingOrder="0"/>
    </xf>
    <xf borderId="12" fillId="8" fontId="42" numFmtId="0" xfId="0" applyAlignment="1" applyBorder="1" applyFont="1">
      <alignment horizontal="center" readingOrder="0" vertical="center"/>
    </xf>
    <xf borderId="12" fillId="8" fontId="10" numFmtId="0" xfId="0" applyAlignment="1" applyBorder="1" applyFont="1">
      <alignment readingOrder="0" vertical="center"/>
    </xf>
    <xf borderId="12" fillId="8" fontId="43" numFmtId="0" xfId="0" applyAlignment="1" applyBorder="1" applyFont="1">
      <alignment horizontal="center" readingOrder="0" vertical="center"/>
    </xf>
    <xf borderId="12" fillId="8" fontId="39" numFmtId="0" xfId="0" applyAlignment="1" applyBorder="1" applyFont="1">
      <alignment readingOrder="0" vertical="center"/>
    </xf>
    <xf borderId="12" fillId="0" fontId="27" numFmtId="1" xfId="0" applyAlignment="1" applyBorder="1" applyFont="1" applyNumberFormat="1">
      <alignment horizontal="center" readingOrder="0"/>
    </xf>
    <xf borderId="12" fillId="0" fontId="24" numFmtId="0" xfId="0" applyAlignment="1" applyBorder="1" applyFont="1">
      <alignment readingOrder="0"/>
    </xf>
    <xf borderId="12" fillId="4" fontId="26" numFmtId="38" xfId="0" applyAlignment="1" applyBorder="1" applyFont="1" applyNumberFormat="1">
      <alignment horizontal="center" readingOrder="0"/>
    </xf>
    <xf borderId="12" fillId="4" fontId="26" numFmtId="38" xfId="0" applyBorder="1" applyFont="1" applyNumberFormat="1"/>
    <xf borderId="12" fillId="4" fontId="26" numFmtId="0" xfId="0" applyBorder="1" applyFont="1"/>
    <xf borderId="12" fillId="8" fontId="26" numFmtId="3" xfId="0" applyAlignment="1" applyBorder="1" applyFont="1" applyNumberFormat="1">
      <alignment horizontal="center"/>
    </xf>
    <xf borderId="12" fillId="8" fontId="26" numFmtId="0" xfId="0" applyAlignment="1" applyBorder="1" applyFont="1">
      <alignment horizontal="center" readingOrder="0"/>
    </xf>
    <xf borderId="12" fillId="0" fontId="43" numFmtId="0" xfId="0" applyAlignment="1" applyBorder="1" applyFont="1">
      <alignment horizontal="center" readingOrder="0" vertical="center"/>
    </xf>
    <xf borderId="12" fillId="0" fontId="37" numFmtId="0" xfId="0" applyAlignment="1" applyBorder="1" applyFont="1">
      <alignment readingOrder="0" vertical="center"/>
    </xf>
    <xf borderId="12" fillId="8" fontId="18" numFmtId="166" xfId="0" applyAlignment="1" applyBorder="1" applyFont="1" applyNumberFormat="1">
      <alignment horizontal="right" readingOrder="0"/>
    </xf>
    <xf borderId="12" fillId="8" fontId="18" numFmtId="1" xfId="0" applyAlignment="1" applyBorder="1" applyFont="1" applyNumberFormat="1">
      <alignment horizontal="center" readingOrder="0"/>
    </xf>
    <xf borderId="12" fillId="8" fontId="18" numFmtId="0" xfId="0" applyAlignment="1" applyBorder="1" applyFont="1">
      <alignment readingOrder="0"/>
    </xf>
    <xf borderId="12" fillId="8" fontId="18" numFmtId="38" xfId="0" applyAlignment="1" applyBorder="1" applyFont="1" applyNumberFormat="1">
      <alignment horizontal="center" readingOrder="0"/>
    </xf>
    <xf borderId="13" fillId="8" fontId="9" numFmtId="38" xfId="0" applyAlignment="1" applyBorder="1" applyFont="1" applyNumberFormat="1">
      <alignment horizontal="right" readingOrder="0" vertical="bottom"/>
    </xf>
    <xf borderId="12" fillId="8" fontId="18" numFmtId="38" xfId="0" applyAlignment="1" applyBorder="1" applyFont="1" applyNumberFormat="1">
      <alignment readingOrder="0"/>
    </xf>
    <xf borderId="12" fillId="8" fontId="18" numFmtId="3" xfId="0" applyBorder="1" applyFont="1" applyNumberFormat="1"/>
    <xf borderId="12" fillId="8" fontId="18" numFmtId="0" xfId="0" applyAlignment="1" applyBorder="1" applyFont="1">
      <alignment horizontal="center" readingOrder="0"/>
    </xf>
    <xf borderId="12" fillId="8" fontId="44" numFmtId="0" xfId="0" applyAlignment="1" applyBorder="1" applyFont="1">
      <alignment horizontal="center" readingOrder="0" vertical="center"/>
    </xf>
    <xf borderId="12" fillId="8" fontId="10" numFmtId="0" xfId="0" applyAlignment="1" applyBorder="1" applyFont="1">
      <alignment horizontal="center" readingOrder="0" vertical="center"/>
    </xf>
    <xf borderId="12" fillId="8" fontId="18" numFmtId="0" xfId="0" applyBorder="1" applyFont="1"/>
    <xf borderId="12" fillId="8" fontId="18" numFmtId="3" xfId="0" applyAlignment="1" applyBorder="1" applyFont="1" applyNumberFormat="1">
      <alignment horizontal="center"/>
    </xf>
    <xf borderId="12" fillId="8" fontId="39" numFmtId="0" xfId="0" applyAlignment="1" applyBorder="1" applyFont="1">
      <alignment horizontal="center" readingOrder="0" vertical="center"/>
    </xf>
    <xf borderId="12" fillId="0" fontId="18" numFmtId="166" xfId="0" applyAlignment="1" applyBorder="1" applyFont="1" applyNumberFormat="1">
      <alignment horizontal="right" readingOrder="0"/>
    </xf>
    <xf borderId="12" fillId="0" fontId="23" numFmtId="4" xfId="0" applyAlignment="1" applyBorder="1" applyFont="1" applyNumberFormat="1">
      <alignment readingOrder="0"/>
    </xf>
    <xf borderId="12" fillId="0" fontId="18" numFmtId="1" xfId="0" applyAlignment="1" applyBorder="1" applyFont="1" applyNumberFormat="1">
      <alignment horizontal="center" readingOrder="0"/>
    </xf>
    <xf borderId="12" fillId="0" fontId="18" numFmtId="0" xfId="0" applyAlignment="1" applyBorder="1" applyFont="1">
      <alignment readingOrder="0"/>
    </xf>
    <xf borderId="12" fillId="4" fontId="18" numFmtId="38" xfId="0" applyAlignment="1" applyBorder="1" applyFont="1" applyNumberFormat="1">
      <alignment horizontal="center" readingOrder="0"/>
    </xf>
    <xf borderId="12" fillId="4" fontId="18" numFmtId="38" xfId="0" applyAlignment="1" applyBorder="1" applyFont="1" applyNumberFormat="1">
      <alignment readingOrder="0"/>
    </xf>
    <xf borderId="12" fillId="4" fontId="18" numFmtId="38" xfId="0" applyBorder="1" applyFont="1" applyNumberFormat="1"/>
    <xf borderId="12" fillId="4" fontId="18" numFmtId="0" xfId="0" applyBorder="1" applyFont="1"/>
    <xf borderId="12" fillId="0" fontId="44" numFmtId="0" xfId="0" applyAlignment="1" applyBorder="1" applyFont="1">
      <alignment horizontal="center" readingOrder="0" vertical="center"/>
    </xf>
    <xf borderId="12" fillId="0" fontId="37" numFmtId="0" xfId="0" applyAlignment="1" applyBorder="1" applyFont="1">
      <alignment horizontal="center" readingOrder="0" vertical="center"/>
    </xf>
    <xf borderId="12" fillId="4" fontId="18" numFmtId="3" xfId="0" applyAlignment="1" applyBorder="1" applyFont="1" applyNumberFormat="1">
      <alignment horizontal="center" vertical="center"/>
    </xf>
    <xf borderId="12" fillId="0" fontId="10" numFmtId="0" xfId="0" applyAlignment="1" applyBorder="1" applyFont="1">
      <alignment horizontal="center" readingOrder="0"/>
    </xf>
    <xf borderId="13" fillId="8" fontId="18" numFmtId="166" xfId="0" applyAlignment="1" applyBorder="1" applyFont="1" applyNumberFormat="1">
      <alignment horizontal="center" readingOrder="0" vertical="bottom"/>
    </xf>
    <xf borderId="13" fillId="8" fontId="23" numFmtId="4" xfId="0" applyAlignment="1" applyBorder="1" applyFont="1" applyNumberFormat="1">
      <alignment readingOrder="0" vertical="bottom"/>
    </xf>
    <xf borderId="13" fillId="8" fontId="18" numFmtId="1" xfId="0" applyAlignment="1" applyBorder="1" applyFont="1" applyNumberFormat="1">
      <alignment horizontal="center" readingOrder="0" vertical="bottom"/>
    </xf>
    <xf borderId="13" fillId="8" fontId="18" numFmtId="0" xfId="0" applyAlignment="1" applyBorder="1" applyFont="1">
      <alignment horizontal="left" readingOrder="0" vertical="center"/>
    </xf>
    <xf borderId="13" fillId="8" fontId="9" numFmtId="38" xfId="0" applyAlignment="1" applyBorder="1" applyFont="1" applyNumberFormat="1">
      <alignment readingOrder="0" vertical="bottom"/>
    </xf>
    <xf borderId="12" fillId="8" fontId="9" numFmtId="38" xfId="0" applyAlignment="1" applyBorder="1" applyFont="1" applyNumberFormat="1">
      <alignment readingOrder="0" vertical="bottom"/>
    </xf>
    <xf borderId="12" fillId="8" fontId="45" numFmtId="0" xfId="0" applyAlignment="1" applyBorder="1" applyFont="1">
      <alignment horizontal="center" shrinkToFit="0" vertical="center" wrapText="1"/>
    </xf>
    <xf borderId="12" fillId="8" fontId="18" numFmtId="3" xfId="0" applyAlignment="1" applyBorder="1" applyFont="1" applyNumberFormat="1">
      <alignment horizontal="center" shrinkToFit="0" vertical="center" wrapText="1"/>
    </xf>
    <xf borderId="13" fillId="8" fontId="18" numFmtId="0" xfId="0" applyAlignment="1" applyBorder="1" applyFont="1">
      <alignment readingOrder="0" vertical="bottom"/>
    </xf>
    <xf borderId="12" fillId="8" fontId="9" numFmtId="38" xfId="0" applyAlignment="1" applyBorder="1" applyFont="1" applyNumberFormat="1">
      <alignment horizontal="right" readingOrder="0" vertical="bottom"/>
    </xf>
    <xf borderId="13" fillId="8" fontId="9" numFmtId="38" xfId="0" applyAlignment="1" applyBorder="1" applyFont="1" applyNumberFormat="1">
      <alignment horizontal="right" vertical="bottom"/>
    </xf>
    <xf borderId="12" fillId="8" fontId="46" numFmtId="0" xfId="0" applyAlignment="1" applyBorder="1" applyFont="1">
      <alignment horizontal="center" readingOrder="0" vertical="center"/>
    </xf>
    <xf borderId="13" fillId="8" fontId="18" numFmtId="166" xfId="0" applyAlignment="1" applyBorder="1" applyFont="1" applyNumberFormat="1">
      <alignment horizontal="center" vertical="bottom"/>
    </xf>
    <xf borderId="13" fillId="8" fontId="18" numFmtId="4" xfId="0" applyAlignment="1" applyBorder="1" applyFont="1" applyNumberFormat="1">
      <alignment vertical="bottom"/>
    </xf>
    <xf borderId="13" fillId="8" fontId="18" numFmtId="1" xfId="0" applyAlignment="1" applyBorder="1" applyFont="1" applyNumberFormat="1">
      <alignment horizontal="center" vertical="bottom"/>
    </xf>
    <xf borderId="13" fillId="8" fontId="18" numFmtId="0" xfId="0" applyAlignment="1" applyBorder="1" applyFont="1">
      <alignment vertical="bottom"/>
    </xf>
    <xf borderId="12" fillId="8" fontId="9" numFmtId="38" xfId="0" applyAlignment="1" applyBorder="1" applyFont="1" applyNumberFormat="1">
      <alignment vertical="bottom"/>
    </xf>
    <xf borderId="10" fillId="8" fontId="4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476250</xdr:colOff>
      <xdr:row>0</xdr:row>
      <xdr:rowOff>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247650</xdr:rowOff>
    </xdr:from>
    <xdr:ext cx="238125" cy="314325"/>
    <xdr:sp>
      <xdr:nvSpPr>
        <xdr:cNvPr id="3" name="Shape 3"/>
        <xdr:cNvSpPr txBox="1"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45930.0</v>
      </c>
      <c r="C4" s="18" t="s">
        <v>16</v>
      </c>
      <c r="D4" s="19">
        <v>52686.0</v>
      </c>
      <c r="E4" s="20" t="s">
        <v>17</v>
      </c>
      <c r="F4" s="21">
        <v>5700.0</v>
      </c>
      <c r="G4" s="22"/>
      <c r="H4" s="23"/>
      <c r="I4" s="24"/>
      <c r="J4" s="25"/>
      <c r="K4" s="20" t="s">
        <v>18</v>
      </c>
      <c r="L4" s="26"/>
      <c r="M4" s="20" t="s">
        <v>19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45930.0</v>
      </c>
      <c r="C5" s="18" t="s">
        <v>21</v>
      </c>
      <c r="D5" s="19">
        <v>45929.0</v>
      </c>
      <c r="E5" s="20" t="s">
        <v>22</v>
      </c>
      <c r="F5" s="21">
        <v>4000.0</v>
      </c>
      <c r="G5" s="22"/>
      <c r="H5" s="23"/>
      <c r="I5" s="24"/>
      <c r="J5" s="25"/>
      <c r="K5" s="20" t="s">
        <v>18</v>
      </c>
      <c r="L5" s="26"/>
      <c r="M5" s="20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45930.0</v>
      </c>
      <c r="C6" s="18" t="s">
        <v>24</v>
      </c>
      <c r="D6" s="19">
        <v>21971.0</v>
      </c>
      <c r="E6" s="20" t="s">
        <v>25</v>
      </c>
      <c r="F6" s="21">
        <v>2400.0</v>
      </c>
      <c r="G6" s="22"/>
      <c r="H6" s="23"/>
      <c r="I6" s="24"/>
      <c r="J6" s="25"/>
      <c r="K6" s="20" t="s">
        <v>18</v>
      </c>
      <c r="L6" s="26"/>
      <c r="M6" s="20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/>
      <c r="B7" s="28"/>
      <c r="C7" s="29"/>
      <c r="D7" s="30"/>
      <c r="E7" s="31"/>
      <c r="F7" s="32"/>
      <c r="G7" s="33"/>
      <c r="H7" s="34"/>
      <c r="I7" s="35"/>
      <c r="J7" s="36"/>
      <c r="K7" s="37"/>
      <c r="L7" s="38"/>
      <c r="M7" s="3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40"/>
      <c r="B8" s="41"/>
      <c r="C8" s="42"/>
      <c r="D8" s="43"/>
      <c r="E8" s="44"/>
      <c r="F8" s="45"/>
      <c r="G8" s="46"/>
      <c r="H8" s="47"/>
      <c r="I8" s="48"/>
      <c r="J8" s="49"/>
      <c r="K8" s="50"/>
      <c r="L8" s="51"/>
      <c r="M8" s="52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41"/>
      <c r="C9" s="42"/>
      <c r="D9" s="43"/>
      <c r="E9" s="44"/>
      <c r="F9" s="45"/>
      <c r="G9" s="46"/>
      <c r="H9" s="47"/>
      <c r="I9" s="48"/>
      <c r="J9" s="49"/>
      <c r="K9" s="50"/>
      <c r="L9" s="51"/>
      <c r="M9" s="5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40"/>
      <c r="B10" s="53"/>
      <c r="C10" s="54"/>
      <c r="D10" s="55"/>
      <c r="E10" s="56"/>
      <c r="F10" s="57"/>
      <c r="G10" s="46"/>
      <c r="H10" s="47"/>
      <c r="I10" s="48"/>
      <c r="J10" s="49"/>
      <c r="K10" s="50"/>
      <c r="L10" s="51"/>
      <c r="M10" s="52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40"/>
      <c r="B11" s="53"/>
      <c r="C11" s="54"/>
      <c r="D11" s="55"/>
      <c r="E11" s="56"/>
      <c r="F11" s="58"/>
      <c r="G11" s="46"/>
      <c r="H11" s="47"/>
      <c r="I11" s="48"/>
      <c r="J11" s="49"/>
      <c r="K11" s="50"/>
      <c r="L11" s="51"/>
      <c r="M11" s="52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59"/>
      <c r="B12" s="2"/>
      <c r="C12" s="2"/>
      <c r="D12" s="2"/>
      <c r="E12" s="3"/>
      <c r="F12" s="60">
        <f t="shared" ref="F12:J12" si="1">SUM(F4:F11)</f>
        <v>12100</v>
      </c>
      <c r="G12" s="60">
        <f t="shared" si="1"/>
        <v>0</v>
      </c>
      <c r="H12" s="60">
        <f t="shared" si="1"/>
        <v>0</v>
      </c>
      <c r="I12" s="60">
        <f t="shared" si="1"/>
        <v>0</v>
      </c>
      <c r="J12" s="60">
        <f t="shared" si="1"/>
        <v>0</v>
      </c>
      <c r="K12" s="61"/>
      <c r="L12" s="61"/>
      <c r="M12" s="62"/>
    </row>
    <row r="13" ht="48.0" customHeight="1">
      <c r="F13" s="63">
        <f>F12+G12+H12+I12+J12</f>
        <v>12100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6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45932.0</v>
      </c>
      <c r="C4" s="18" t="s">
        <v>27</v>
      </c>
      <c r="D4" s="19">
        <v>47787.0</v>
      </c>
      <c r="E4" s="20" t="s">
        <v>28</v>
      </c>
      <c r="F4" s="64"/>
      <c r="G4" s="65">
        <v>350.0</v>
      </c>
      <c r="H4" s="66"/>
      <c r="I4" s="67"/>
      <c r="J4" s="68"/>
      <c r="K4" s="69" t="s">
        <v>29</v>
      </c>
      <c r="L4" s="26"/>
      <c r="M4" s="20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45932.0</v>
      </c>
      <c r="C5" s="18" t="s">
        <v>31</v>
      </c>
      <c r="D5" s="19">
        <v>47787.0</v>
      </c>
      <c r="E5" s="20" t="s">
        <v>28</v>
      </c>
      <c r="F5" s="64"/>
      <c r="G5" s="65">
        <v>50.0</v>
      </c>
      <c r="H5" s="66"/>
      <c r="I5" s="67"/>
      <c r="J5" s="68"/>
      <c r="K5" s="69" t="s">
        <v>29</v>
      </c>
      <c r="L5" s="26"/>
      <c r="M5" s="20" t="s">
        <v>30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/>
      <c r="B6" s="17"/>
      <c r="C6" s="18"/>
      <c r="D6" s="19"/>
      <c r="E6" s="20"/>
      <c r="F6" s="64"/>
      <c r="G6" s="65"/>
      <c r="H6" s="66"/>
      <c r="I6" s="67"/>
      <c r="J6" s="68"/>
      <c r="K6" s="20"/>
      <c r="L6" s="26"/>
      <c r="M6" s="20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/>
      <c r="B7" s="28"/>
      <c r="C7" s="29"/>
      <c r="D7" s="30"/>
      <c r="E7" s="31"/>
      <c r="F7" s="32"/>
      <c r="G7" s="33"/>
      <c r="H7" s="34"/>
      <c r="I7" s="35"/>
      <c r="J7" s="36"/>
      <c r="K7" s="37"/>
      <c r="L7" s="38"/>
      <c r="M7" s="3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40"/>
      <c r="B8" s="41"/>
      <c r="C8" s="42"/>
      <c r="D8" s="43"/>
      <c r="E8" s="44"/>
      <c r="F8" s="45"/>
      <c r="G8" s="46"/>
      <c r="H8" s="47"/>
      <c r="I8" s="48"/>
      <c r="J8" s="49"/>
      <c r="K8" s="50"/>
      <c r="L8" s="51"/>
      <c r="M8" s="52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41"/>
      <c r="C9" s="42"/>
      <c r="D9" s="43"/>
      <c r="E9" s="44"/>
      <c r="F9" s="45"/>
      <c r="G9" s="46"/>
      <c r="H9" s="47"/>
      <c r="I9" s="48"/>
      <c r="J9" s="49"/>
      <c r="K9" s="50"/>
      <c r="L9" s="51"/>
      <c r="M9" s="5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40"/>
      <c r="B10" s="53"/>
      <c r="C10" s="54"/>
      <c r="D10" s="55"/>
      <c r="E10" s="56"/>
      <c r="F10" s="57"/>
      <c r="G10" s="46"/>
      <c r="H10" s="47"/>
      <c r="I10" s="48"/>
      <c r="J10" s="49"/>
      <c r="K10" s="50"/>
      <c r="L10" s="51"/>
      <c r="M10" s="52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40"/>
      <c r="B11" s="53"/>
      <c r="C11" s="54"/>
      <c r="D11" s="55"/>
      <c r="E11" s="56"/>
      <c r="F11" s="58"/>
      <c r="G11" s="46"/>
      <c r="H11" s="47"/>
      <c r="I11" s="48"/>
      <c r="J11" s="49"/>
      <c r="K11" s="50"/>
      <c r="L11" s="51"/>
      <c r="M11" s="52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59"/>
      <c r="B12" s="2"/>
      <c r="C12" s="2"/>
      <c r="D12" s="2"/>
      <c r="E12" s="3"/>
      <c r="F12" s="60">
        <f t="shared" ref="F12:J12" si="1">SUM(F4:F11)</f>
        <v>0</v>
      </c>
      <c r="G12" s="60">
        <f t="shared" si="1"/>
        <v>400</v>
      </c>
      <c r="H12" s="60">
        <f t="shared" si="1"/>
        <v>0</v>
      </c>
      <c r="I12" s="60">
        <f t="shared" si="1"/>
        <v>0</v>
      </c>
      <c r="J12" s="60">
        <f t="shared" si="1"/>
        <v>0</v>
      </c>
      <c r="K12" s="61"/>
      <c r="L12" s="61"/>
      <c r="M12" s="62"/>
    </row>
    <row r="13" ht="48.0" customHeight="1">
      <c r="F13" s="63">
        <f>F12+G12+H12+I12+J12</f>
        <v>400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6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45698.0</v>
      </c>
      <c r="C4" s="18" t="s">
        <v>33</v>
      </c>
      <c r="D4" s="19">
        <v>51040.0</v>
      </c>
      <c r="E4" s="20" t="s">
        <v>34</v>
      </c>
      <c r="F4" s="64"/>
      <c r="G4" s="65">
        <v>7600.0</v>
      </c>
      <c r="H4" s="66"/>
      <c r="I4" s="67"/>
      <c r="J4" s="68"/>
      <c r="K4" s="69" t="s">
        <v>35</v>
      </c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45698.0</v>
      </c>
      <c r="C5" s="18" t="s">
        <v>37</v>
      </c>
      <c r="D5" s="19">
        <v>36555.0</v>
      </c>
      <c r="E5" s="20" t="s">
        <v>38</v>
      </c>
      <c r="F5" s="64"/>
      <c r="G5" s="65">
        <v>2500.0</v>
      </c>
      <c r="H5" s="66"/>
      <c r="I5" s="67"/>
      <c r="J5" s="68"/>
      <c r="K5" s="69" t="s">
        <v>35</v>
      </c>
      <c r="L5" s="26"/>
      <c r="M5" s="20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45698.0</v>
      </c>
      <c r="C6" s="18" t="s">
        <v>39</v>
      </c>
      <c r="D6" s="19">
        <v>51040.0</v>
      </c>
      <c r="E6" s="20" t="s">
        <v>34</v>
      </c>
      <c r="F6" s="64"/>
      <c r="G6" s="65">
        <v>2600.0</v>
      </c>
      <c r="H6" s="66"/>
      <c r="I6" s="67"/>
      <c r="J6" s="68"/>
      <c r="K6" s="69" t="s">
        <v>35</v>
      </c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45726.0</v>
      </c>
      <c r="C7" s="18" t="s">
        <v>41</v>
      </c>
      <c r="D7" s="19">
        <v>52669.0</v>
      </c>
      <c r="E7" s="20" t="s">
        <v>42</v>
      </c>
      <c r="F7" s="64"/>
      <c r="G7" s="65">
        <v>4600.0</v>
      </c>
      <c r="H7" s="66"/>
      <c r="I7" s="67"/>
      <c r="J7" s="68"/>
      <c r="K7" s="69" t="s">
        <v>35</v>
      </c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45726.0</v>
      </c>
      <c r="C8" s="18" t="s">
        <v>44</v>
      </c>
      <c r="D8" s="19">
        <v>98882.0</v>
      </c>
      <c r="E8" s="20" t="s">
        <v>45</v>
      </c>
      <c r="F8" s="64">
        <v>300.0</v>
      </c>
      <c r="G8" s="65"/>
      <c r="H8" s="66"/>
      <c r="I8" s="67"/>
      <c r="J8" s="68"/>
      <c r="K8" s="69" t="s">
        <v>35</v>
      </c>
      <c r="L8" s="26"/>
      <c r="M8" s="20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17">
        <v>45726.0</v>
      </c>
      <c r="C9" s="18" t="s">
        <v>47</v>
      </c>
      <c r="D9" s="19">
        <v>78940.0</v>
      </c>
      <c r="E9" s="20" t="s">
        <v>48</v>
      </c>
      <c r="F9" s="64"/>
      <c r="G9" s="65">
        <v>2600.0</v>
      </c>
      <c r="H9" s="66"/>
      <c r="I9" s="67"/>
      <c r="J9" s="68"/>
      <c r="K9" s="69" t="s">
        <v>35</v>
      </c>
      <c r="L9" s="26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 t="s">
        <v>49</v>
      </c>
      <c r="B10" s="17">
        <v>45726.0</v>
      </c>
      <c r="C10" s="18" t="s">
        <v>50</v>
      </c>
      <c r="D10" s="19">
        <v>49206.0</v>
      </c>
      <c r="E10" s="20" t="s">
        <v>51</v>
      </c>
      <c r="F10" s="64"/>
      <c r="G10" s="70"/>
      <c r="H10" s="70"/>
      <c r="I10" s="71"/>
      <c r="J10" s="72">
        <v>35.0</v>
      </c>
      <c r="K10" s="69" t="s">
        <v>35</v>
      </c>
      <c r="L10" s="26"/>
      <c r="M10" s="20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 t="s">
        <v>52</v>
      </c>
      <c r="B11" s="17">
        <v>45726.0</v>
      </c>
      <c r="C11" s="18" t="s">
        <v>53</v>
      </c>
      <c r="D11" s="19">
        <v>89807.0</v>
      </c>
      <c r="E11" s="20" t="s">
        <v>54</v>
      </c>
      <c r="F11" s="64"/>
      <c r="G11" s="70"/>
      <c r="H11" s="70">
        <v>1200.0</v>
      </c>
      <c r="I11" s="71"/>
      <c r="J11" s="72"/>
      <c r="K11" s="69" t="s">
        <v>35</v>
      </c>
      <c r="L11" s="26"/>
      <c r="M11" s="20" t="s">
        <v>36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 t="s">
        <v>55</v>
      </c>
      <c r="B12" s="17">
        <v>45726.0</v>
      </c>
      <c r="C12" s="18" t="s">
        <v>56</v>
      </c>
      <c r="D12" s="19">
        <v>89807.0</v>
      </c>
      <c r="E12" s="20" t="s">
        <v>54</v>
      </c>
      <c r="F12" s="64">
        <v>2600.0</v>
      </c>
      <c r="G12" s="65"/>
      <c r="H12" s="66"/>
      <c r="I12" s="67"/>
      <c r="J12" s="68"/>
      <c r="K12" s="69" t="s">
        <v>35</v>
      </c>
      <c r="L12" s="26"/>
      <c r="M12" s="20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 t="s">
        <v>57</v>
      </c>
      <c r="B13" s="73">
        <v>45726.0</v>
      </c>
      <c r="C13" s="29" t="s">
        <v>58</v>
      </c>
      <c r="D13" s="30">
        <v>36555.0</v>
      </c>
      <c r="E13" s="31" t="s">
        <v>38</v>
      </c>
      <c r="F13" s="32">
        <v>550.0</v>
      </c>
      <c r="G13" s="33"/>
      <c r="H13" s="34"/>
      <c r="I13" s="35"/>
      <c r="J13" s="36"/>
      <c r="K13" s="69" t="s">
        <v>35</v>
      </c>
      <c r="L13" s="38"/>
      <c r="M13" s="20" t="s">
        <v>36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16" t="s">
        <v>59</v>
      </c>
      <c r="B14" s="41">
        <v>45726.0</v>
      </c>
      <c r="C14" s="42" t="s">
        <v>60</v>
      </c>
      <c r="D14" s="43">
        <v>51166.0</v>
      </c>
      <c r="E14" s="44" t="s">
        <v>61</v>
      </c>
      <c r="F14" s="45"/>
      <c r="G14" s="46">
        <v>3400.0</v>
      </c>
      <c r="H14" s="47"/>
      <c r="I14" s="48"/>
      <c r="J14" s="49"/>
      <c r="K14" s="69" t="s">
        <v>35</v>
      </c>
      <c r="L14" s="51"/>
      <c r="M14" s="20" t="s">
        <v>19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49.5" customHeight="1">
      <c r="A15" s="16" t="s">
        <v>62</v>
      </c>
      <c r="B15" s="41">
        <v>45726.0</v>
      </c>
      <c r="C15" s="42" t="s">
        <v>63</v>
      </c>
      <c r="D15" s="43">
        <v>42095.0</v>
      </c>
      <c r="E15" s="44" t="s">
        <v>64</v>
      </c>
      <c r="F15" s="45"/>
      <c r="G15" s="46"/>
      <c r="H15" s="47"/>
      <c r="I15" s="48"/>
      <c r="J15" s="49">
        <v>23.0</v>
      </c>
      <c r="K15" s="69" t="s">
        <v>35</v>
      </c>
      <c r="L15" s="51"/>
      <c r="M15" s="20" t="s">
        <v>19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49.5" customHeight="1">
      <c r="A16" s="40"/>
      <c r="B16" s="53"/>
      <c r="C16" s="54"/>
      <c r="D16" s="55"/>
      <c r="E16" s="56"/>
      <c r="F16" s="57"/>
      <c r="G16" s="46"/>
      <c r="H16" s="47"/>
      <c r="I16" s="48"/>
      <c r="J16" s="49"/>
      <c r="K16" s="50"/>
      <c r="L16" s="51"/>
      <c r="M16" s="52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49.5" customHeight="1">
      <c r="A17" s="40"/>
      <c r="B17" s="53"/>
      <c r="C17" s="54"/>
      <c r="D17" s="55"/>
      <c r="E17" s="56"/>
      <c r="F17" s="58"/>
      <c r="G17" s="46"/>
      <c r="H17" s="47"/>
      <c r="I17" s="48"/>
      <c r="J17" s="49"/>
      <c r="K17" s="50"/>
      <c r="L17" s="51"/>
      <c r="M17" s="52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49.5" customHeight="1">
      <c r="A18" s="59"/>
      <c r="B18" s="2"/>
      <c r="C18" s="2"/>
      <c r="D18" s="2"/>
      <c r="E18" s="3"/>
      <c r="F18" s="60">
        <f t="shared" ref="F18:J18" si="1">SUM(F4:F17)</f>
        <v>3450</v>
      </c>
      <c r="G18" s="60">
        <f t="shared" si="1"/>
        <v>23300</v>
      </c>
      <c r="H18" s="60">
        <f t="shared" si="1"/>
        <v>1200</v>
      </c>
      <c r="I18" s="60">
        <f t="shared" si="1"/>
        <v>0</v>
      </c>
      <c r="J18" s="60">
        <f t="shared" si="1"/>
        <v>58</v>
      </c>
      <c r="K18" s="61"/>
      <c r="L18" s="61"/>
      <c r="M18" s="62"/>
    </row>
    <row r="19" ht="48.0" customHeight="1">
      <c r="F19" s="63">
        <f>F18+G18+H18+I18+J18</f>
        <v>28008</v>
      </c>
      <c r="G19" s="2"/>
      <c r="H19" s="2"/>
      <c r="I19" s="2"/>
      <c r="J1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45933.0</v>
      </c>
      <c r="C4" s="18" t="s">
        <v>66</v>
      </c>
      <c r="D4" s="19">
        <v>59793.0</v>
      </c>
      <c r="E4" s="20" t="s">
        <v>67</v>
      </c>
      <c r="F4" s="64">
        <v>300.0</v>
      </c>
      <c r="G4" s="65"/>
      <c r="H4" s="66"/>
      <c r="I4" s="67"/>
      <c r="J4" s="68"/>
      <c r="K4" s="69" t="s">
        <v>35</v>
      </c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45934.0</v>
      </c>
      <c r="C5" s="18" t="s">
        <v>68</v>
      </c>
      <c r="D5" s="19">
        <v>51017.0</v>
      </c>
      <c r="E5" s="20" t="s">
        <v>69</v>
      </c>
      <c r="F5" s="64"/>
      <c r="G5" s="65">
        <v>5900.0</v>
      </c>
      <c r="H5" s="66"/>
      <c r="I5" s="67"/>
      <c r="J5" s="68"/>
      <c r="K5" s="69" t="s">
        <v>35</v>
      </c>
      <c r="L5" s="26"/>
      <c r="M5" s="20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45934.0</v>
      </c>
      <c r="C6" s="18" t="s">
        <v>70</v>
      </c>
      <c r="D6" s="19">
        <v>98910.0</v>
      </c>
      <c r="E6" s="20" t="s">
        <v>71</v>
      </c>
      <c r="F6" s="64">
        <v>300.0</v>
      </c>
      <c r="G6" s="65"/>
      <c r="H6" s="66"/>
      <c r="I6" s="67"/>
      <c r="J6" s="68"/>
      <c r="K6" s="69" t="s">
        <v>35</v>
      </c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45934.0</v>
      </c>
      <c r="C7" s="18" t="s">
        <v>72</v>
      </c>
      <c r="D7" s="19">
        <v>95492.0</v>
      </c>
      <c r="E7" s="20" t="s">
        <v>73</v>
      </c>
      <c r="F7" s="64">
        <v>2600.0</v>
      </c>
      <c r="G7" s="65"/>
      <c r="H7" s="66"/>
      <c r="I7" s="67"/>
      <c r="J7" s="68"/>
      <c r="K7" s="69" t="s">
        <v>35</v>
      </c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45934.0</v>
      </c>
      <c r="C8" s="18" t="s">
        <v>74</v>
      </c>
      <c r="D8" s="19">
        <v>47787.0</v>
      </c>
      <c r="E8" s="20" t="s">
        <v>28</v>
      </c>
      <c r="F8" s="64"/>
      <c r="G8" s="65">
        <v>15750.0</v>
      </c>
      <c r="H8" s="66"/>
      <c r="I8" s="67"/>
      <c r="J8" s="68"/>
      <c r="K8" s="69" t="s">
        <v>35</v>
      </c>
      <c r="L8" s="26"/>
      <c r="M8" s="20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17">
        <v>45934.0</v>
      </c>
      <c r="C9" s="18" t="s">
        <v>75</v>
      </c>
      <c r="D9" s="19">
        <v>47787.0</v>
      </c>
      <c r="E9" s="20" t="s">
        <v>28</v>
      </c>
      <c r="F9" s="64"/>
      <c r="G9" s="65">
        <v>350.0</v>
      </c>
      <c r="H9" s="66"/>
      <c r="I9" s="67"/>
      <c r="J9" s="68"/>
      <c r="K9" s="69" t="s">
        <v>35</v>
      </c>
      <c r="L9" s="26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 t="s">
        <v>49</v>
      </c>
      <c r="B10" s="17">
        <v>45934.0</v>
      </c>
      <c r="C10" s="18" t="s">
        <v>76</v>
      </c>
      <c r="D10" s="19">
        <v>83404.0</v>
      </c>
      <c r="E10" s="20" t="s">
        <v>77</v>
      </c>
      <c r="F10" s="64"/>
      <c r="G10" s="70">
        <v>2600.0</v>
      </c>
      <c r="H10" s="70"/>
      <c r="I10" s="71"/>
      <c r="J10" s="72"/>
      <c r="K10" s="69" t="s">
        <v>35</v>
      </c>
      <c r="L10" s="26"/>
      <c r="M10" s="20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 t="s">
        <v>52</v>
      </c>
      <c r="B11" s="17"/>
      <c r="C11" s="18"/>
      <c r="D11" s="19"/>
      <c r="E11" s="20"/>
      <c r="F11" s="64"/>
      <c r="G11" s="70"/>
      <c r="H11" s="70"/>
      <c r="I11" s="71"/>
      <c r="J11" s="72"/>
      <c r="K11" s="69" t="s">
        <v>35</v>
      </c>
      <c r="L11" s="26"/>
      <c r="M11" s="20" t="s">
        <v>36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 t="s">
        <v>55</v>
      </c>
      <c r="B12" s="17"/>
      <c r="C12" s="18"/>
      <c r="D12" s="19"/>
      <c r="E12" s="20"/>
      <c r="F12" s="64"/>
      <c r="G12" s="65"/>
      <c r="H12" s="66"/>
      <c r="I12" s="67"/>
      <c r="J12" s="68"/>
      <c r="K12" s="69" t="s">
        <v>35</v>
      </c>
      <c r="L12" s="26"/>
      <c r="M12" s="20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 t="s">
        <v>57</v>
      </c>
      <c r="B13" s="73"/>
      <c r="C13" s="29"/>
      <c r="D13" s="30"/>
      <c r="E13" s="31"/>
      <c r="F13" s="32"/>
      <c r="G13" s="33"/>
      <c r="H13" s="34"/>
      <c r="I13" s="35"/>
      <c r="J13" s="36"/>
      <c r="K13" s="69" t="s">
        <v>35</v>
      </c>
      <c r="L13" s="38"/>
      <c r="M13" s="20" t="s">
        <v>36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16" t="s">
        <v>59</v>
      </c>
      <c r="B14" s="41"/>
      <c r="C14" s="42"/>
      <c r="D14" s="43"/>
      <c r="E14" s="44"/>
      <c r="F14" s="45"/>
      <c r="G14" s="46"/>
      <c r="H14" s="47"/>
      <c r="I14" s="48"/>
      <c r="J14" s="49"/>
      <c r="K14" s="69" t="s">
        <v>35</v>
      </c>
      <c r="L14" s="51"/>
      <c r="M14" s="20" t="s">
        <v>19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49.5" customHeight="1">
      <c r="A15" s="16" t="s">
        <v>62</v>
      </c>
      <c r="B15" s="41"/>
      <c r="C15" s="42"/>
      <c r="D15" s="43"/>
      <c r="E15" s="44"/>
      <c r="F15" s="45"/>
      <c r="G15" s="46"/>
      <c r="H15" s="47"/>
      <c r="I15" s="48"/>
      <c r="J15" s="49"/>
      <c r="K15" s="69" t="s">
        <v>35</v>
      </c>
      <c r="L15" s="51"/>
      <c r="M15" s="20" t="s">
        <v>19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49.5" customHeight="1">
      <c r="A16" s="40"/>
      <c r="B16" s="53"/>
      <c r="C16" s="54"/>
      <c r="D16" s="55"/>
      <c r="E16" s="56"/>
      <c r="F16" s="57"/>
      <c r="G16" s="46"/>
      <c r="H16" s="47"/>
      <c r="I16" s="48"/>
      <c r="J16" s="49"/>
      <c r="K16" s="50"/>
      <c r="L16" s="51"/>
      <c r="M16" s="52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49.5" customHeight="1">
      <c r="A17" s="40"/>
      <c r="B17" s="53"/>
      <c r="C17" s="54"/>
      <c r="D17" s="55"/>
      <c r="E17" s="56"/>
      <c r="F17" s="58"/>
      <c r="G17" s="46"/>
      <c r="H17" s="47"/>
      <c r="I17" s="48"/>
      <c r="J17" s="49"/>
      <c r="K17" s="50"/>
      <c r="L17" s="51"/>
      <c r="M17" s="52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49.5" customHeight="1">
      <c r="A18" s="59"/>
      <c r="B18" s="2"/>
      <c r="C18" s="2"/>
      <c r="D18" s="2"/>
      <c r="E18" s="3"/>
      <c r="F18" s="60">
        <f t="shared" ref="F18:J18" si="1">SUM(F4:F17)</f>
        <v>3200</v>
      </c>
      <c r="G18" s="60">
        <f t="shared" si="1"/>
        <v>24600</v>
      </c>
      <c r="H18" s="60">
        <f t="shared" si="1"/>
        <v>0</v>
      </c>
      <c r="I18" s="60">
        <f t="shared" si="1"/>
        <v>0</v>
      </c>
      <c r="J18" s="60">
        <f t="shared" si="1"/>
        <v>0</v>
      </c>
      <c r="K18" s="61"/>
      <c r="L18" s="61"/>
      <c r="M18" s="62"/>
    </row>
    <row r="19" ht="48.0" customHeight="1">
      <c r="F19" s="63">
        <f>F18+G18+H18+I18+J18</f>
        <v>27800</v>
      </c>
      <c r="G19" s="2"/>
      <c r="H19" s="2"/>
      <c r="I19" s="2"/>
      <c r="J1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5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45934.0</v>
      </c>
      <c r="C4" s="18" t="s">
        <v>79</v>
      </c>
      <c r="D4" s="19">
        <v>89802.0</v>
      </c>
      <c r="E4" s="20" t="s">
        <v>80</v>
      </c>
      <c r="F4" s="64"/>
      <c r="G4" s="65"/>
      <c r="H4" s="65">
        <v>1200.0</v>
      </c>
      <c r="I4" s="67"/>
      <c r="J4" s="68"/>
      <c r="K4" s="69"/>
      <c r="L4" s="26"/>
      <c r="M4" s="20" t="s">
        <v>19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45934.0</v>
      </c>
      <c r="C5" s="18" t="s">
        <v>81</v>
      </c>
      <c r="D5" s="19">
        <v>98940.0</v>
      </c>
      <c r="E5" s="20" t="s">
        <v>82</v>
      </c>
      <c r="F5" s="64"/>
      <c r="G5" s="65">
        <v>3600.0</v>
      </c>
      <c r="H5" s="66"/>
      <c r="I5" s="67"/>
      <c r="J5" s="68"/>
      <c r="K5" s="69"/>
      <c r="L5" s="26"/>
      <c r="M5" s="20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45935.0</v>
      </c>
      <c r="C6" s="18" t="s">
        <v>83</v>
      </c>
      <c r="D6" s="19">
        <v>10008.0</v>
      </c>
      <c r="E6" s="20" t="s">
        <v>84</v>
      </c>
      <c r="F6" s="64"/>
      <c r="G6" s="65">
        <v>900.0</v>
      </c>
      <c r="H6" s="66"/>
      <c r="I6" s="67"/>
      <c r="J6" s="68"/>
      <c r="K6" s="69"/>
      <c r="L6" s="26"/>
      <c r="M6" s="20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45935.0</v>
      </c>
      <c r="C7" s="18" t="s">
        <v>85</v>
      </c>
      <c r="D7" s="19">
        <v>43380.0</v>
      </c>
      <c r="E7" s="20" t="s">
        <v>86</v>
      </c>
      <c r="F7" s="64"/>
      <c r="G7" s="65">
        <v>25200.0</v>
      </c>
      <c r="H7" s="66"/>
      <c r="I7" s="67"/>
      <c r="J7" s="68"/>
      <c r="K7" s="69"/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45935.0</v>
      </c>
      <c r="C8" s="18" t="s">
        <v>87</v>
      </c>
      <c r="D8" s="19">
        <v>43380.0</v>
      </c>
      <c r="E8" s="20" t="s">
        <v>86</v>
      </c>
      <c r="F8" s="64"/>
      <c r="G8" s="65">
        <v>9000.0</v>
      </c>
      <c r="H8" s="66"/>
      <c r="I8" s="67"/>
      <c r="J8" s="68"/>
      <c r="K8" s="69"/>
      <c r="L8" s="26"/>
      <c r="M8" s="20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17">
        <v>45935.0</v>
      </c>
      <c r="C9" s="18" t="s">
        <v>88</v>
      </c>
      <c r="D9" s="19">
        <v>68284.0</v>
      </c>
      <c r="E9" s="20" t="s">
        <v>89</v>
      </c>
      <c r="F9" s="64"/>
      <c r="G9" s="65">
        <v>8630.0</v>
      </c>
      <c r="H9" s="66"/>
      <c r="I9" s="67"/>
      <c r="J9" s="68"/>
      <c r="K9" s="69"/>
      <c r="L9" s="26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7"/>
      <c r="C10" s="18"/>
      <c r="D10" s="19"/>
      <c r="E10" s="20"/>
      <c r="F10" s="64"/>
      <c r="G10" s="70"/>
      <c r="H10" s="70"/>
      <c r="I10" s="71"/>
      <c r="J10" s="72"/>
      <c r="K10" s="69"/>
      <c r="L10" s="26"/>
      <c r="M10" s="20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40"/>
      <c r="B11" s="53"/>
      <c r="C11" s="54"/>
      <c r="D11" s="55"/>
      <c r="E11" s="56"/>
      <c r="F11" s="57"/>
      <c r="G11" s="46"/>
      <c r="H11" s="47"/>
      <c r="I11" s="48"/>
      <c r="J11" s="49"/>
      <c r="K11" s="50"/>
      <c r="L11" s="51"/>
      <c r="M11" s="52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40"/>
      <c r="B12" s="53"/>
      <c r="C12" s="54"/>
      <c r="D12" s="55"/>
      <c r="E12" s="56"/>
      <c r="F12" s="58"/>
      <c r="G12" s="46"/>
      <c r="H12" s="47"/>
      <c r="I12" s="48"/>
      <c r="J12" s="49"/>
      <c r="K12" s="50"/>
      <c r="L12" s="51"/>
      <c r="M12" s="52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59"/>
      <c r="B13" s="2"/>
      <c r="C13" s="2"/>
      <c r="D13" s="2"/>
      <c r="E13" s="3"/>
      <c r="F13" s="60">
        <f t="shared" ref="F13:J13" si="1">SUM(F4:F12)</f>
        <v>0</v>
      </c>
      <c r="G13" s="60">
        <f t="shared" si="1"/>
        <v>47330</v>
      </c>
      <c r="H13" s="60">
        <f t="shared" si="1"/>
        <v>1200</v>
      </c>
      <c r="I13" s="60">
        <f t="shared" si="1"/>
        <v>0</v>
      </c>
      <c r="J13" s="60">
        <f t="shared" si="1"/>
        <v>0</v>
      </c>
      <c r="K13" s="61"/>
      <c r="L13" s="61"/>
      <c r="M13" s="62"/>
    </row>
    <row r="14" ht="48.0" customHeight="1">
      <c r="F14" s="63">
        <f>F13+G13+H13+I13+J13</f>
        <v>48530</v>
      </c>
      <c r="G14" s="2"/>
      <c r="H14" s="2"/>
      <c r="I14" s="2"/>
      <c r="J1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45936.0</v>
      </c>
      <c r="C4" s="18" t="s">
        <v>91</v>
      </c>
      <c r="D4" s="19">
        <v>10250.0</v>
      </c>
      <c r="E4" s="20" t="s">
        <v>92</v>
      </c>
      <c r="F4" s="64"/>
      <c r="G4" s="74">
        <v>19500.0</v>
      </c>
      <c r="H4" s="65"/>
      <c r="I4" s="67"/>
      <c r="J4" s="68"/>
      <c r="K4" s="69" t="s">
        <v>29</v>
      </c>
      <c r="L4" s="26"/>
      <c r="M4" s="20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45936.0</v>
      </c>
      <c r="C5" s="18" t="s">
        <v>93</v>
      </c>
      <c r="D5" s="19">
        <v>79572.0</v>
      </c>
      <c r="E5" s="20" t="s">
        <v>94</v>
      </c>
      <c r="F5" s="64"/>
      <c r="G5" s="74">
        <v>10000.0</v>
      </c>
      <c r="H5" s="66"/>
      <c r="I5" s="67"/>
      <c r="J5" s="68"/>
      <c r="K5" s="69" t="s">
        <v>35</v>
      </c>
      <c r="L5" s="26"/>
      <c r="M5" s="20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45936.0</v>
      </c>
      <c r="C6" s="18" t="s">
        <v>95</v>
      </c>
      <c r="D6" s="19">
        <v>59793.0</v>
      </c>
      <c r="E6" s="20" t="s">
        <v>67</v>
      </c>
      <c r="F6" s="64"/>
      <c r="G6" s="74">
        <v>1500.0</v>
      </c>
      <c r="H6" s="66"/>
      <c r="I6" s="67"/>
      <c r="J6" s="68"/>
      <c r="K6" s="69" t="s">
        <v>35</v>
      </c>
      <c r="L6" s="26"/>
      <c r="M6" s="20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/>
      <c r="C7" s="18"/>
      <c r="D7" s="19"/>
      <c r="E7" s="20"/>
      <c r="F7" s="64"/>
      <c r="G7" s="65"/>
      <c r="H7" s="66"/>
      <c r="I7" s="67"/>
      <c r="J7" s="68"/>
      <c r="K7" s="69"/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/>
      <c r="C8" s="18"/>
      <c r="D8" s="19"/>
      <c r="E8" s="20"/>
      <c r="F8" s="64"/>
      <c r="G8" s="65"/>
      <c r="H8" s="66"/>
      <c r="I8" s="67"/>
      <c r="J8" s="68"/>
      <c r="K8" s="69"/>
      <c r="L8" s="26"/>
      <c r="M8" s="20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17"/>
      <c r="C9" s="18"/>
      <c r="D9" s="19"/>
      <c r="E9" s="20"/>
      <c r="F9" s="64"/>
      <c r="G9" s="65"/>
      <c r="H9" s="66"/>
      <c r="I9" s="67"/>
      <c r="J9" s="68"/>
      <c r="K9" s="69"/>
      <c r="L9" s="26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7"/>
      <c r="C10" s="18"/>
      <c r="D10" s="19"/>
      <c r="E10" s="20"/>
      <c r="F10" s="64"/>
      <c r="G10" s="70"/>
      <c r="H10" s="70"/>
      <c r="I10" s="71"/>
      <c r="J10" s="72"/>
      <c r="K10" s="69"/>
      <c r="L10" s="26"/>
      <c r="M10" s="20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40"/>
      <c r="B11" s="53"/>
      <c r="C11" s="54"/>
      <c r="D11" s="55"/>
      <c r="E11" s="56"/>
      <c r="F11" s="57"/>
      <c r="G11" s="46"/>
      <c r="H11" s="47"/>
      <c r="I11" s="48"/>
      <c r="J11" s="49"/>
      <c r="K11" s="50"/>
      <c r="L11" s="51"/>
      <c r="M11" s="52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40"/>
      <c r="B12" s="53"/>
      <c r="C12" s="54"/>
      <c r="D12" s="55"/>
      <c r="E12" s="56"/>
      <c r="F12" s="58"/>
      <c r="G12" s="46"/>
      <c r="H12" s="47"/>
      <c r="I12" s="48"/>
      <c r="J12" s="49"/>
      <c r="K12" s="50"/>
      <c r="L12" s="51"/>
      <c r="M12" s="52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59"/>
      <c r="B13" s="2"/>
      <c r="C13" s="2"/>
      <c r="D13" s="2"/>
      <c r="E13" s="3"/>
      <c r="F13" s="60">
        <f t="shared" ref="F13:J13" si="1">SUM(F4:F12)</f>
        <v>0</v>
      </c>
      <c r="G13" s="60">
        <f t="shared" si="1"/>
        <v>31000</v>
      </c>
      <c r="H13" s="60">
        <f t="shared" si="1"/>
        <v>0</v>
      </c>
      <c r="I13" s="60">
        <f t="shared" si="1"/>
        <v>0</v>
      </c>
      <c r="J13" s="60">
        <f t="shared" si="1"/>
        <v>0</v>
      </c>
      <c r="K13" s="61"/>
      <c r="L13" s="61"/>
      <c r="M13" s="62"/>
    </row>
    <row r="14" ht="48.0" customHeight="1">
      <c r="F14" s="63">
        <f>F13+G13+H13+I13+J13</f>
        <v>31000</v>
      </c>
      <c r="G14" s="2"/>
      <c r="H14" s="2"/>
      <c r="I14" s="2"/>
      <c r="J1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75" t="s">
        <v>97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45936.0</v>
      </c>
      <c r="C4" s="18" t="s">
        <v>98</v>
      </c>
      <c r="D4" s="19">
        <v>99022.0</v>
      </c>
      <c r="E4" s="20" t="s">
        <v>99</v>
      </c>
      <c r="F4" s="64"/>
      <c r="G4" s="74">
        <v>3200.0</v>
      </c>
      <c r="H4" s="65"/>
      <c r="I4" s="67"/>
      <c r="J4" s="68"/>
      <c r="K4" s="69"/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45936.0</v>
      </c>
      <c r="C5" s="18" t="s">
        <v>100</v>
      </c>
      <c r="D5" s="19">
        <v>99027.0</v>
      </c>
      <c r="E5" s="20" t="s">
        <v>101</v>
      </c>
      <c r="F5" s="64"/>
      <c r="G5" s="74">
        <v>2950.0</v>
      </c>
      <c r="H5" s="66"/>
      <c r="I5" s="67"/>
      <c r="J5" s="68"/>
      <c r="K5" s="69"/>
      <c r="L5" s="26"/>
      <c r="M5" s="20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45936.0</v>
      </c>
      <c r="C6" s="18" t="s">
        <v>102</v>
      </c>
      <c r="D6" s="19">
        <v>99033.0</v>
      </c>
      <c r="E6" s="20" t="s">
        <v>103</v>
      </c>
      <c r="F6" s="64"/>
      <c r="G6" s="74">
        <v>2950.0</v>
      </c>
      <c r="H6" s="66"/>
      <c r="I6" s="67"/>
      <c r="J6" s="68"/>
      <c r="K6" s="69"/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45936.0</v>
      </c>
      <c r="C7" s="18" t="s">
        <v>104</v>
      </c>
      <c r="D7" s="19">
        <v>10288.0</v>
      </c>
      <c r="E7" s="20" t="s">
        <v>105</v>
      </c>
      <c r="F7" s="64"/>
      <c r="G7" s="65">
        <v>4500.0</v>
      </c>
      <c r="H7" s="66"/>
      <c r="I7" s="67"/>
      <c r="J7" s="68"/>
      <c r="K7" s="69"/>
      <c r="L7" s="26"/>
      <c r="M7" s="20" t="s">
        <v>19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45937.0</v>
      </c>
      <c r="C8" s="18" t="s">
        <v>106</v>
      </c>
      <c r="D8" s="19">
        <v>95492.0</v>
      </c>
      <c r="E8" s="20" t="s">
        <v>73</v>
      </c>
      <c r="F8" s="64">
        <v>5100.0</v>
      </c>
      <c r="G8" s="65"/>
      <c r="H8" s="66"/>
      <c r="I8" s="67"/>
      <c r="J8" s="68"/>
      <c r="K8" s="69"/>
      <c r="L8" s="26"/>
      <c r="M8" s="20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53"/>
      <c r="C9" s="54"/>
      <c r="D9" s="55"/>
      <c r="E9" s="56"/>
      <c r="F9" s="57"/>
      <c r="G9" s="46"/>
      <c r="H9" s="47"/>
      <c r="I9" s="48"/>
      <c r="J9" s="49"/>
      <c r="K9" s="50"/>
      <c r="L9" s="51"/>
      <c r="M9" s="5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40"/>
      <c r="B10" s="53"/>
      <c r="C10" s="54"/>
      <c r="D10" s="55"/>
      <c r="E10" s="56"/>
      <c r="F10" s="58"/>
      <c r="G10" s="46"/>
      <c r="H10" s="47"/>
      <c r="I10" s="48"/>
      <c r="J10" s="49"/>
      <c r="K10" s="50"/>
      <c r="L10" s="51"/>
      <c r="M10" s="52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59"/>
      <c r="B11" s="2"/>
      <c r="C11" s="2"/>
      <c r="D11" s="2"/>
      <c r="E11" s="3"/>
      <c r="F11" s="60">
        <f t="shared" ref="F11:J11" si="1">SUM(F4:F10)</f>
        <v>5100</v>
      </c>
      <c r="G11" s="60">
        <f t="shared" si="1"/>
        <v>13600</v>
      </c>
      <c r="H11" s="60">
        <f t="shared" si="1"/>
        <v>0</v>
      </c>
      <c r="I11" s="60">
        <f t="shared" si="1"/>
        <v>0</v>
      </c>
      <c r="J11" s="60">
        <f t="shared" si="1"/>
        <v>0</v>
      </c>
      <c r="K11" s="61"/>
      <c r="L11" s="61"/>
      <c r="M11" s="62"/>
    </row>
    <row r="12" ht="48.0" customHeight="1">
      <c r="F12" s="63">
        <f>F11+G11+H11+I11+J11</f>
        <v>18700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75" t="s">
        <v>97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45938.0</v>
      </c>
      <c r="C4" s="18" t="s">
        <v>108</v>
      </c>
      <c r="D4" s="19">
        <v>88146.0</v>
      </c>
      <c r="E4" s="20" t="s">
        <v>109</v>
      </c>
      <c r="F4" s="64">
        <v>4600.0</v>
      </c>
      <c r="G4" s="74"/>
      <c r="H4" s="65"/>
      <c r="I4" s="67"/>
      <c r="J4" s="68"/>
      <c r="K4" s="69" t="s">
        <v>18</v>
      </c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45938.0</v>
      </c>
      <c r="C5" s="18" t="s">
        <v>110</v>
      </c>
      <c r="D5" s="19">
        <v>47787.0</v>
      </c>
      <c r="E5" s="20" t="s">
        <v>28</v>
      </c>
      <c r="F5" s="64">
        <v>350.0</v>
      </c>
      <c r="G5" s="74"/>
      <c r="H5" s="66"/>
      <c r="I5" s="67"/>
      <c r="J5" s="68"/>
      <c r="K5" s="69" t="s">
        <v>29</v>
      </c>
      <c r="L5" s="26"/>
      <c r="M5" s="20" t="s">
        <v>111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45938.0</v>
      </c>
      <c r="C6" s="18" t="s">
        <v>112</v>
      </c>
      <c r="D6" s="19">
        <v>59137.0</v>
      </c>
      <c r="E6" s="20" t="s">
        <v>113</v>
      </c>
      <c r="F6" s="64">
        <v>4600.0</v>
      </c>
      <c r="G6" s="74"/>
      <c r="H6" s="66"/>
      <c r="I6" s="67"/>
      <c r="J6" s="68"/>
      <c r="K6" s="69" t="s">
        <v>18</v>
      </c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45937.0</v>
      </c>
      <c r="C7" s="18" t="s">
        <v>114</v>
      </c>
      <c r="D7" s="19">
        <v>49953.0</v>
      </c>
      <c r="E7" s="20" t="s">
        <v>115</v>
      </c>
      <c r="F7" s="64"/>
      <c r="G7" s="65"/>
      <c r="H7" s="66"/>
      <c r="I7" s="67"/>
      <c r="J7" s="76">
        <v>23.0</v>
      </c>
      <c r="K7" s="69" t="s">
        <v>18</v>
      </c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45938.0</v>
      </c>
      <c r="C8" s="18" t="s">
        <v>116</v>
      </c>
      <c r="D8" s="19">
        <v>46927.0</v>
      </c>
      <c r="E8" s="20" t="s">
        <v>117</v>
      </c>
      <c r="F8" s="64"/>
      <c r="G8" s="65"/>
      <c r="H8" s="66"/>
      <c r="I8" s="67"/>
      <c r="J8" s="76">
        <v>23.0</v>
      </c>
      <c r="K8" s="69" t="s">
        <v>18</v>
      </c>
      <c r="L8" s="26"/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53"/>
      <c r="C9" s="54"/>
      <c r="D9" s="55"/>
      <c r="E9" s="77"/>
      <c r="F9" s="57"/>
      <c r="G9" s="46"/>
      <c r="H9" s="47"/>
      <c r="I9" s="48"/>
      <c r="J9" s="49"/>
      <c r="K9" s="50"/>
      <c r="L9" s="51"/>
      <c r="M9" s="52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40"/>
      <c r="B10" s="53"/>
      <c r="C10" s="54"/>
      <c r="D10" s="55"/>
      <c r="E10" s="56"/>
      <c r="F10" s="58"/>
      <c r="G10" s="46"/>
      <c r="H10" s="47"/>
      <c r="I10" s="48"/>
      <c r="J10" s="49"/>
      <c r="K10" s="50"/>
      <c r="L10" s="51"/>
      <c r="M10" s="52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59"/>
      <c r="B11" s="2"/>
      <c r="C11" s="2"/>
      <c r="D11" s="2"/>
      <c r="E11" s="3"/>
      <c r="F11" s="60">
        <f t="shared" ref="F11:J11" si="1">SUM(F4:F10)</f>
        <v>9550</v>
      </c>
      <c r="G11" s="60">
        <f t="shared" si="1"/>
        <v>0</v>
      </c>
      <c r="H11" s="60">
        <f t="shared" si="1"/>
        <v>0</v>
      </c>
      <c r="I11" s="60">
        <f t="shared" si="1"/>
        <v>0</v>
      </c>
      <c r="J11" s="60">
        <f t="shared" si="1"/>
        <v>46</v>
      </c>
      <c r="K11" s="61"/>
      <c r="L11" s="61"/>
      <c r="M11" s="62"/>
    </row>
    <row r="12" ht="48.0" customHeight="1">
      <c r="F12" s="63">
        <f>F11+G11+H11+I11+J11</f>
        <v>9596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75" t="s">
        <v>97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45939.0</v>
      </c>
      <c r="C4" s="18" t="s">
        <v>119</v>
      </c>
      <c r="D4" s="78">
        <v>50342.0</v>
      </c>
      <c r="E4" s="20" t="s">
        <v>120</v>
      </c>
      <c r="F4" s="64"/>
      <c r="G4" s="74">
        <v>5000.0</v>
      </c>
      <c r="H4" s="79"/>
      <c r="I4" s="67"/>
      <c r="J4" s="68"/>
      <c r="K4" s="69" t="s">
        <v>29</v>
      </c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45939.0</v>
      </c>
      <c r="C5" s="18" t="s">
        <v>121</v>
      </c>
      <c r="D5" s="78">
        <v>43380.0</v>
      </c>
      <c r="E5" s="20" t="s">
        <v>86</v>
      </c>
      <c r="F5" s="64">
        <v>10000.0</v>
      </c>
      <c r="G5" s="74"/>
      <c r="H5" s="79"/>
      <c r="I5" s="67"/>
      <c r="J5" s="68"/>
      <c r="K5" s="69" t="s">
        <v>18</v>
      </c>
      <c r="L5" s="26"/>
      <c r="M5" s="20" t="s">
        <v>111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45939.0</v>
      </c>
      <c r="C6" s="18" t="s">
        <v>122</v>
      </c>
      <c r="D6" s="78">
        <v>99304.0</v>
      </c>
      <c r="E6" s="20" t="s">
        <v>123</v>
      </c>
      <c r="F6" s="64"/>
      <c r="G6" s="74"/>
      <c r="H6" s="79">
        <v>300.0</v>
      </c>
      <c r="I6" s="67"/>
      <c r="J6" s="68"/>
      <c r="K6" s="69" t="s">
        <v>18</v>
      </c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45939.0</v>
      </c>
      <c r="C7" s="18" t="s">
        <v>124</v>
      </c>
      <c r="D7" s="78">
        <v>54426.0</v>
      </c>
      <c r="E7" s="20" t="s">
        <v>125</v>
      </c>
      <c r="F7" s="64"/>
      <c r="G7" s="65"/>
      <c r="H7" s="79"/>
      <c r="I7" s="67"/>
      <c r="J7" s="76">
        <v>140.0</v>
      </c>
      <c r="K7" s="69" t="s">
        <v>18</v>
      </c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45939.0</v>
      </c>
      <c r="C8" s="18" t="s">
        <v>126</v>
      </c>
      <c r="D8" s="78">
        <v>36903.0</v>
      </c>
      <c r="E8" s="20" t="s">
        <v>127</v>
      </c>
      <c r="F8" s="64"/>
      <c r="G8" s="65"/>
      <c r="H8" s="66"/>
      <c r="I8" s="67"/>
      <c r="J8" s="76">
        <v>123.0</v>
      </c>
      <c r="K8" s="69" t="s">
        <v>18</v>
      </c>
      <c r="L8" s="26"/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80">
        <v>45939.0</v>
      </c>
      <c r="C9" s="81" t="s">
        <v>128</v>
      </c>
      <c r="D9" s="82">
        <v>54317.0</v>
      </c>
      <c r="E9" s="83" t="s">
        <v>129</v>
      </c>
      <c r="F9" s="57"/>
      <c r="G9" s="46"/>
      <c r="H9" s="47"/>
      <c r="I9" s="48"/>
      <c r="J9" s="84">
        <v>93.0</v>
      </c>
      <c r="K9" s="85" t="s">
        <v>18</v>
      </c>
      <c r="L9" s="51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 t="s">
        <v>49</v>
      </c>
      <c r="B10" s="80">
        <v>45939.0</v>
      </c>
      <c r="C10" s="81" t="s">
        <v>130</v>
      </c>
      <c r="D10" s="82">
        <v>51946.0</v>
      </c>
      <c r="E10" s="86" t="s">
        <v>131</v>
      </c>
      <c r="F10" s="58"/>
      <c r="G10" s="46"/>
      <c r="H10" s="47"/>
      <c r="I10" s="48"/>
      <c r="J10" s="84">
        <v>175.0</v>
      </c>
      <c r="K10" s="85" t="s">
        <v>18</v>
      </c>
      <c r="L10" s="51"/>
      <c r="M10" s="20" t="s">
        <v>36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 t="s">
        <v>52</v>
      </c>
      <c r="B11" s="80">
        <v>45939.0</v>
      </c>
      <c r="C11" s="81" t="s">
        <v>132</v>
      </c>
      <c r="D11" s="82">
        <v>61901.0</v>
      </c>
      <c r="E11" s="86" t="s">
        <v>133</v>
      </c>
      <c r="F11" s="87"/>
      <c r="G11" s="46"/>
      <c r="H11" s="47"/>
      <c r="I11" s="48"/>
      <c r="J11" s="84">
        <v>37.0</v>
      </c>
      <c r="K11" s="85" t="s">
        <v>18</v>
      </c>
      <c r="L11" s="51"/>
      <c r="M11" s="20" t="s">
        <v>36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 t="s">
        <v>55</v>
      </c>
      <c r="B12" s="80">
        <v>45939.0</v>
      </c>
      <c r="C12" s="81" t="s">
        <v>134</v>
      </c>
      <c r="D12" s="82">
        <v>61256.0</v>
      </c>
      <c r="E12" s="86" t="s">
        <v>135</v>
      </c>
      <c r="F12" s="87"/>
      <c r="G12" s="46"/>
      <c r="H12" s="47"/>
      <c r="I12" s="48"/>
      <c r="J12" s="84">
        <v>72.0</v>
      </c>
      <c r="K12" s="85" t="s">
        <v>18</v>
      </c>
      <c r="L12" s="51"/>
      <c r="M12" s="20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10000</v>
      </c>
      <c r="G14" s="60">
        <f t="shared" si="1"/>
        <v>5000</v>
      </c>
      <c r="H14" s="60">
        <f t="shared" si="1"/>
        <v>300</v>
      </c>
      <c r="I14" s="60">
        <f t="shared" si="1"/>
        <v>0</v>
      </c>
      <c r="J14" s="60">
        <f t="shared" si="1"/>
        <v>640</v>
      </c>
      <c r="K14" s="61"/>
      <c r="L14" s="61"/>
      <c r="M14" s="62"/>
    </row>
    <row r="15" ht="48.0" customHeight="1">
      <c r="F15" s="63">
        <f>F14+G14+H14+I14+J14</f>
        <v>15940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75" t="s">
        <v>97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45940.0</v>
      </c>
      <c r="C4" s="18" t="s">
        <v>137</v>
      </c>
      <c r="D4" s="78">
        <v>52669.0</v>
      </c>
      <c r="E4" s="20" t="s">
        <v>42</v>
      </c>
      <c r="F4" s="64"/>
      <c r="G4" s="74">
        <v>25900.0</v>
      </c>
      <c r="H4" s="79"/>
      <c r="I4" s="67"/>
      <c r="J4" s="68"/>
      <c r="K4" s="69" t="s">
        <v>29</v>
      </c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45940.0</v>
      </c>
      <c r="C5" s="18" t="s">
        <v>138</v>
      </c>
      <c r="D5" s="78">
        <v>72839.0</v>
      </c>
      <c r="E5" s="20" t="s">
        <v>139</v>
      </c>
      <c r="F5" s="64"/>
      <c r="G5" s="74">
        <v>300.0</v>
      </c>
      <c r="H5" s="79"/>
      <c r="I5" s="67"/>
      <c r="J5" s="68"/>
      <c r="K5" s="69" t="s">
        <v>18</v>
      </c>
      <c r="L5" s="26"/>
      <c r="M5" s="20" t="s">
        <v>111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45940.0</v>
      </c>
      <c r="C6" s="18" t="s">
        <v>140</v>
      </c>
      <c r="D6" s="78">
        <v>99383.0</v>
      </c>
      <c r="E6" s="20" t="s">
        <v>141</v>
      </c>
      <c r="F6" s="64"/>
      <c r="G6" s="74">
        <v>7000.0</v>
      </c>
      <c r="H6" s="79"/>
      <c r="I6" s="67"/>
      <c r="J6" s="68"/>
      <c r="K6" s="69" t="s">
        <v>18</v>
      </c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45940.0</v>
      </c>
      <c r="C7" s="18" t="s">
        <v>142</v>
      </c>
      <c r="D7" s="78">
        <v>24368.0</v>
      </c>
      <c r="E7" s="20" t="s">
        <v>143</v>
      </c>
      <c r="F7" s="64"/>
      <c r="G7" s="65"/>
      <c r="H7" s="79">
        <v>4600.0</v>
      </c>
      <c r="I7" s="67"/>
      <c r="J7" s="76"/>
      <c r="K7" s="69" t="s">
        <v>18</v>
      </c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/>
      <c r="C8" s="18"/>
      <c r="D8" s="78"/>
      <c r="E8" s="20"/>
      <c r="F8" s="64"/>
      <c r="G8" s="65"/>
      <c r="H8" s="66"/>
      <c r="I8" s="67"/>
      <c r="J8" s="76"/>
      <c r="K8" s="69"/>
      <c r="L8" s="26"/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80"/>
      <c r="C9" s="81"/>
      <c r="D9" s="82"/>
      <c r="E9" s="83"/>
      <c r="F9" s="57"/>
      <c r="G9" s="46"/>
      <c r="H9" s="47"/>
      <c r="I9" s="48"/>
      <c r="J9" s="84"/>
      <c r="K9" s="85"/>
      <c r="L9" s="51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 t="s">
        <v>49</v>
      </c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51"/>
      <c r="M10" s="20" t="s">
        <v>36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 t="s">
        <v>52</v>
      </c>
      <c r="B11" s="80"/>
      <c r="C11" s="81"/>
      <c r="D11" s="82"/>
      <c r="E11" s="86"/>
      <c r="F11" s="87"/>
      <c r="G11" s="46"/>
      <c r="H11" s="47"/>
      <c r="I11" s="48"/>
      <c r="J11" s="84"/>
      <c r="K11" s="85"/>
      <c r="L11" s="51"/>
      <c r="M11" s="20" t="s">
        <v>36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 t="s">
        <v>55</v>
      </c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51"/>
      <c r="M12" s="20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0</v>
      </c>
      <c r="G14" s="60">
        <f t="shared" si="1"/>
        <v>33200</v>
      </c>
      <c r="H14" s="60">
        <f t="shared" si="1"/>
        <v>4600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37800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75" t="s">
        <v>97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45941.0</v>
      </c>
      <c r="C4" s="18" t="s">
        <v>145</v>
      </c>
      <c r="D4" s="78">
        <v>47787.0</v>
      </c>
      <c r="E4" s="20" t="s">
        <v>28</v>
      </c>
      <c r="F4" s="64"/>
      <c r="G4" s="74">
        <v>10000.0</v>
      </c>
      <c r="H4" s="79"/>
      <c r="I4" s="67"/>
      <c r="J4" s="68"/>
      <c r="K4" s="69" t="s">
        <v>29</v>
      </c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45941.0</v>
      </c>
      <c r="C5" s="18" t="s">
        <v>146</v>
      </c>
      <c r="D5" s="78">
        <v>10921.0</v>
      </c>
      <c r="E5" s="20" t="s">
        <v>147</v>
      </c>
      <c r="F5" s="64"/>
      <c r="G5" s="74"/>
      <c r="H5" s="79"/>
      <c r="I5" s="67"/>
      <c r="J5" s="74">
        <v>35.0</v>
      </c>
      <c r="K5" s="69" t="s">
        <v>18</v>
      </c>
      <c r="L5" s="26"/>
      <c r="M5" s="20" t="s">
        <v>111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45941.0</v>
      </c>
      <c r="C6" s="18" t="s">
        <v>148</v>
      </c>
      <c r="D6" s="78">
        <v>10929.0</v>
      </c>
      <c r="E6" s="20" t="s">
        <v>149</v>
      </c>
      <c r="F6" s="64"/>
      <c r="G6" s="74"/>
      <c r="H6" s="79"/>
      <c r="I6" s="67"/>
      <c r="J6" s="74">
        <v>70.0</v>
      </c>
      <c r="K6" s="69" t="s">
        <v>18</v>
      </c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45941.0</v>
      </c>
      <c r="C7" s="18" t="s">
        <v>150</v>
      </c>
      <c r="D7" s="78">
        <v>10271.0</v>
      </c>
      <c r="E7" s="20" t="s">
        <v>151</v>
      </c>
      <c r="F7" s="64"/>
      <c r="G7" s="65"/>
      <c r="H7" s="79"/>
      <c r="I7" s="67"/>
      <c r="J7" s="74">
        <v>140.0</v>
      </c>
      <c r="K7" s="69" t="s">
        <v>18</v>
      </c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/>
      <c r="C8" s="18"/>
      <c r="D8" s="78"/>
      <c r="E8" s="20"/>
      <c r="F8" s="64"/>
      <c r="G8" s="65"/>
      <c r="H8" s="66"/>
      <c r="I8" s="67"/>
      <c r="J8" s="76"/>
      <c r="K8" s="69"/>
      <c r="L8" s="26"/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80"/>
      <c r="C9" s="81"/>
      <c r="D9" s="82"/>
      <c r="E9" s="83"/>
      <c r="F9" s="57"/>
      <c r="G9" s="46"/>
      <c r="H9" s="47"/>
      <c r="I9" s="48"/>
      <c r="J9" s="84"/>
      <c r="K9" s="85"/>
      <c r="L9" s="51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 t="s">
        <v>49</v>
      </c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51"/>
      <c r="M10" s="20" t="s">
        <v>36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 t="s">
        <v>52</v>
      </c>
      <c r="B11" s="80"/>
      <c r="C11" s="81"/>
      <c r="D11" s="82"/>
      <c r="E11" s="86"/>
      <c r="F11" s="87"/>
      <c r="G11" s="46"/>
      <c r="H11" s="47"/>
      <c r="I11" s="48"/>
      <c r="J11" s="84"/>
      <c r="K11" s="85"/>
      <c r="L11" s="51"/>
      <c r="M11" s="20" t="s">
        <v>36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 t="s">
        <v>55</v>
      </c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51"/>
      <c r="M12" s="20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0</v>
      </c>
      <c r="G14" s="60">
        <f t="shared" si="1"/>
        <v>10000</v>
      </c>
      <c r="H14" s="60">
        <f t="shared" si="1"/>
        <v>0</v>
      </c>
      <c r="I14" s="60">
        <f t="shared" si="1"/>
        <v>0</v>
      </c>
      <c r="J14" s="60">
        <f t="shared" si="1"/>
        <v>245</v>
      </c>
      <c r="K14" s="61"/>
      <c r="L14" s="61"/>
      <c r="M14" s="62"/>
    </row>
    <row r="15" ht="48.0" customHeight="1">
      <c r="F15" s="63">
        <f>F14+G14+H14+I14+J14</f>
        <v>10245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75" t="s">
        <v>97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46001.0</v>
      </c>
      <c r="C4" s="18" t="s">
        <v>153</v>
      </c>
      <c r="D4" s="78">
        <v>25541.0</v>
      </c>
      <c r="E4" s="20" t="s">
        <v>154</v>
      </c>
      <c r="F4" s="64"/>
      <c r="G4" s="46">
        <v>4500.0</v>
      </c>
      <c r="H4" s="79"/>
      <c r="I4" s="67"/>
      <c r="J4" s="68"/>
      <c r="K4" s="69" t="s">
        <v>29</v>
      </c>
      <c r="L4" s="26"/>
      <c r="M4" s="2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7">
        <v>46001.0</v>
      </c>
      <c r="C5" s="18" t="s">
        <v>155</v>
      </c>
      <c r="D5" s="78">
        <v>25541.0</v>
      </c>
      <c r="E5" s="20" t="s">
        <v>154</v>
      </c>
      <c r="F5" s="64"/>
      <c r="G5" s="46">
        <v>4500.0</v>
      </c>
      <c r="H5" s="79"/>
      <c r="I5" s="67"/>
      <c r="J5" s="74"/>
      <c r="K5" s="69" t="s">
        <v>18</v>
      </c>
      <c r="L5" s="26"/>
      <c r="M5" s="20" t="s">
        <v>111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46001.0</v>
      </c>
      <c r="C6" s="18" t="s">
        <v>156</v>
      </c>
      <c r="D6" s="78">
        <v>89802.0</v>
      </c>
      <c r="E6" s="20" t="s">
        <v>80</v>
      </c>
      <c r="F6" s="64">
        <v>1200.0</v>
      </c>
      <c r="G6" s="74"/>
      <c r="H6" s="79"/>
      <c r="I6" s="67"/>
      <c r="J6" s="74"/>
      <c r="K6" s="69" t="s">
        <v>18</v>
      </c>
      <c r="L6" s="26"/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/>
      <c r="C7" s="18"/>
      <c r="D7" s="78"/>
      <c r="E7" s="20"/>
      <c r="F7" s="64"/>
      <c r="G7" s="65"/>
      <c r="H7" s="79"/>
      <c r="I7" s="67"/>
      <c r="J7" s="74"/>
      <c r="K7" s="69" t="s">
        <v>18</v>
      </c>
      <c r="L7" s="26"/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/>
      <c r="C8" s="18"/>
      <c r="D8" s="78"/>
      <c r="E8" s="20"/>
      <c r="F8" s="64"/>
      <c r="G8" s="65"/>
      <c r="H8" s="66"/>
      <c r="I8" s="67"/>
      <c r="J8" s="76"/>
      <c r="K8" s="69"/>
      <c r="L8" s="26"/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80"/>
      <c r="C9" s="81"/>
      <c r="D9" s="82"/>
      <c r="E9" s="83"/>
      <c r="F9" s="57"/>
      <c r="G9" s="46"/>
      <c r="H9" s="47"/>
      <c r="I9" s="48"/>
      <c r="J9" s="84"/>
      <c r="K9" s="85"/>
      <c r="L9" s="51"/>
      <c r="M9" s="20" t="s">
        <v>36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 t="s">
        <v>49</v>
      </c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51"/>
      <c r="M10" s="20" t="s">
        <v>36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 t="s">
        <v>52</v>
      </c>
      <c r="B11" s="80"/>
      <c r="C11" s="81"/>
      <c r="D11" s="82"/>
      <c r="E11" s="86"/>
      <c r="F11" s="87"/>
      <c r="G11" s="46"/>
      <c r="H11" s="47"/>
      <c r="I11" s="48"/>
      <c r="J11" s="84"/>
      <c r="K11" s="85"/>
      <c r="L11" s="51"/>
      <c r="M11" s="20" t="s">
        <v>36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 t="s">
        <v>55</v>
      </c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51"/>
      <c r="M12" s="20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1200</v>
      </c>
      <c r="G14" s="60">
        <f t="shared" si="1"/>
        <v>9000</v>
      </c>
      <c r="H14" s="60">
        <f t="shared" si="1"/>
        <v>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10200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92" t="s">
        <v>15</v>
      </c>
      <c r="B4" s="93">
        <v>45943.0</v>
      </c>
      <c r="C4" s="94" t="s">
        <v>158</v>
      </c>
      <c r="D4" s="95">
        <v>50342.0</v>
      </c>
      <c r="E4" s="96" t="s">
        <v>120</v>
      </c>
      <c r="F4" s="97"/>
      <c r="G4" s="98">
        <v>2500.0</v>
      </c>
      <c r="H4" s="99"/>
      <c r="I4" s="100"/>
      <c r="J4" s="101"/>
      <c r="K4" s="102" t="s">
        <v>29</v>
      </c>
      <c r="L4" s="103" t="s">
        <v>159</v>
      </c>
      <c r="M4" s="96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92" t="s">
        <v>20</v>
      </c>
      <c r="B5" s="93">
        <v>45943.0</v>
      </c>
      <c r="C5" s="94" t="s">
        <v>160</v>
      </c>
      <c r="D5" s="95">
        <v>99622.0</v>
      </c>
      <c r="E5" s="96" t="s">
        <v>161</v>
      </c>
      <c r="F5" s="97"/>
      <c r="G5" s="98"/>
      <c r="H5" s="99">
        <v>300.0</v>
      </c>
      <c r="I5" s="100"/>
      <c r="J5" s="104"/>
      <c r="K5" s="102" t="s">
        <v>18</v>
      </c>
      <c r="L5" s="103" t="s">
        <v>162</v>
      </c>
      <c r="M5" s="96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45944.0</v>
      </c>
      <c r="C6" s="18" t="s">
        <v>163</v>
      </c>
      <c r="D6" s="78">
        <v>43380.0</v>
      </c>
      <c r="E6" s="20" t="s">
        <v>86</v>
      </c>
      <c r="F6" s="64">
        <v>25300.0</v>
      </c>
      <c r="G6" s="74"/>
      <c r="H6" s="79"/>
      <c r="I6" s="67"/>
      <c r="J6" s="74"/>
      <c r="K6" s="69" t="s">
        <v>18</v>
      </c>
      <c r="L6" s="105" t="s">
        <v>164</v>
      </c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45944.0</v>
      </c>
      <c r="C7" s="18" t="s">
        <v>165</v>
      </c>
      <c r="D7" s="78">
        <v>87820.0</v>
      </c>
      <c r="E7" s="20" t="s">
        <v>166</v>
      </c>
      <c r="F7" s="64"/>
      <c r="G7" s="65"/>
      <c r="H7" s="79">
        <v>15500.0</v>
      </c>
      <c r="I7" s="67"/>
      <c r="J7" s="74"/>
      <c r="K7" s="69" t="s">
        <v>18</v>
      </c>
      <c r="L7" s="105" t="s">
        <v>167</v>
      </c>
      <c r="M7" s="20" t="s">
        <v>19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45944.0</v>
      </c>
      <c r="C8" s="18" t="s">
        <v>168</v>
      </c>
      <c r="D8" s="78">
        <v>42052.0</v>
      </c>
      <c r="E8" s="20" t="s">
        <v>169</v>
      </c>
      <c r="F8" s="64"/>
      <c r="G8" s="65"/>
      <c r="H8" s="66"/>
      <c r="I8" s="67"/>
      <c r="J8" s="76">
        <v>23.0</v>
      </c>
      <c r="K8" s="69" t="s">
        <v>18</v>
      </c>
      <c r="L8" s="105" t="s">
        <v>170</v>
      </c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80"/>
      <c r="C9" s="81"/>
      <c r="D9" s="82"/>
      <c r="E9" s="83"/>
      <c r="F9" s="57"/>
      <c r="G9" s="46"/>
      <c r="H9" s="47"/>
      <c r="I9" s="48"/>
      <c r="J9" s="84"/>
      <c r="K9" s="85"/>
      <c r="L9" s="106"/>
      <c r="M9" s="20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106"/>
      <c r="M10" s="20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25300</v>
      </c>
      <c r="G14" s="60">
        <f t="shared" si="1"/>
        <v>2500</v>
      </c>
      <c r="H14" s="60">
        <f t="shared" si="1"/>
        <v>15800</v>
      </c>
      <c r="I14" s="60">
        <f t="shared" si="1"/>
        <v>0</v>
      </c>
      <c r="J14" s="60">
        <f t="shared" si="1"/>
        <v>23</v>
      </c>
      <c r="K14" s="61"/>
      <c r="L14" s="61"/>
      <c r="M14" s="62"/>
    </row>
    <row r="15" ht="48.0" customHeight="1">
      <c r="F15" s="63">
        <f>F14+G14+H14+I14+J14</f>
        <v>43623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92" t="s">
        <v>15</v>
      </c>
      <c r="B4" s="93">
        <v>45943.0</v>
      </c>
      <c r="C4" s="94" t="s">
        <v>158</v>
      </c>
      <c r="D4" s="95">
        <v>50342.0</v>
      </c>
      <c r="E4" s="96" t="s">
        <v>120</v>
      </c>
      <c r="F4" s="97"/>
      <c r="G4" s="98">
        <v>2500.0</v>
      </c>
      <c r="H4" s="99"/>
      <c r="I4" s="100"/>
      <c r="J4" s="101"/>
      <c r="K4" s="102" t="s">
        <v>29</v>
      </c>
      <c r="L4" s="103" t="s">
        <v>159</v>
      </c>
      <c r="M4" s="96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92" t="s">
        <v>20</v>
      </c>
      <c r="B5" s="93">
        <v>45943.0</v>
      </c>
      <c r="C5" s="94" t="s">
        <v>160</v>
      </c>
      <c r="D5" s="95">
        <v>99622.0</v>
      </c>
      <c r="E5" s="96" t="s">
        <v>161</v>
      </c>
      <c r="F5" s="97"/>
      <c r="G5" s="98"/>
      <c r="H5" s="99">
        <v>300.0</v>
      </c>
      <c r="I5" s="100"/>
      <c r="J5" s="104"/>
      <c r="K5" s="102" t="s">
        <v>18</v>
      </c>
      <c r="L5" s="103" t="s">
        <v>162</v>
      </c>
      <c r="M5" s="96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45944.0</v>
      </c>
      <c r="C6" s="18" t="s">
        <v>163</v>
      </c>
      <c r="D6" s="78">
        <v>43380.0</v>
      </c>
      <c r="E6" s="20" t="s">
        <v>86</v>
      </c>
      <c r="F6" s="64">
        <v>25300.0</v>
      </c>
      <c r="G6" s="74"/>
      <c r="H6" s="79"/>
      <c r="I6" s="67"/>
      <c r="J6" s="74"/>
      <c r="K6" s="69" t="s">
        <v>18</v>
      </c>
      <c r="L6" s="105" t="s">
        <v>164</v>
      </c>
      <c r="M6" s="20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45944.0</v>
      </c>
      <c r="C7" s="18" t="s">
        <v>165</v>
      </c>
      <c r="D7" s="78">
        <v>87820.0</v>
      </c>
      <c r="E7" s="20" t="s">
        <v>166</v>
      </c>
      <c r="F7" s="64"/>
      <c r="G7" s="65"/>
      <c r="H7" s="79">
        <v>15500.0</v>
      </c>
      <c r="I7" s="67"/>
      <c r="J7" s="74"/>
      <c r="K7" s="69" t="s">
        <v>18</v>
      </c>
      <c r="L7" s="105" t="s">
        <v>167</v>
      </c>
      <c r="M7" s="20" t="s">
        <v>19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45944.0</v>
      </c>
      <c r="C8" s="18" t="s">
        <v>168</v>
      </c>
      <c r="D8" s="78">
        <v>42052.0</v>
      </c>
      <c r="E8" s="20" t="s">
        <v>169</v>
      </c>
      <c r="F8" s="64"/>
      <c r="G8" s="65"/>
      <c r="H8" s="66"/>
      <c r="I8" s="67"/>
      <c r="J8" s="76">
        <v>23.0</v>
      </c>
      <c r="K8" s="69" t="s">
        <v>18</v>
      </c>
      <c r="L8" s="105" t="s">
        <v>170</v>
      </c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80"/>
      <c r="C9" s="81"/>
      <c r="D9" s="82"/>
      <c r="E9" s="83"/>
      <c r="F9" s="57"/>
      <c r="G9" s="46"/>
      <c r="H9" s="47"/>
      <c r="I9" s="48"/>
      <c r="J9" s="84"/>
      <c r="K9" s="85"/>
      <c r="L9" s="106"/>
      <c r="M9" s="20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106"/>
      <c r="M10" s="20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25300</v>
      </c>
      <c r="G14" s="60">
        <f t="shared" si="1"/>
        <v>2500</v>
      </c>
      <c r="H14" s="60">
        <f t="shared" si="1"/>
        <v>15800</v>
      </c>
      <c r="I14" s="60">
        <f t="shared" si="1"/>
        <v>0</v>
      </c>
      <c r="J14" s="60">
        <f t="shared" si="1"/>
        <v>23</v>
      </c>
      <c r="K14" s="61"/>
      <c r="L14" s="61"/>
      <c r="M14" s="62"/>
    </row>
    <row r="15" ht="48.0" customHeight="1">
      <c r="F15" s="63">
        <f>F14+G14+H14+I14+J14</f>
        <v>43623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07">
        <v>45945.0</v>
      </c>
      <c r="C4" s="108" t="s">
        <v>173</v>
      </c>
      <c r="D4" s="109">
        <v>45096.0</v>
      </c>
      <c r="E4" s="110" t="s">
        <v>174</v>
      </c>
      <c r="F4" s="64"/>
      <c r="G4" s="33"/>
      <c r="H4" s="70"/>
      <c r="I4" s="71"/>
      <c r="J4" s="72">
        <v>23.0</v>
      </c>
      <c r="K4" s="111" t="s">
        <v>18</v>
      </c>
      <c r="L4" s="112" t="s">
        <v>175</v>
      </c>
      <c r="M4" s="110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07">
        <v>45945.0</v>
      </c>
      <c r="C5" s="108" t="s">
        <v>176</v>
      </c>
      <c r="D5" s="109">
        <v>80066.0</v>
      </c>
      <c r="E5" s="110" t="s">
        <v>177</v>
      </c>
      <c r="F5" s="64"/>
      <c r="G5" s="33"/>
      <c r="H5" s="70">
        <v>2600.0</v>
      </c>
      <c r="I5" s="71"/>
      <c r="J5" s="113"/>
      <c r="K5" s="111" t="s">
        <v>18</v>
      </c>
      <c r="L5" s="112" t="s">
        <v>178</v>
      </c>
      <c r="M5" s="110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45945.0</v>
      </c>
      <c r="C6" s="18" t="s">
        <v>179</v>
      </c>
      <c r="D6" s="78">
        <v>99872.0</v>
      </c>
      <c r="E6" s="20" t="s">
        <v>180</v>
      </c>
      <c r="F6" s="64"/>
      <c r="G6" s="74"/>
      <c r="H6" s="70">
        <v>300.0</v>
      </c>
      <c r="I6" s="71"/>
      <c r="J6" s="114"/>
      <c r="K6" s="69" t="s">
        <v>18</v>
      </c>
      <c r="L6" s="105" t="s">
        <v>181</v>
      </c>
      <c r="M6" s="20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45945.0</v>
      </c>
      <c r="C7" s="18" t="s">
        <v>182</v>
      </c>
      <c r="D7" s="78">
        <v>44169.0</v>
      </c>
      <c r="E7" s="20" t="s">
        <v>183</v>
      </c>
      <c r="F7" s="64"/>
      <c r="G7" s="65"/>
      <c r="H7" s="70"/>
      <c r="I7" s="71"/>
      <c r="J7" s="114">
        <v>60.0</v>
      </c>
      <c r="K7" s="69" t="s">
        <v>18</v>
      </c>
      <c r="L7" s="105" t="s">
        <v>184</v>
      </c>
      <c r="M7" s="20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 t="s">
        <v>43</v>
      </c>
      <c r="B8" s="17">
        <v>45945.0</v>
      </c>
      <c r="C8" s="18" t="s">
        <v>185</v>
      </c>
      <c r="D8" s="78">
        <v>43134.0</v>
      </c>
      <c r="E8" s="20" t="s">
        <v>186</v>
      </c>
      <c r="F8" s="64"/>
      <c r="G8" s="65"/>
      <c r="H8" s="70"/>
      <c r="I8" s="71"/>
      <c r="J8" s="115">
        <v>81.0</v>
      </c>
      <c r="K8" s="69" t="s">
        <v>18</v>
      </c>
      <c r="L8" s="105" t="s">
        <v>187</v>
      </c>
      <c r="M8" s="20" t="s">
        <v>36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 t="s">
        <v>46</v>
      </c>
      <c r="B9" s="80">
        <v>45945.0</v>
      </c>
      <c r="C9" s="81" t="s">
        <v>188</v>
      </c>
      <c r="D9" s="82">
        <v>39832.0</v>
      </c>
      <c r="E9" s="83" t="s">
        <v>189</v>
      </c>
      <c r="F9" s="57"/>
      <c r="G9" s="46"/>
      <c r="H9" s="116"/>
      <c r="I9" s="117"/>
      <c r="J9" s="84">
        <v>35.0</v>
      </c>
      <c r="K9" s="118" t="s">
        <v>18</v>
      </c>
      <c r="L9" s="119" t="s">
        <v>190</v>
      </c>
      <c r="M9" s="20" t="s">
        <v>19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106"/>
      <c r="M10" s="20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0</v>
      </c>
      <c r="G14" s="60">
        <f t="shared" si="1"/>
        <v>0</v>
      </c>
      <c r="H14" s="60">
        <f t="shared" si="1"/>
        <v>2900</v>
      </c>
      <c r="I14" s="60">
        <f t="shared" si="1"/>
        <v>0</v>
      </c>
      <c r="J14" s="60">
        <f t="shared" si="1"/>
        <v>199</v>
      </c>
      <c r="K14" s="61"/>
      <c r="L14" s="61"/>
      <c r="M14" s="62"/>
    </row>
    <row r="15" ht="48.0" customHeight="1">
      <c r="F15" s="63">
        <f>F14+G14+H14+I14+J14</f>
        <v>3099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120" t="s">
        <v>15</v>
      </c>
      <c r="B4" s="121">
        <v>45945.0</v>
      </c>
      <c r="C4" s="122" t="s">
        <v>192</v>
      </c>
      <c r="D4" s="123">
        <v>51782.0</v>
      </c>
      <c r="E4" s="124" t="s">
        <v>193</v>
      </c>
      <c r="F4" s="125">
        <v>2500.0</v>
      </c>
      <c r="G4" s="126"/>
      <c r="H4" s="127"/>
      <c r="I4" s="124"/>
      <c r="J4" s="128"/>
      <c r="K4" s="129" t="s">
        <v>29</v>
      </c>
      <c r="L4" s="130"/>
      <c r="M4" s="124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/>
      <c r="B5" s="107"/>
      <c r="C5" s="108"/>
      <c r="D5" s="109"/>
      <c r="E5" s="110"/>
      <c r="F5" s="64"/>
      <c r="G5" s="33"/>
      <c r="H5" s="70"/>
      <c r="I5" s="71"/>
      <c r="J5" s="113"/>
      <c r="K5" s="111"/>
      <c r="L5" s="112"/>
      <c r="M5" s="110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/>
      <c r="B6" s="17"/>
      <c r="C6" s="18"/>
      <c r="D6" s="78"/>
      <c r="E6" s="20"/>
      <c r="F6" s="64"/>
      <c r="G6" s="74"/>
      <c r="H6" s="70"/>
      <c r="I6" s="71"/>
      <c r="J6" s="114"/>
      <c r="K6" s="69"/>
      <c r="L6" s="105"/>
      <c r="M6" s="20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/>
      <c r="B7" s="17"/>
      <c r="C7" s="18"/>
      <c r="D7" s="78"/>
      <c r="E7" s="20"/>
      <c r="F7" s="64"/>
      <c r="G7" s="65"/>
      <c r="H7" s="70"/>
      <c r="I7" s="71"/>
      <c r="J7" s="114"/>
      <c r="K7" s="69"/>
      <c r="L7" s="105"/>
      <c r="M7" s="20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/>
      <c r="B8" s="17"/>
      <c r="C8" s="18"/>
      <c r="D8" s="78"/>
      <c r="E8" s="20"/>
      <c r="F8" s="64"/>
      <c r="G8" s="65"/>
      <c r="H8" s="70"/>
      <c r="I8" s="71"/>
      <c r="J8" s="115"/>
      <c r="K8" s="69"/>
      <c r="L8" s="105"/>
      <c r="M8" s="20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80"/>
      <c r="C9" s="81"/>
      <c r="D9" s="82"/>
      <c r="E9" s="83"/>
      <c r="F9" s="57"/>
      <c r="G9" s="46"/>
      <c r="H9" s="116"/>
      <c r="I9" s="117"/>
      <c r="J9" s="84"/>
      <c r="K9" s="118"/>
      <c r="L9" s="119"/>
      <c r="M9" s="20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106"/>
      <c r="M10" s="20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2500</v>
      </c>
      <c r="G14" s="60">
        <f t="shared" si="1"/>
        <v>0</v>
      </c>
      <c r="H14" s="60">
        <f t="shared" si="1"/>
        <v>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2500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120" t="s">
        <v>15</v>
      </c>
      <c r="B4" s="121">
        <v>45947.0</v>
      </c>
      <c r="C4" s="122" t="s">
        <v>195</v>
      </c>
      <c r="D4" s="123">
        <v>10250.0</v>
      </c>
      <c r="E4" s="124" t="s">
        <v>92</v>
      </c>
      <c r="F4" s="125">
        <v>10000.0</v>
      </c>
      <c r="G4" s="126"/>
      <c r="H4" s="127"/>
      <c r="I4" s="124"/>
      <c r="J4" s="128"/>
      <c r="K4" s="129" t="s">
        <v>29</v>
      </c>
      <c r="L4" s="130"/>
      <c r="M4" s="124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07">
        <v>45947.0</v>
      </c>
      <c r="C5" s="108" t="s">
        <v>196</v>
      </c>
      <c r="D5" s="109">
        <v>59793.0</v>
      </c>
      <c r="E5" s="110" t="s">
        <v>67</v>
      </c>
      <c r="F5" s="64">
        <v>4500.0</v>
      </c>
      <c r="G5" s="33"/>
      <c r="H5" s="70"/>
      <c r="I5" s="71"/>
      <c r="J5" s="113"/>
      <c r="K5" s="111" t="s">
        <v>18</v>
      </c>
      <c r="L5" s="112"/>
      <c r="M5" s="110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7">
        <v>45947.0</v>
      </c>
      <c r="C6" s="18" t="s">
        <v>197</v>
      </c>
      <c r="D6" s="78">
        <v>87125.0</v>
      </c>
      <c r="E6" s="20" t="s">
        <v>198</v>
      </c>
      <c r="F6" s="64">
        <v>4500.0</v>
      </c>
      <c r="G6" s="74"/>
      <c r="H6" s="70"/>
      <c r="I6" s="71"/>
      <c r="J6" s="114"/>
      <c r="K6" s="111" t="s">
        <v>18</v>
      </c>
      <c r="L6" s="105"/>
      <c r="M6" s="20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">
        <v>45947.0</v>
      </c>
      <c r="C7" s="18" t="s">
        <v>199</v>
      </c>
      <c r="D7" s="78">
        <v>10006.0</v>
      </c>
      <c r="E7" s="20" t="s">
        <v>200</v>
      </c>
      <c r="F7" s="64">
        <v>1500.0</v>
      </c>
      <c r="G7" s="65"/>
      <c r="H7" s="70"/>
      <c r="I7" s="71"/>
      <c r="J7" s="114"/>
      <c r="K7" s="111" t="s">
        <v>18</v>
      </c>
      <c r="L7" s="105"/>
      <c r="M7" s="20" t="s">
        <v>19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/>
      <c r="B8" s="17"/>
      <c r="C8" s="18"/>
      <c r="D8" s="78"/>
      <c r="E8" s="20"/>
      <c r="F8" s="64"/>
      <c r="G8" s="65"/>
      <c r="H8" s="70"/>
      <c r="I8" s="71"/>
      <c r="J8" s="115"/>
      <c r="K8" s="69"/>
      <c r="L8" s="105"/>
      <c r="M8" s="20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80"/>
      <c r="C9" s="81"/>
      <c r="D9" s="82"/>
      <c r="E9" s="83"/>
      <c r="F9" s="57"/>
      <c r="G9" s="46"/>
      <c r="H9" s="116"/>
      <c r="I9" s="117"/>
      <c r="J9" s="84"/>
      <c r="K9" s="118"/>
      <c r="L9" s="119"/>
      <c r="M9" s="20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80"/>
      <c r="C10" s="81"/>
      <c r="D10" s="82"/>
      <c r="E10" s="86"/>
      <c r="F10" s="58"/>
      <c r="G10" s="46"/>
      <c r="H10" s="47"/>
      <c r="I10" s="48"/>
      <c r="J10" s="84"/>
      <c r="K10" s="85"/>
      <c r="L10" s="106"/>
      <c r="M10" s="20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20500</v>
      </c>
      <c r="G14" s="60">
        <f t="shared" si="1"/>
        <v>0</v>
      </c>
      <c r="H14" s="60">
        <f t="shared" si="1"/>
        <v>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20500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120" t="s">
        <v>15</v>
      </c>
      <c r="B4" s="132" t="s">
        <v>202</v>
      </c>
      <c r="C4" s="133" t="s">
        <v>203</v>
      </c>
      <c r="D4" s="134">
        <v>100137.0</v>
      </c>
      <c r="E4" s="135" t="s">
        <v>204</v>
      </c>
      <c r="F4" s="125"/>
      <c r="G4" s="126"/>
      <c r="H4" s="136">
        <v>300.0</v>
      </c>
      <c r="I4" s="124"/>
      <c r="J4" s="128"/>
      <c r="K4" s="111" t="s">
        <v>18</v>
      </c>
      <c r="L4" s="130"/>
      <c r="M4" s="110" t="s">
        <v>19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" t="s">
        <v>20</v>
      </c>
      <c r="B5" s="137" t="s">
        <v>202</v>
      </c>
      <c r="C5" s="138" t="s">
        <v>205</v>
      </c>
      <c r="D5" s="139">
        <v>10006.0</v>
      </c>
      <c r="E5" s="140" t="s">
        <v>200</v>
      </c>
      <c r="F5" s="64"/>
      <c r="G5" s="33"/>
      <c r="H5" s="141">
        <v>300.0</v>
      </c>
      <c r="I5" s="71"/>
      <c r="J5" s="113"/>
      <c r="K5" s="111" t="s">
        <v>18</v>
      </c>
      <c r="L5" s="112"/>
      <c r="M5" s="110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" t="s">
        <v>23</v>
      </c>
      <c r="B6" s="142" t="s">
        <v>206</v>
      </c>
      <c r="C6" s="143" t="s">
        <v>207</v>
      </c>
      <c r="D6" s="144">
        <v>100204.0</v>
      </c>
      <c r="E6" s="145" t="s">
        <v>208</v>
      </c>
      <c r="F6" s="64"/>
      <c r="G6" s="74"/>
      <c r="H6" s="141">
        <v>300.0</v>
      </c>
      <c r="I6" s="71"/>
      <c r="J6" s="114"/>
      <c r="K6" s="111" t="s">
        <v>18</v>
      </c>
      <c r="L6" s="105"/>
      <c r="M6" s="20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42" t="s">
        <v>206</v>
      </c>
      <c r="C7" s="143" t="s">
        <v>209</v>
      </c>
      <c r="D7" s="144">
        <v>52669.0</v>
      </c>
      <c r="E7" s="145" t="s">
        <v>42</v>
      </c>
      <c r="F7" s="146">
        <v>25000.0</v>
      </c>
      <c r="G7" s="65"/>
      <c r="H7" s="70"/>
      <c r="I7" s="71"/>
      <c r="J7" s="114"/>
      <c r="K7" s="111" t="s">
        <v>18</v>
      </c>
      <c r="L7" s="105"/>
      <c r="M7" s="20" t="s">
        <v>19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6"/>
      <c r="B8" s="142" t="s">
        <v>206</v>
      </c>
      <c r="C8" s="143" t="s">
        <v>210</v>
      </c>
      <c r="D8" s="144">
        <v>10288.0</v>
      </c>
      <c r="E8" s="145" t="s">
        <v>105</v>
      </c>
      <c r="F8" s="146">
        <v>5000.0</v>
      </c>
      <c r="G8" s="65"/>
      <c r="H8" s="70"/>
      <c r="I8" s="71"/>
      <c r="J8" s="115"/>
      <c r="K8" s="111" t="s">
        <v>18</v>
      </c>
      <c r="L8" s="105"/>
      <c r="M8" s="145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147" t="s">
        <v>206</v>
      </c>
      <c r="C9" s="148" t="s">
        <v>211</v>
      </c>
      <c r="D9" s="149">
        <v>42095.0</v>
      </c>
      <c r="E9" s="150" t="s">
        <v>64</v>
      </c>
      <c r="F9" s="57"/>
      <c r="G9" s="151">
        <v>4500.0</v>
      </c>
      <c r="H9" s="116"/>
      <c r="I9" s="117"/>
      <c r="J9" s="84"/>
      <c r="K9" s="111" t="s">
        <v>18</v>
      </c>
      <c r="L9" s="119"/>
      <c r="M9" s="145" t="s">
        <v>19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 t="s">
        <v>206</v>
      </c>
      <c r="C10" s="148" t="s">
        <v>212</v>
      </c>
      <c r="D10" s="149">
        <v>100232.0</v>
      </c>
      <c r="E10" s="152" t="s">
        <v>213</v>
      </c>
      <c r="F10" s="58"/>
      <c r="G10" s="46"/>
      <c r="H10" s="153">
        <v>300.0</v>
      </c>
      <c r="I10" s="48"/>
      <c r="J10" s="84"/>
      <c r="K10" s="111" t="s">
        <v>18</v>
      </c>
      <c r="L10" s="106"/>
      <c r="M10" s="145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30000</v>
      </c>
      <c r="G14" s="60">
        <f t="shared" si="1"/>
        <v>4500</v>
      </c>
      <c r="H14" s="60">
        <f t="shared" si="1"/>
        <v>1200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35700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154" t="s">
        <v>15</v>
      </c>
      <c r="B4" s="155">
        <v>45948.0</v>
      </c>
      <c r="C4" s="156" t="s">
        <v>215</v>
      </c>
      <c r="D4" s="157">
        <v>59137.0</v>
      </c>
      <c r="E4" s="158" t="s">
        <v>113</v>
      </c>
      <c r="F4" s="159">
        <v>4500.0</v>
      </c>
      <c r="G4" s="160"/>
      <c r="H4" s="161"/>
      <c r="I4" s="162"/>
      <c r="J4" s="163"/>
      <c r="K4" s="164" t="s">
        <v>18</v>
      </c>
      <c r="L4" s="165" t="s">
        <v>216</v>
      </c>
      <c r="M4" s="166" t="s">
        <v>19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167" t="s">
        <v>20</v>
      </c>
      <c r="B5" s="168">
        <v>45948.0</v>
      </c>
      <c r="C5" s="169" t="s">
        <v>217</v>
      </c>
      <c r="D5" s="170">
        <v>59793.0</v>
      </c>
      <c r="E5" s="166" t="s">
        <v>67</v>
      </c>
      <c r="F5" s="171"/>
      <c r="G5" s="172"/>
      <c r="H5" s="173">
        <v>300.0</v>
      </c>
      <c r="I5" s="174"/>
      <c r="J5" s="175"/>
      <c r="K5" s="164" t="s">
        <v>18</v>
      </c>
      <c r="L5" s="176" t="s">
        <v>218</v>
      </c>
      <c r="M5" s="166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167" t="s">
        <v>23</v>
      </c>
      <c r="B6" s="168">
        <v>45948.0</v>
      </c>
      <c r="C6" s="169" t="s">
        <v>219</v>
      </c>
      <c r="D6" s="170">
        <v>100263.0</v>
      </c>
      <c r="E6" s="166" t="s">
        <v>220</v>
      </c>
      <c r="F6" s="177">
        <v>2950.0</v>
      </c>
      <c r="G6" s="178"/>
      <c r="H6" s="173"/>
      <c r="I6" s="174"/>
      <c r="J6" s="175"/>
      <c r="K6" s="164" t="s">
        <v>18</v>
      </c>
      <c r="L6" s="176" t="s">
        <v>221</v>
      </c>
      <c r="M6" s="166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9">
        <v>45949.0</v>
      </c>
      <c r="C7" s="143" t="s">
        <v>222</v>
      </c>
      <c r="D7" s="144">
        <v>48072.0</v>
      </c>
      <c r="E7" s="145" t="s">
        <v>223</v>
      </c>
      <c r="F7" s="146">
        <v>2400.0</v>
      </c>
      <c r="G7" s="65"/>
      <c r="H7" s="70"/>
      <c r="I7" s="71"/>
      <c r="J7" s="114"/>
      <c r="K7" s="180" t="s">
        <v>29</v>
      </c>
      <c r="L7" s="105" t="s">
        <v>167</v>
      </c>
      <c r="M7" s="145" t="s">
        <v>111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 t="s">
        <v>43</v>
      </c>
      <c r="B8" s="179">
        <v>45949.0</v>
      </c>
      <c r="C8" s="143" t="s">
        <v>224</v>
      </c>
      <c r="D8" s="144">
        <v>42095.0</v>
      </c>
      <c r="E8" s="145" t="s">
        <v>64</v>
      </c>
      <c r="F8" s="146"/>
      <c r="G8" s="182">
        <v>4500.0</v>
      </c>
      <c r="H8" s="70"/>
      <c r="I8" s="71"/>
      <c r="J8" s="115"/>
      <c r="K8" s="180" t="s">
        <v>18</v>
      </c>
      <c r="L8" s="183" t="s">
        <v>225</v>
      </c>
      <c r="M8" s="145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147"/>
      <c r="C9" s="148"/>
      <c r="D9" s="149"/>
      <c r="E9" s="150"/>
      <c r="F9" s="57"/>
      <c r="G9" s="151"/>
      <c r="H9" s="116"/>
      <c r="I9" s="117"/>
      <c r="J9" s="84"/>
      <c r="K9" s="111"/>
      <c r="L9" s="119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11"/>
      <c r="L10" s="106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9850</v>
      </c>
      <c r="G14" s="60">
        <f t="shared" si="1"/>
        <v>4500</v>
      </c>
      <c r="H14" s="60">
        <f t="shared" si="1"/>
        <v>300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14650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91" t="s">
        <v>13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>
        <v>45949.0</v>
      </c>
      <c r="C4" s="186" t="s">
        <v>227</v>
      </c>
      <c r="D4" s="187">
        <v>100319.0</v>
      </c>
      <c r="E4" s="188" t="s">
        <v>228</v>
      </c>
      <c r="F4" s="189"/>
      <c r="G4" s="190"/>
      <c r="H4" s="191">
        <v>300.0</v>
      </c>
      <c r="I4" s="192"/>
      <c r="J4" s="193"/>
      <c r="K4" s="194" t="s">
        <v>18</v>
      </c>
      <c r="L4" s="195">
        <v>18.28</v>
      </c>
      <c r="M4" s="196" t="s">
        <v>19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40" t="s">
        <v>20</v>
      </c>
      <c r="B5" s="197" t="s">
        <v>229</v>
      </c>
      <c r="C5" s="198" t="s">
        <v>230</v>
      </c>
      <c r="D5" s="199">
        <v>100370.0</v>
      </c>
      <c r="E5" s="196" t="s">
        <v>231</v>
      </c>
      <c r="F5" s="200"/>
      <c r="G5" s="46"/>
      <c r="H5" s="201">
        <v>300.0</v>
      </c>
      <c r="I5" s="202"/>
      <c r="J5" s="114"/>
      <c r="K5" s="194" t="s">
        <v>18</v>
      </c>
      <c r="L5" s="203">
        <v>15.44</v>
      </c>
      <c r="M5" s="196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40" t="s">
        <v>23</v>
      </c>
      <c r="B6" s="204"/>
      <c r="C6" s="198"/>
      <c r="D6" s="199"/>
      <c r="E6" s="196"/>
      <c r="F6" s="205"/>
      <c r="G6" s="74"/>
      <c r="H6" s="201"/>
      <c r="I6" s="202"/>
      <c r="J6" s="114"/>
      <c r="K6" s="194"/>
      <c r="L6" s="203"/>
      <c r="M6" s="196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9"/>
      <c r="C7" s="143"/>
      <c r="D7" s="144"/>
      <c r="E7" s="145"/>
      <c r="F7" s="146"/>
      <c r="G7" s="65"/>
      <c r="H7" s="70"/>
      <c r="I7" s="71"/>
      <c r="J7" s="114"/>
      <c r="K7" s="180"/>
      <c r="L7" s="105"/>
      <c r="M7" s="145" t="s">
        <v>111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 t="s">
        <v>43</v>
      </c>
      <c r="B8" s="179"/>
      <c r="C8" s="143"/>
      <c r="D8" s="144"/>
      <c r="E8" s="145"/>
      <c r="F8" s="146"/>
      <c r="G8" s="182"/>
      <c r="H8" s="70"/>
      <c r="I8" s="71"/>
      <c r="J8" s="115"/>
      <c r="K8" s="180"/>
      <c r="L8" s="183"/>
      <c r="M8" s="145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147"/>
      <c r="C9" s="148"/>
      <c r="D9" s="149"/>
      <c r="E9" s="150"/>
      <c r="F9" s="57"/>
      <c r="G9" s="151"/>
      <c r="H9" s="116"/>
      <c r="I9" s="117"/>
      <c r="J9" s="84"/>
      <c r="K9" s="111"/>
      <c r="L9" s="119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11"/>
      <c r="L10" s="106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0</v>
      </c>
      <c r="G14" s="60">
        <f t="shared" si="1"/>
        <v>0</v>
      </c>
      <c r="H14" s="60">
        <f t="shared" si="1"/>
        <v>600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600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>
        <v>45951.0</v>
      </c>
      <c r="C4" s="186" t="s">
        <v>234</v>
      </c>
      <c r="D4" s="187">
        <v>25542.0</v>
      </c>
      <c r="E4" s="188" t="s">
        <v>235</v>
      </c>
      <c r="F4" s="189"/>
      <c r="G4" s="190"/>
      <c r="H4" s="191"/>
      <c r="I4" s="207">
        <v>5100.0</v>
      </c>
      <c r="J4" s="193"/>
      <c r="K4" s="194" t="s">
        <v>18</v>
      </c>
      <c r="L4" s="195">
        <v>9.45</v>
      </c>
      <c r="M4" s="196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40" t="s">
        <v>20</v>
      </c>
      <c r="B5" s="204">
        <v>45951.0</v>
      </c>
      <c r="C5" s="198" t="s">
        <v>236</v>
      </c>
      <c r="D5" s="199">
        <v>25542.0</v>
      </c>
      <c r="E5" s="196" t="s">
        <v>235</v>
      </c>
      <c r="F5" s="205">
        <v>10000.0</v>
      </c>
      <c r="G5" s="46"/>
      <c r="H5" s="201"/>
      <c r="I5" s="202"/>
      <c r="J5" s="114"/>
      <c r="K5" s="194" t="s">
        <v>18</v>
      </c>
      <c r="L5" s="203">
        <v>10.21</v>
      </c>
      <c r="M5" s="196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40" t="s">
        <v>23</v>
      </c>
      <c r="B6" s="204"/>
      <c r="C6" s="198"/>
      <c r="D6" s="199"/>
      <c r="E6" s="196"/>
      <c r="F6" s="205"/>
      <c r="G6" s="74"/>
      <c r="H6" s="201"/>
      <c r="I6" s="202"/>
      <c r="J6" s="114"/>
      <c r="K6" s="194"/>
      <c r="L6" s="203"/>
      <c r="M6" s="196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9"/>
      <c r="C7" s="143"/>
      <c r="D7" s="144"/>
      <c r="E7" s="145"/>
      <c r="F7" s="146"/>
      <c r="G7" s="65"/>
      <c r="H7" s="70"/>
      <c r="I7" s="71"/>
      <c r="J7" s="114"/>
      <c r="K7" s="180"/>
      <c r="L7" s="105"/>
      <c r="M7" s="145" t="s">
        <v>111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 t="s">
        <v>43</v>
      </c>
      <c r="B8" s="179"/>
      <c r="C8" s="143"/>
      <c r="D8" s="144"/>
      <c r="E8" s="145"/>
      <c r="F8" s="146"/>
      <c r="G8" s="182"/>
      <c r="H8" s="70"/>
      <c r="I8" s="71"/>
      <c r="J8" s="115"/>
      <c r="K8" s="180"/>
      <c r="L8" s="183"/>
      <c r="M8" s="145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147"/>
      <c r="C9" s="148"/>
      <c r="D9" s="149"/>
      <c r="E9" s="150"/>
      <c r="F9" s="57"/>
      <c r="G9" s="151"/>
      <c r="H9" s="116"/>
      <c r="I9" s="117"/>
      <c r="J9" s="84"/>
      <c r="K9" s="111"/>
      <c r="L9" s="119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11"/>
      <c r="L10" s="106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10000</v>
      </c>
      <c r="G14" s="60">
        <f t="shared" si="1"/>
        <v>0</v>
      </c>
      <c r="H14" s="60">
        <f t="shared" si="1"/>
        <v>0</v>
      </c>
      <c r="I14" s="60">
        <f t="shared" si="1"/>
        <v>5100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15100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>
        <v>45952.0</v>
      </c>
      <c r="C4" s="186" t="s">
        <v>238</v>
      </c>
      <c r="D4" s="187">
        <v>68284.0</v>
      </c>
      <c r="E4" s="188" t="s">
        <v>89</v>
      </c>
      <c r="F4" s="189">
        <v>1300.0</v>
      </c>
      <c r="G4" s="190"/>
      <c r="H4" s="191"/>
      <c r="I4" s="207"/>
      <c r="J4" s="193"/>
      <c r="K4" s="194" t="s">
        <v>18</v>
      </c>
      <c r="L4" s="195">
        <v>12.22</v>
      </c>
      <c r="M4" s="196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40" t="s">
        <v>20</v>
      </c>
      <c r="B5" s="204">
        <v>45952.0</v>
      </c>
      <c r="C5" s="198" t="s">
        <v>239</v>
      </c>
      <c r="D5" s="199">
        <v>47787.0</v>
      </c>
      <c r="E5" s="196" t="s">
        <v>28</v>
      </c>
      <c r="F5" s="205">
        <v>10000.0</v>
      </c>
      <c r="G5" s="46"/>
      <c r="H5" s="201"/>
      <c r="I5" s="202"/>
      <c r="J5" s="114"/>
      <c r="K5" s="194" t="s">
        <v>29</v>
      </c>
      <c r="L5" s="203">
        <v>12.45</v>
      </c>
      <c r="M5" s="196" t="s">
        <v>30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40" t="s">
        <v>23</v>
      </c>
      <c r="B6" s="204"/>
      <c r="C6" s="198"/>
      <c r="D6" s="199"/>
      <c r="E6" s="196"/>
      <c r="F6" s="205"/>
      <c r="G6" s="74"/>
      <c r="H6" s="201"/>
      <c r="I6" s="202"/>
      <c r="J6" s="114"/>
      <c r="K6" s="194"/>
      <c r="L6" s="203"/>
      <c r="M6" s="196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79"/>
      <c r="C7" s="143"/>
      <c r="D7" s="144"/>
      <c r="E7" s="145"/>
      <c r="F7" s="146"/>
      <c r="G7" s="65"/>
      <c r="H7" s="70"/>
      <c r="I7" s="71"/>
      <c r="J7" s="114"/>
      <c r="K7" s="180"/>
      <c r="L7" s="105"/>
      <c r="M7" s="145" t="s">
        <v>111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 t="s">
        <v>43</v>
      </c>
      <c r="B8" s="179"/>
      <c r="C8" s="143"/>
      <c r="D8" s="144"/>
      <c r="E8" s="145"/>
      <c r="F8" s="146"/>
      <c r="G8" s="182"/>
      <c r="H8" s="70"/>
      <c r="I8" s="71"/>
      <c r="J8" s="115"/>
      <c r="K8" s="180"/>
      <c r="L8" s="183"/>
      <c r="M8" s="145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6"/>
      <c r="B9" s="147"/>
      <c r="C9" s="148"/>
      <c r="D9" s="149"/>
      <c r="E9" s="150"/>
      <c r="F9" s="57"/>
      <c r="G9" s="151"/>
      <c r="H9" s="116"/>
      <c r="I9" s="117"/>
      <c r="J9" s="84"/>
      <c r="K9" s="111"/>
      <c r="L9" s="119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11"/>
      <c r="L10" s="106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11300</v>
      </c>
      <c r="G14" s="60">
        <f t="shared" si="1"/>
        <v>0</v>
      </c>
      <c r="H14" s="60">
        <f t="shared" si="1"/>
        <v>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11300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208" t="s">
        <v>241</v>
      </c>
      <c r="C4" s="186" t="s">
        <v>242</v>
      </c>
      <c r="D4" s="187">
        <v>100691.0</v>
      </c>
      <c r="E4" s="188" t="s">
        <v>243</v>
      </c>
      <c r="F4" s="189"/>
      <c r="G4" s="190"/>
      <c r="H4" s="191">
        <v>300.0</v>
      </c>
      <c r="I4" s="207"/>
      <c r="J4" s="193"/>
      <c r="K4" s="194" t="s">
        <v>18</v>
      </c>
      <c r="L4" s="195">
        <v>17.11</v>
      </c>
      <c r="M4" s="196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40" t="s">
        <v>20</v>
      </c>
      <c r="B5" s="197" t="s">
        <v>241</v>
      </c>
      <c r="C5" s="198" t="s">
        <v>244</v>
      </c>
      <c r="D5" s="199">
        <v>100718.0</v>
      </c>
      <c r="E5" s="196" t="s">
        <v>245</v>
      </c>
      <c r="F5" s="205"/>
      <c r="G5" s="46"/>
      <c r="H5" s="201">
        <v>300.0</v>
      </c>
      <c r="I5" s="202"/>
      <c r="J5" s="114"/>
      <c r="K5" s="194" t="s">
        <v>18</v>
      </c>
      <c r="L5" s="203">
        <v>19.42</v>
      </c>
      <c r="M5" s="196" t="s">
        <v>19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40" t="s">
        <v>23</v>
      </c>
      <c r="B6" s="197" t="s">
        <v>246</v>
      </c>
      <c r="C6" s="198" t="s">
        <v>247</v>
      </c>
      <c r="D6" s="199">
        <v>30909.0</v>
      </c>
      <c r="E6" s="196" t="s">
        <v>248</v>
      </c>
      <c r="F6" s="205">
        <v>6000.0</v>
      </c>
      <c r="G6" s="74"/>
      <c r="H6" s="201"/>
      <c r="I6" s="202"/>
      <c r="J6" s="114"/>
      <c r="K6" s="194" t="s">
        <v>18</v>
      </c>
      <c r="L6" s="203">
        <v>11.46</v>
      </c>
      <c r="M6" s="196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 t="s">
        <v>40</v>
      </c>
      <c r="B7" s="142" t="s">
        <v>246</v>
      </c>
      <c r="C7" s="143" t="s">
        <v>249</v>
      </c>
      <c r="D7" s="144">
        <v>45227.0</v>
      </c>
      <c r="E7" s="145" t="s">
        <v>250</v>
      </c>
      <c r="F7" s="146">
        <v>5100.0</v>
      </c>
      <c r="G7" s="65"/>
      <c r="H7" s="70"/>
      <c r="I7" s="71"/>
      <c r="J7" s="114"/>
      <c r="K7" s="194" t="s">
        <v>18</v>
      </c>
      <c r="L7" s="183">
        <v>13.09</v>
      </c>
      <c r="M7" s="145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 t="s">
        <v>43</v>
      </c>
      <c r="B8" s="142" t="s">
        <v>246</v>
      </c>
      <c r="C8" s="143" t="s">
        <v>251</v>
      </c>
      <c r="D8" s="144">
        <v>100691.0</v>
      </c>
      <c r="E8" s="145" t="s">
        <v>243</v>
      </c>
      <c r="F8" s="146"/>
      <c r="G8" s="182">
        <v>2600.0</v>
      </c>
      <c r="H8" s="70"/>
      <c r="I8" s="71"/>
      <c r="J8" s="115"/>
      <c r="K8" s="194" t="s">
        <v>18</v>
      </c>
      <c r="L8" s="183">
        <v>13.23</v>
      </c>
      <c r="M8" s="145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 t="s">
        <v>46</v>
      </c>
      <c r="B9" s="147" t="s">
        <v>246</v>
      </c>
      <c r="C9" s="148" t="s">
        <v>252</v>
      </c>
      <c r="D9" s="149">
        <v>100718.0</v>
      </c>
      <c r="E9" s="150" t="s">
        <v>245</v>
      </c>
      <c r="F9" s="57"/>
      <c r="G9" s="151">
        <v>2500.0</v>
      </c>
      <c r="H9" s="116"/>
      <c r="I9" s="117"/>
      <c r="J9" s="84"/>
      <c r="K9" s="194" t="s">
        <v>18</v>
      </c>
      <c r="L9" s="203">
        <v>13.44</v>
      </c>
      <c r="M9" s="145" t="s">
        <v>19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 t="s">
        <v>49</v>
      </c>
      <c r="B10" s="147" t="s">
        <v>246</v>
      </c>
      <c r="C10" s="148" t="s">
        <v>253</v>
      </c>
      <c r="D10" s="149">
        <v>100816.0</v>
      </c>
      <c r="E10" s="152" t="s">
        <v>254</v>
      </c>
      <c r="F10" s="58"/>
      <c r="G10" s="46"/>
      <c r="H10" s="153">
        <v>300.0</v>
      </c>
      <c r="I10" s="48"/>
      <c r="J10" s="84"/>
      <c r="K10" s="194" t="s">
        <v>18</v>
      </c>
      <c r="L10" s="209">
        <v>15.07</v>
      </c>
      <c r="M10" s="145" t="s">
        <v>36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11100</v>
      </c>
      <c r="G14" s="60">
        <f t="shared" si="1"/>
        <v>5100</v>
      </c>
      <c r="H14" s="60">
        <f t="shared" si="1"/>
        <v>900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17100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>
        <v>45955.0</v>
      </c>
      <c r="C4" s="186" t="s">
        <v>256</v>
      </c>
      <c r="D4" s="210">
        <v>36555.0</v>
      </c>
      <c r="E4" s="211" t="s">
        <v>257</v>
      </c>
      <c r="F4" s="189">
        <v>4500.0</v>
      </c>
      <c r="G4" s="190"/>
      <c r="H4" s="191"/>
      <c r="I4" s="207"/>
      <c r="J4" s="193"/>
      <c r="K4" s="212" t="s">
        <v>18</v>
      </c>
      <c r="L4" s="213" t="s">
        <v>258</v>
      </c>
      <c r="M4" s="214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40"/>
      <c r="B5" s="197"/>
      <c r="C5" s="198"/>
      <c r="D5" s="199"/>
      <c r="E5" s="196"/>
      <c r="F5" s="205"/>
      <c r="G5" s="46"/>
      <c r="H5" s="201"/>
      <c r="I5" s="202"/>
      <c r="J5" s="114"/>
      <c r="K5" s="194"/>
      <c r="L5" s="203"/>
      <c r="M5" s="196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40"/>
      <c r="B6" s="197"/>
      <c r="C6" s="198"/>
      <c r="D6" s="199"/>
      <c r="E6" s="196"/>
      <c r="F6" s="205"/>
      <c r="G6" s="74"/>
      <c r="H6" s="201"/>
      <c r="I6" s="202"/>
      <c r="J6" s="114"/>
      <c r="K6" s="194"/>
      <c r="L6" s="203"/>
      <c r="M6" s="196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/>
      <c r="B7" s="142"/>
      <c r="C7" s="143"/>
      <c r="D7" s="144"/>
      <c r="E7" s="145"/>
      <c r="F7" s="146"/>
      <c r="G7" s="65"/>
      <c r="H7" s="70"/>
      <c r="I7" s="71"/>
      <c r="J7" s="114"/>
      <c r="K7" s="194"/>
      <c r="L7" s="183"/>
      <c r="M7" s="145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/>
      <c r="B8" s="142"/>
      <c r="C8" s="143"/>
      <c r="D8" s="144"/>
      <c r="E8" s="145"/>
      <c r="F8" s="146"/>
      <c r="G8" s="182"/>
      <c r="H8" s="70"/>
      <c r="I8" s="71"/>
      <c r="J8" s="115"/>
      <c r="K8" s="194"/>
      <c r="L8" s="183"/>
      <c r="M8" s="145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147"/>
      <c r="C9" s="148"/>
      <c r="D9" s="149"/>
      <c r="E9" s="150"/>
      <c r="F9" s="57"/>
      <c r="G9" s="151"/>
      <c r="H9" s="116"/>
      <c r="I9" s="117"/>
      <c r="J9" s="84"/>
      <c r="K9" s="194"/>
      <c r="L9" s="203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94"/>
      <c r="L10" s="209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4500</v>
      </c>
      <c r="G14" s="60">
        <f t="shared" si="1"/>
        <v>0</v>
      </c>
      <c r="H14" s="60">
        <f t="shared" si="1"/>
        <v>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4500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>
        <v>45957.0</v>
      </c>
      <c r="C4" s="186" t="s">
        <v>260</v>
      </c>
      <c r="D4" s="215">
        <v>13311.0</v>
      </c>
      <c r="E4" s="214" t="s">
        <v>261</v>
      </c>
      <c r="F4" s="216"/>
      <c r="G4" s="87"/>
      <c r="H4" s="217">
        <v>775.0</v>
      </c>
      <c r="I4" s="214"/>
      <c r="J4" s="218"/>
      <c r="K4" s="212" t="s">
        <v>18</v>
      </c>
      <c r="L4" s="219" t="s">
        <v>262</v>
      </c>
      <c r="M4" s="207" t="s">
        <v>36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220" t="s">
        <v>20</v>
      </c>
      <c r="B5" s="221">
        <v>45957.0</v>
      </c>
      <c r="C5" s="222" t="s">
        <v>263</v>
      </c>
      <c r="D5" s="215">
        <v>83352.0</v>
      </c>
      <c r="E5" s="214" t="s">
        <v>264</v>
      </c>
      <c r="F5" s="216">
        <v>25200.0</v>
      </c>
      <c r="G5" s="87"/>
      <c r="H5" s="217"/>
      <c r="I5" s="223"/>
      <c r="J5" s="224"/>
      <c r="K5" s="212" t="s">
        <v>18</v>
      </c>
      <c r="L5" s="219" t="s">
        <v>175</v>
      </c>
      <c r="M5" s="207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40"/>
      <c r="B6" s="197"/>
      <c r="C6" s="198"/>
      <c r="D6" s="199"/>
      <c r="E6" s="196"/>
      <c r="F6" s="205"/>
      <c r="G6" s="74"/>
      <c r="H6" s="201"/>
      <c r="I6" s="202"/>
      <c r="J6" s="114"/>
      <c r="K6" s="194"/>
      <c r="L6" s="203"/>
      <c r="M6" s="196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/>
      <c r="B7" s="142"/>
      <c r="C7" s="143"/>
      <c r="D7" s="144"/>
      <c r="E7" s="145"/>
      <c r="F7" s="146"/>
      <c r="G7" s="65"/>
      <c r="H7" s="70"/>
      <c r="I7" s="71"/>
      <c r="J7" s="114"/>
      <c r="K7" s="194"/>
      <c r="L7" s="183"/>
      <c r="M7" s="145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/>
      <c r="B8" s="142"/>
      <c r="C8" s="143"/>
      <c r="D8" s="144"/>
      <c r="E8" s="145"/>
      <c r="F8" s="146"/>
      <c r="G8" s="182"/>
      <c r="H8" s="70"/>
      <c r="I8" s="71"/>
      <c r="J8" s="115"/>
      <c r="K8" s="194"/>
      <c r="L8" s="183"/>
      <c r="M8" s="145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147"/>
      <c r="C9" s="148"/>
      <c r="D9" s="149"/>
      <c r="E9" s="150"/>
      <c r="F9" s="57"/>
      <c r="G9" s="151"/>
      <c r="H9" s="116"/>
      <c r="I9" s="117"/>
      <c r="J9" s="84"/>
      <c r="K9" s="194"/>
      <c r="L9" s="203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94"/>
      <c r="L10" s="209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25200</v>
      </c>
      <c r="G14" s="60">
        <f t="shared" si="1"/>
        <v>0</v>
      </c>
      <c r="H14" s="60">
        <f t="shared" si="1"/>
        <v>775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25975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/>
      <c r="C4" s="186"/>
      <c r="D4" s="215"/>
      <c r="E4" s="214"/>
      <c r="F4" s="216"/>
      <c r="G4" s="87"/>
      <c r="H4" s="217"/>
      <c r="I4" s="214"/>
      <c r="J4" s="218"/>
      <c r="K4" s="212"/>
      <c r="L4" s="219"/>
      <c r="M4" s="20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220" t="s">
        <v>20</v>
      </c>
      <c r="B5" s="221"/>
      <c r="C5" s="222"/>
      <c r="D5" s="215"/>
      <c r="E5" s="225" t="s">
        <v>266</v>
      </c>
      <c r="F5" s="216"/>
      <c r="G5" s="87"/>
      <c r="H5" s="217"/>
      <c r="I5" s="223"/>
      <c r="J5" s="224"/>
      <c r="K5" s="212"/>
      <c r="L5" s="219"/>
      <c r="M5" s="20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40"/>
      <c r="B6" s="197"/>
      <c r="C6" s="198"/>
      <c r="D6" s="199"/>
      <c r="E6" s="196"/>
      <c r="F6" s="205"/>
      <c r="G6" s="74"/>
      <c r="H6" s="201"/>
      <c r="I6" s="202"/>
      <c r="J6" s="114"/>
      <c r="K6" s="194"/>
      <c r="L6" s="203"/>
      <c r="M6" s="196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/>
      <c r="B7" s="142"/>
      <c r="C7" s="143"/>
      <c r="D7" s="144"/>
      <c r="E7" s="145"/>
      <c r="F7" s="146"/>
      <c r="G7" s="65"/>
      <c r="H7" s="70"/>
      <c r="I7" s="71"/>
      <c r="J7" s="114"/>
      <c r="K7" s="194"/>
      <c r="L7" s="183"/>
      <c r="M7" s="145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/>
      <c r="B8" s="142"/>
      <c r="C8" s="143"/>
      <c r="D8" s="144"/>
      <c r="E8" s="145"/>
      <c r="F8" s="146"/>
      <c r="G8" s="182"/>
      <c r="H8" s="70"/>
      <c r="I8" s="71"/>
      <c r="J8" s="115"/>
      <c r="K8" s="194"/>
      <c r="L8" s="183"/>
      <c r="M8" s="145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147"/>
      <c r="C9" s="148"/>
      <c r="D9" s="149"/>
      <c r="E9" s="150"/>
      <c r="F9" s="57"/>
      <c r="G9" s="151"/>
      <c r="H9" s="116"/>
      <c r="I9" s="117"/>
      <c r="J9" s="84"/>
      <c r="K9" s="194"/>
      <c r="L9" s="203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94"/>
      <c r="L10" s="209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0</v>
      </c>
      <c r="G14" s="60">
        <f t="shared" si="1"/>
        <v>0</v>
      </c>
      <c r="H14" s="60">
        <f t="shared" si="1"/>
        <v>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>
        <v>45958.0</v>
      </c>
      <c r="C4" s="186" t="s">
        <v>268</v>
      </c>
      <c r="D4" s="215">
        <v>22341.0</v>
      </c>
      <c r="E4" s="214" t="s">
        <v>269</v>
      </c>
      <c r="F4" s="216"/>
      <c r="G4" s="226">
        <v>3600.0</v>
      </c>
      <c r="H4" s="217"/>
      <c r="I4" s="214"/>
      <c r="J4" s="218"/>
      <c r="K4" s="212" t="s">
        <v>18</v>
      </c>
      <c r="L4" s="219" t="s">
        <v>270</v>
      </c>
      <c r="M4" s="207" t="s">
        <v>19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220" t="s">
        <v>20</v>
      </c>
      <c r="B5" s="221">
        <v>45959.0</v>
      </c>
      <c r="C5" s="222" t="s">
        <v>271</v>
      </c>
      <c r="D5" s="215">
        <v>50342.0</v>
      </c>
      <c r="E5" s="214" t="s">
        <v>120</v>
      </c>
      <c r="F5" s="216"/>
      <c r="G5" s="226">
        <v>2500.0</v>
      </c>
      <c r="H5" s="217"/>
      <c r="I5" s="223"/>
      <c r="J5" s="224"/>
      <c r="K5" s="212" t="s">
        <v>29</v>
      </c>
      <c r="L5" s="219" t="s">
        <v>272</v>
      </c>
      <c r="M5" s="207" t="s">
        <v>30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220" t="s">
        <v>23</v>
      </c>
      <c r="B6" s="204">
        <v>45959.0</v>
      </c>
      <c r="C6" s="198" t="s">
        <v>273</v>
      </c>
      <c r="D6" s="227">
        <v>21828.0</v>
      </c>
      <c r="E6" s="228" t="s">
        <v>274</v>
      </c>
      <c r="F6" s="229">
        <v>10000.0</v>
      </c>
      <c r="G6" s="74"/>
      <c r="H6" s="201"/>
      <c r="I6" s="202"/>
      <c r="J6" s="114"/>
      <c r="K6" s="230" t="s">
        <v>18</v>
      </c>
      <c r="L6" s="231" t="s">
        <v>275</v>
      </c>
      <c r="M6" s="214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6"/>
      <c r="B7" s="142"/>
      <c r="C7" s="143"/>
      <c r="D7" s="144"/>
      <c r="E7" s="145"/>
      <c r="F7" s="146"/>
      <c r="G7" s="65"/>
      <c r="H7" s="70"/>
      <c r="I7" s="71"/>
      <c r="J7" s="114"/>
      <c r="K7" s="194"/>
      <c r="L7" s="183"/>
      <c r="M7" s="145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/>
      <c r="B8" s="142"/>
      <c r="C8" s="143"/>
      <c r="D8" s="144"/>
      <c r="E8" s="145"/>
      <c r="F8" s="146"/>
      <c r="G8" s="182"/>
      <c r="H8" s="70"/>
      <c r="I8" s="71"/>
      <c r="J8" s="115"/>
      <c r="K8" s="194"/>
      <c r="L8" s="183"/>
      <c r="M8" s="145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147"/>
      <c r="C9" s="148"/>
      <c r="D9" s="149"/>
      <c r="E9" s="150"/>
      <c r="F9" s="57"/>
      <c r="G9" s="151"/>
      <c r="H9" s="116"/>
      <c r="I9" s="117"/>
      <c r="J9" s="84"/>
      <c r="K9" s="194"/>
      <c r="L9" s="203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94"/>
      <c r="L10" s="209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10000</v>
      </c>
      <c r="G14" s="60">
        <f t="shared" si="1"/>
        <v>6100</v>
      </c>
      <c r="H14" s="60">
        <f t="shared" si="1"/>
        <v>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16100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185">
        <v>45960.0</v>
      </c>
      <c r="C4" s="186" t="s">
        <v>277</v>
      </c>
      <c r="D4" s="215">
        <v>10008.0</v>
      </c>
      <c r="E4" s="214" t="s">
        <v>84</v>
      </c>
      <c r="F4" s="216">
        <v>13500.0</v>
      </c>
      <c r="G4" s="226"/>
      <c r="H4" s="217"/>
      <c r="I4" s="214"/>
      <c r="J4" s="218"/>
      <c r="K4" s="212" t="s">
        <v>18</v>
      </c>
      <c r="L4" s="219" t="s">
        <v>278</v>
      </c>
      <c r="M4" s="232" t="s">
        <v>19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220" t="s">
        <v>20</v>
      </c>
      <c r="B5" s="221">
        <v>45960.0</v>
      </c>
      <c r="C5" s="222" t="s">
        <v>279</v>
      </c>
      <c r="D5" s="215">
        <v>35245.0</v>
      </c>
      <c r="E5" s="214" t="s">
        <v>280</v>
      </c>
      <c r="F5" s="216">
        <v>9500.0</v>
      </c>
      <c r="G5" s="226"/>
      <c r="H5" s="217"/>
      <c r="I5" s="223"/>
      <c r="J5" s="224"/>
      <c r="K5" s="212" t="s">
        <v>18</v>
      </c>
      <c r="L5" s="219" t="s">
        <v>281</v>
      </c>
      <c r="M5" s="232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220" t="s">
        <v>23</v>
      </c>
      <c r="B6" s="204">
        <v>45960.0</v>
      </c>
      <c r="C6" s="198" t="s">
        <v>282</v>
      </c>
      <c r="D6" s="227">
        <v>101380.0</v>
      </c>
      <c r="E6" s="228" t="s">
        <v>283</v>
      </c>
      <c r="F6" s="229"/>
      <c r="G6" s="74"/>
      <c r="H6" s="201">
        <v>300.0</v>
      </c>
      <c r="I6" s="202"/>
      <c r="J6" s="114"/>
      <c r="K6" s="230" t="s">
        <v>18</v>
      </c>
      <c r="L6" s="233" t="s">
        <v>284</v>
      </c>
      <c r="M6" s="234" t="s">
        <v>19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81" t="s">
        <v>40</v>
      </c>
      <c r="B7" s="179">
        <v>45960.0</v>
      </c>
      <c r="C7" s="143" t="s">
        <v>285</v>
      </c>
      <c r="D7" s="235">
        <v>35245.0</v>
      </c>
      <c r="E7" s="236" t="s">
        <v>280</v>
      </c>
      <c r="F7" s="237">
        <v>7500.0</v>
      </c>
      <c r="G7" s="238"/>
      <c r="H7" s="238"/>
      <c r="I7" s="239"/>
      <c r="J7" s="240"/>
      <c r="K7" s="241" t="s">
        <v>18</v>
      </c>
      <c r="L7" s="242" t="s">
        <v>286</v>
      </c>
      <c r="M7" s="243" t="s">
        <v>19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181"/>
      <c r="B8" s="142"/>
      <c r="C8" s="143"/>
      <c r="D8" s="144"/>
      <c r="E8" s="145"/>
      <c r="F8" s="146"/>
      <c r="G8" s="182"/>
      <c r="H8" s="70"/>
      <c r="I8" s="71"/>
      <c r="J8" s="115"/>
      <c r="K8" s="194"/>
      <c r="L8" s="183"/>
      <c r="M8" s="145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40"/>
      <c r="B9" s="147"/>
      <c r="C9" s="148"/>
      <c r="D9" s="149"/>
      <c r="E9" s="150"/>
      <c r="F9" s="57"/>
      <c r="G9" s="151"/>
      <c r="H9" s="116"/>
      <c r="I9" s="117"/>
      <c r="J9" s="84"/>
      <c r="K9" s="194"/>
      <c r="L9" s="203"/>
      <c r="M9" s="145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16"/>
      <c r="B10" s="147"/>
      <c r="C10" s="148"/>
      <c r="D10" s="149"/>
      <c r="E10" s="152"/>
      <c r="F10" s="58"/>
      <c r="G10" s="46"/>
      <c r="H10" s="153"/>
      <c r="I10" s="48"/>
      <c r="J10" s="84"/>
      <c r="K10" s="194"/>
      <c r="L10" s="209"/>
      <c r="M10" s="145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6"/>
      <c r="B11" s="80"/>
      <c r="C11" s="81"/>
      <c r="D11" s="82"/>
      <c r="E11" s="86" t="s">
        <v>171</v>
      </c>
      <c r="F11" s="87"/>
      <c r="G11" s="46"/>
      <c r="H11" s="47"/>
      <c r="I11" s="48"/>
      <c r="J11" s="84"/>
      <c r="K11" s="85"/>
      <c r="L11" s="106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16"/>
      <c r="B12" s="80"/>
      <c r="C12" s="81"/>
      <c r="D12" s="82"/>
      <c r="E12" s="86"/>
      <c r="F12" s="87"/>
      <c r="G12" s="46"/>
      <c r="H12" s="47"/>
      <c r="I12" s="48"/>
      <c r="J12" s="84"/>
      <c r="K12" s="85"/>
      <c r="L12" s="106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6"/>
      <c r="B13" s="80"/>
      <c r="C13" s="81"/>
      <c r="D13" s="82"/>
      <c r="E13" s="86"/>
      <c r="F13" s="58"/>
      <c r="G13" s="46"/>
      <c r="H13" s="47"/>
      <c r="I13" s="48"/>
      <c r="J13" s="49"/>
      <c r="K13" s="50"/>
      <c r="L13" s="51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59"/>
      <c r="B14" s="2"/>
      <c r="C14" s="2"/>
      <c r="D14" s="2"/>
      <c r="E14" s="3"/>
      <c r="F14" s="60">
        <f t="shared" ref="F14:J14" si="1">SUM(F4:F13)</f>
        <v>30500</v>
      </c>
      <c r="G14" s="60">
        <f t="shared" si="1"/>
        <v>0</v>
      </c>
      <c r="H14" s="60">
        <f t="shared" si="1"/>
        <v>300</v>
      </c>
      <c r="I14" s="60">
        <f t="shared" si="1"/>
        <v>0</v>
      </c>
      <c r="J14" s="60">
        <f t="shared" si="1"/>
        <v>0</v>
      </c>
      <c r="K14" s="61"/>
      <c r="L14" s="61"/>
      <c r="M14" s="62"/>
    </row>
    <row r="15" ht="48.0" customHeight="1">
      <c r="F15" s="63">
        <f>F14+G14+H14+I14+J14</f>
        <v>30800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244">
        <v>45961.0</v>
      </c>
      <c r="C4" s="222" t="s">
        <v>288</v>
      </c>
      <c r="D4" s="245">
        <v>10250.0</v>
      </c>
      <c r="E4" s="246" t="s">
        <v>92</v>
      </c>
      <c r="F4" s="247">
        <v>20000.0</v>
      </c>
      <c r="G4" s="248"/>
      <c r="H4" s="249"/>
      <c r="I4" s="246"/>
      <c r="J4" s="250"/>
      <c r="K4" s="251" t="s">
        <v>29</v>
      </c>
      <c r="L4" s="252" t="s">
        <v>289</v>
      </c>
      <c r="M4" s="253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220" t="s">
        <v>20</v>
      </c>
      <c r="B5" s="244">
        <v>45961.0</v>
      </c>
      <c r="C5" s="222" t="s">
        <v>290</v>
      </c>
      <c r="D5" s="245">
        <v>59793.0</v>
      </c>
      <c r="E5" s="246" t="s">
        <v>67</v>
      </c>
      <c r="F5" s="247">
        <v>5000.0</v>
      </c>
      <c r="G5" s="248"/>
      <c r="H5" s="249"/>
      <c r="I5" s="254"/>
      <c r="J5" s="255"/>
      <c r="K5" s="251" t="s">
        <v>18</v>
      </c>
      <c r="L5" s="252" t="s">
        <v>291</v>
      </c>
      <c r="M5" s="253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220" t="s">
        <v>23</v>
      </c>
      <c r="B6" s="244">
        <v>45961.0</v>
      </c>
      <c r="C6" s="222" t="s">
        <v>292</v>
      </c>
      <c r="D6" s="245">
        <v>59793.0</v>
      </c>
      <c r="E6" s="246" t="s">
        <v>67</v>
      </c>
      <c r="F6" s="247">
        <v>5450.0</v>
      </c>
      <c r="G6" s="255"/>
      <c r="H6" s="249"/>
      <c r="I6" s="254"/>
      <c r="J6" s="255"/>
      <c r="K6" s="251" t="s">
        <v>18</v>
      </c>
      <c r="L6" s="252" t="s">
        <v>293</v>
      </c>
      <c r="M6" s="256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81" t="s">
        <v>40</v>
      </c>
      <c r="B7" s="257">
        <v>45961.0</v>
      </c>
      <c r="C7" s="258" t="s">
        <v>294</v>
      </c>
      <c r="D7" s="259">
        <v>10008.0</v>
      </c>
      <c r="E7" s="260" t="s">
        <v>84</v>
      </c>
      <c r="F7" s="261"/>
      <c r="G7" s="262">
        <v>5250.0</v>
      </c>
      <c r="H7" s="263"/>
      <c r="I7" s="264"/>
      <c r="J7" s="255"/>
      <c r="K7" s="251" t="s">
        <v>18</v>
      </c>
      <c r="L7" s="265" t="s">
        <v>295</v>
      </c>
      <c r="M7" s="266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220" t="s">
        <v>43</v>
      </c>
      <c r="B8" s="257">
        <v>45961.0</v>
      </c>
      <c r="C8" s="258" t="s">
        <v>296</v>
      </c>
      <c r="D8" s="259">
        <v>10281.0</v>
      </c>
      <c r="E8" s="260" t="s">
        <v>297</v>
      </c>
      <c r="F8" s="261"/>
      <c r="G8" s="262">
        <v>4500.0</v>
      </c>
      <c r="H8" s="263"/>
      <c r="I8" s="264"/>
      <c r="J8" s="267"/>
      <c r="K8" s="251" t="s">
        <v>18</v>
      </c>
      <c r="L8" s="265" t="s">
        <v>298</v>
      </c>
      <c r="M8" s="268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81" t="s">
        <v>46</v>
      </c>
      <c r="B9" s="257">
        <v>45961.0</v>
      </c>
      <c r="C9" s="258" t="s">
        <v>299</v>
      </c>
      <c r="D9" s="259">
        <v>51660.0</v>
      </c>
      <c r="E9" s="260" t="s">
        <v>300</v>
      </c>
      <c r="F9" s="261">
        <v>4500.0</v>
      </c>
      <c r="G9" s="262"/>
      <c r="H9" s="263"/>
      <c r="I9" s="264"/>
      <c r="J9" s="267"/>
      <c r="K9" s="251" t="s">
        <v>18</v>
      </c>
      <c r="L9" s="265" t="s">
        <v>301</v>
      </c>
      <c r="M9" s="268" t="s">
        <v>19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220" t="s">
        <v>49</v>
      </c>
      <c r="B10" s="257">
        <v>45961.0</v>
      </c>
      <c r="C10" s="258" t="s">
        <v>302</v>
      </c>
      <c r="D10" s="259">
        <v>10357.0</v>
      </c>
      <c r="E10" s="260" t="s">
        <v>303</v>
      </c>
      <c r="F10" s="261">
        <v>4500.0</v>
      </c>
      <c r="G10" s="262"/>
      <c r="H10" s="263"/>
      <c r="I10" s="264"/>
      <c r="J10" s="267"/>
      <c r="K10" s="251" t="s">
        <v>18</v>
      </c>
      <c r="L10" s="265" t="s">
        <v>304</v>
      </c>
      <c r="M10" s="268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81" t="s">
        <v>52</v>
      </c>
      <c r="B11" s="257">
        <v>45961.0</v>
      </c>
      <c r="C11" s="258" t="s">
        <v>305</v>
      </c>
      <c r="D11" s="259">
        <v>57201.0</v>
      </c>
      <c r="E11" s="260" t="s">
        <v>306</v>
      </c>
      <c r="F11" s="261">
        <v>20550.0</v>
      </c>
      <c r="G11" s="262"/>
      <c r="H11" s="263"/>
      <c r="I11" s="264"/>
      <c r="J11" s="267"/>
      <c r="K11" s="251" t="s">
        <v>29</v>
      </c>
      <c r="L11" s="265" t="s">
        <v>307</v>
      </c>
      <c r="M11" s="268" t="s">
        <v>30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220" t="s">
        <v>55</v>
      </c>
      <c r="B12" s="257">
        <v>45961.0</v>
      </c>
      <c r="C12" s="258" t="s">
        <v>308</v>
      </c>
      <c r="D12" s="259">
        <v>10270.0</v>
      </c>
      <c r="E12" s="260" t="s">
        <v>309</v>
      </c>
      <c r="F12" s="261">
        <v>4500.0</v>
      </c>
      <c r="G12" s="262"/>
      <c r="H12" s="263"/>
      <c r="I12" s="264"/>
      <c r="J12" s="267"/>
      <c r="K12" s="251" t="s">
        <v>18</v>
      </c>
      <c r="L12" s="265" t="s">
        <v>278</v>
      </c>
      <c r="M12" s="268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81" t="s">
        <v>57</v>
      </c>
      <c r="B13" s="257">
        <v>45961.0</v>
      </c>
      <c r="C13" s="258" t="s">
        <v>310</v>
      </c>
      <c r="D13" s="259">
        <v>10006.0</v>
      </c>
      <c r="E13" s="260" t="s">
        <v>200</v>
      </c>
      <c r="F13" s="261">
        <v>3600.0</v>
      </c>
      <c r="G13" s="262"/>
      <c r="H13" s="263"/>
      <c r="I13" s="264"/>
      <c r="J13" s="267"/>
      <c r="K13" s="251" t="s">
        <v>18</v>
      </c>
      <c r="L13" s="265" t="s">
        <v>311</v>
      </c>
      <c r="M13" s="268" t="s">
        <v>19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220" t="s">
        <v>59</v>
      </c>
      <c r="B14" s="257">
        <v>45961.0</v>
      </c>
      <c r="C14" s="258" t="s">
        <v>312</v>
      </c>
      <c r="D14" s="259">
        <v>47787.0</v>
      </c>
      <c r="E14" s="260" t="s">
        <v>28</v>
      </c>
      <c r="F14" s="261">
        <v>10000.0</v>
      </c>
      <c r="G14" s="262"/>
      <c r="H14" s="263"/>
      <c r="I14" s="264"/>
      <c r="J14" s="267"/>
      <c r="K14" s="251" t="s">
        <v>29</v>
      </c>
      <c r="L14" s="265" t="s">
        <v>313</v>
      </c>
      <c r="M14" s="268" t="s">
        <v>30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49.5" customHeight="1">
      <c r="A15" s="181" t="s">
        <v>62</v>
      </c>
      <c r="B15" s="257">
        <v>45961.0</v>
      </c>
      <c r="C15" s="258" t="s">
        <v>314</v>
      </c>
      <c r="D15" s="259">
        <v>35245.0</v>
      </c>
      <c r="E15" s="260" t="s">
        <v>280</v>
      </c>
      <c r="F15" s="261">
        <v>3700.0</v>
      </c>
      <c r="G15" s="262"/>
      <c r="H15" s="263"/>
      <c r="I15" s="264"/>
      <c r="J15" s="267"/>
      <c r="K15" s="251" t="s">
        <v>18</v>
      </c>
      <c r="L15" s="265" t="s">
        <v>315</v>
      </c>
      <c r="M15" s="268" t="s">
        <v>19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49.5" customHeight="1">
      <c r="A16" s="220" t="s">
        <v>316</v>
      </c>
      <c r="B16" s="257">
        <v>45961.0</v>
      </c>
      <c r="C16" s="258" t="s">
        <v>317</v>
      </c>
      <c r="D16" s="259">
        <v>101519.0</v>
      </c>
      <c r="E16" s="260" t="s">
        <v>318</v>
      </c>
      <c r="F16" s="261"/>
      <c r="G16" s="262"/>
      <c r="H16" s="262">
        <v>300.0</v>
      </c>
      <c r="I16" s="264"/>
      <c r="J16" s="267"/>
      <c r="K16" s="251" t="s">
        <v>18</v>
      </c>
      <c r="L16" s="265" t="s">
        <v>319</v>
      </c>
      <c r="M16" s="268" t="s">
        <v>19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49.5" customHeight="1">
      <c r="A17" s="181" t="s">
        <v>320</v>
      </c>
      <c r="B17" s="269">
        <v>45961.0</v>
      </c>
      <c r="C17" s="270" t="s">
        <v>321</v>
      </c>
      <c r="D17" s="271">
        <v>57201.0</v>
      </c>
      <c r="E17" s="272" t="s">
        <v>306</v>
      </c>
      <c r="F17" s="57"/>
      <c r="G17" s="273"/>
      <c r="H17" s="274">
        <v>320.0</v>
      </c>
      <c r="I17" s="275"/>
      <c r="J17" s="276"/>
      <c r="K17" s="251" t="s">
        <v>29</v>
      </c>
      <c r="L17" s="252" t="s">
        <v>322</v>
      </c>
      <c r="M17" s="268" t="s">
        <v>30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49.5" customHeight="1">
      <c r="A18" s="220" t="s">
        <v>323</v>
      </c>
      <c r="B18" s="269">
        <v>45961.0</v>
      </c>
      <c r="C18" s="270" t="s">
        <v>324</v>
      </c>
      <c r="D18" s="271">
        <v>52685.0</v>
      </c>
      <c r="E18" s="277" t="s">
        <v>325</v>
      </c>
      <c r="F18" s="278">
        <v>4500.0</v>
      </c>
      <c r="G18" s="279"/>
      <c r="H18" s="274"/>
      <c r="I18" s="275"/>
      <c r="J18" s="276"/>
      <c r="K18" s="251" t="s">
        <v>18</v>
      </c>
      <c r="L18" s="280" t="s">
        <v>326</v>
      </c>
      <c r="M18" s="268" t="s">
        <v>19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49.5" customHeight="1">
      <c r="A19" s="181"/>
      <c r="B19" s="281"/>
      <c r="C19" s="282"/>
      <c r="D19" s="283"/>
      <c r="E19" s="284" t="s">
        <v>171</v>
      </c>
      <c r="F19" s="279"/>
      <c r="G19" s="279"/>
      <c r="H19" s="285"/>
      <c r="I19" s="275"/>
      <c r="J19" s="276"/>
      <c r="K19" s="286"/>
      <c r="L19" s="106"/>
      <c r="M19" s="20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49.5" customHeight="1">
      <c r="A20" s="220"/>
      <c r="B20" s="80"/>
      <c r="C20" s="81"/>
      <c r="D20" s="82"/>
      <c r="E20" s="86"/>
      <c r="F20" s="87"/>
      <c r="G20" s="46"/>
      <c r="H20" s="47"/>
      <c r="I20" s="48"/>
      <c r="J20" s="84"/>
      <c r="K20" s="85"/>
      <c r="L20" s="106"/>
      <c r="M20" s="20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49.5" customHeight="1">
      <c r="A21" s="16"/>
      <c r="B21" s="80"/>
      <c r="C21" s="81"/>
      <c r="D21" s="82"/>
      <c r="E21" s="86"/>
      <c r="F21" s="58"/>
      <c r="G21" s="46"/>
      <c r="H21" s="47"/>
      <c r="I21" s="48"/>
      <c r="J21" s="49"/>
      <c r="K21" s="50"/>
      <c r="L21" s="51"/>
      <c r="M21" s="20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49.5" customHeight="1">
      <c r="A22" s="59"/>
      <c r="B22" s="2"/>
      <c r="C22" s="2"/>
      <c r="D22" s="2"/>
      <c r="E22" s="3"/>
      <c r="F22" s="60">
        <f t="shared" ref="F22:J22" si="1">SUM(F4:F21)</f>
        <v>86300</v>
      </c>
      <c r="G22" s="60">
        <f t="shared" si="1"/>
        <v>9750</v>
      </c>
      <c r="H22" s="60">
        <f t="shared" si="1"/>
        <v>620</v>
      </c>
      <c r="I22" s="60">
        <f t="shared" si="1"/>
        <v>0</v>
      </c>
      <c r="J22" s="60">
        <f t="shared" si="1"/>
        <v>0</v>
      </c>
      <c r="K22" s="61"/>
      <c r="L22" s="61"/>
      <c r="M22" s="62"/>
    </row>
    <row r="23" ht="48.0" customHeight="1">
      <c r="F23" s="63">
        <f>F22+G22+H22+I22+J22</f>
        <v>96670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K2:K3"/>
    <mergeCell ref="L2:L3"/>
    <mergeCell ref="E2:E3"/>
    <mergeCell ref="A22:E22"/>
    <mergeCell ref="F23:J23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31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88" t="s">
        <v>97</v>
      </c>
      <c r="G3" s="89" t="s">
        <v>12</v>
      </c>
      <c r="H3" s="90" t="s">
        <v>10</v>
      </c>
      <c r="I3" s="206" t="s">
        <v>233</v>
      </c>
      <c r="J3" s="14" t="s">
        <v>14</v>
      </c>
      <c r="K3" s="9"/>
      <c r="L3" s="8"/>
      <c r="M3" s="15"/>
    </row>
    <row r="4" ht="49.5" customHeight="1">
      <c r="A4" s="184" t="s">
        <v>15</v>
      </c>
      <c r="B4" s="244">
        <v>45961.0</v>
      </c>
      <c r="C4" s="222" t="s">
        <v>288</v>
      </c>
      <c r="D4" s="245">
        <v>10250.0</v>
      </c>
      <c r="E4" s="246" t="s">
        <v>92</v>
      </c>
      <c r="F4" s="247">
        <v>20000.0</v>
      </c>
      <c r="G4" s="248"/>
      <c r="H4" s="249"/>
      <c r="I4" s="246"/>
      <c r="J4" s="250"/>
      <c r="K4" s="251" t="s">
        <v>29</v>
      </c>
      <c r="L4" s="252" t="s">
        <v>289</v>
      </c>
      <c r="M4" s="253" t="s">
        <v>30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9.5" customHeight="1">
      <c r="A5" s="220" t="s">
        <v>20</v>
      </c>
      <c r="B5" s="244">
        <v>45961.0</v>
      </c>
      <c r="C5" s="222" t="s">
        <v>290</v>
      </c>
      <c r="D5" s="245">
        <v>59793.0</v>
      </c>
      <c r="E5" s="246" t="s">
        <v>67</v>
      </c>
      <c r="F5" s="247">
        <v>5000.0</v>
      </c>
      <c r="G5" s="248"/>
      <c r="H5" s="249"/>
      <c r="I5" s="254"/>
      <c r="J5" s="255"/>
      <c r="K5" s="251" t="s">
        <v>18</v>
      </c>
      <c r="L5" s="252" t="s">
        <v>291</v>
      </c>
      <c r="M5" s="253" t="s">
        <v>36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49.5" customHeight="1">
      <c r="A6" s="220" t="s">
        <v>23</v>
      </c>
      <c r="B6" s="244">
        <v>45961.0</v>
      </c>
      <c r="C6" s="222" t="s">
        <v>292</v>
      </c>
      <c r="D6" s="245">
        <v>59793.0</v>
      </c>
      <c r="E6" s="246" t="s">
        <v>67</v>
      </c>
      <c r="F6" s="247">
        <v>5450.0</v>
      </c>
      <c r="G6" s="255"/>
      <c r="H6" s="249"/>
      <c r="I6" s="254"/>
      <c r="J6" s="255"/>
      <c r="K6" s="251" t="s">
        <v>18</v>
      </c>
      <c r="L6" s="252" t="s">
        <v>293</v>
      </c>
      <c r="M6" s="256" t="s">
        <v>36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9.5" customHeight="1">
      <c r="A7" s="181" t="s">
        <v>40</v>
      </c>
      <c r="B7" s="257">
        <v>45961.0</v>
      </c>
      <c r="C7" s="258" t="s">
        <v>294</v>
      </c>
      <c r="D7" s="259">
        <v>10008.0</v>
      </c>
      <c r="E7" s="260" t="s">
        <v>84</v>
      </c>
      <c r="F7" s="261"/>
      <c r="G7" s="262">
        <v>5250.0</v>
      </c>
      <c r="H7" s="263"/>
      <c r="I7" s="264"/>
      <c r="J7" s="255"/>
      <c r="K7" s="251" t="s">
        <v>18</v>
      </c>
      <c r="L7" s="265" t="s">
        <v>295</v>
      </c>
      <c r="M7" s="266" t="s">
        <v>36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49.5" customHeight="1">
      <c r="A8" s="220" t="s">
        <v>43</v>
      </c>
      <c r="B8" s="257">
        <v>45961.0</v>
      </c>
      <c r="C8" s="258" t="s">
        <v>296</v>
      </c>
      <c r="D8" s="259">
        <v>10281.0</v>
      </c>
      <c r="E8" s="260" t="s">
        <v>297</v>
      </c>
      <c r="F8" s="261"/>
      <c r="G8" s="262">
        <v>4500.0</v>
      </c>
      <c r="H8" s="263"/>
      <c r="I8" s="264"/>
      <c r="J8" s="267"/>
      <c r="K8" s="251" t="s">
        <v>18</v>
      </c>
      <c r="L8" s="265" t="s">
        <v>298</v>
      </c>
      <c r="M8" s="268" t="s">
        <v>19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9.5" customHeight="1">
      <c r="A9" s="181" t="s">
        <v>46</v>
      </c>
      <c r="B9" s="257">
        <v>45961.0</v>
      </c>
      <c r="C9" s="258" t="s">
        <v>299</v>
      </c>
      <c r="D9" s="259">
        <v>51660.0</v>
      </c>
      <c r="E9" s="260" t="s">
        <v>300</v>
      </c>
      <c r="F9" s="261">
        <v>4500.0</v>
      </c>
      <c r="G9" s="262"/>
      <c r="H9" s="263"/>
      <c r="I9" s="264"/>
      <c r="J9" s="267"/>
      <c r="K9" s="251" t="s">
        <v>18</v>
      </c>
      <c r="L9" s="265" t="s">
        <v>301</v>
      </c>
      <c r="M9" s="268" t="s">
        <v>19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49.5" customHeight="1">
      <c r="A10" s="220" t="s">
        <v>49</v>
      </c>
      <c r="B10" s="257">
        <v>45961.0</v>
      </c>
      <c r="C10" s="258" t="s">
        <v>302</v>
      </c>
      <c r="D10" s="259">
        <v>10357.0</v>
      </c>
      <c r="E10" s="260" t="s">
        <v>303</v>
      </c>
      <c r="F10" s="261">
        <v>4500.0</v>
      </c>
      <c r="G10" s="262"/>
      <c r="H10" s="263"/>
      <c r="I10" s="264"/>
      <c r="J10" s="267"/>
      <c r="K10" s="251" t="s">
        <v>18</v>
      </c>
      <c r="L10" s="265" t="s">
        <v>304</v>
      </c>
      <c r="M10" s="268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49.5" customHeight="1">
      <c r="A11" s="181" t="s">
        <v>52</v>
      </c>
      <c r="B11" s="257">
        <v>45961.0</v>
      </c>
      <c r="C11" s="258" t="s">
        <v>305</v>
      </c>
      <c r="D11" s="259">
        <v>57201.0</v>
      </c>
      <c r="E11" s="260" t="s">
        <v>306</v>
      </c>
      <c r="F11" s="261">
        <v>20550.0</v>
      </c>
      <c r="G11" s="262"/>
      <c r="H11" s="263"/>
      <c r="I11" s="264"/>
      <c r="J11" s="267"/>
      <c r="K11" s="251" t="s">
        <v>29</v>
      </c>
      <c r="L11" s="265" t="s">
        <v>307</v>
      </c>
      <c r="M11" s="268" t="s">
        <v>30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49.5" customHeight="1">
      <c r="A12" s="220" t="s">
        <v>55</v>
      </c>
      <c r="B12" s="257">
        <v>45961.0</v>
      </c>
      <c r="C12" s="258" t="s">
        <v>308</v>
      </c>
      <c r="D12" s="259">
        <v>10270.0</v>
      </c>
      <c r="E12" s="260" t="s">
        <v>309</v>
      </c>
      <c r="F12" s="261">
        <v>4500.0</v>
      </c>
      <c r="G12" s="262"/>
      <c r="H12" s="263"/>
      <c r="I12" s="264"/>
      <c r="J12" s="267"/>
      <c r="K12" s="251" t="s">
        <v>18</v>
      </c>
      <c r="L12" s="265" t="s">
        <v>278</v>
      </c>
      <c r="M12" s="268" t="s">
        <v>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181" t="s">
        <v>57</v>
      </c>
      <c r="B13" s="257">
        <v>45961.0</v>
      </c>
      <c r="C13" s="258" t="s">
        <v>310</v>
      </c>
      <c r="D13" s="259">
        <v>10006.0</v>
      </c>
      <c r="E13" s="260" t="s">
        <v>200</v>
      </c>
      <c r="F13" s="261">
        <v>3600.0</v>
      </c>
      <c r="G13" s="262"/>
      <c r="H13" s="263"/>
      <c r="I13" s="264"/>
      <c r="J13" s="267"/>
      <c r="K13" s="251" t="s">
        <v>18</v>
      </c>
      <c r="L13" s="265" t="s">
        <v>311</v>
      </c>
      <c r="M13" s="268" t="s">
        <v>19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49.5" customHeight="1">
      <c r="A14" s="220" t="s">
        <v>59</v>
      </c>
      <c r="B14" s="257">
        <v>45961.0</v>
      </c>
      <c r="C14" s="258" t="s">
        <v>312</v>
      </c>
      <c r="D14" s="259">
        <v>47787.0</v>
      </c>
      <c r="E14" s="260" t="s">
        <v>28</v>
      </c>
      <c r="F14" s="261">
        <v>10000.0</v>
      </c>
      <c r="G14" s="262"/>
      <c r="H14" s="263"/>
      <c r="I14" s="264"/>
      <c r="J14" s="267"/>
      <c r="K14" s="251" t="s">
        <v>29</v>
      </c>
      <c r="L14" s="265" t="s">
        <v>313</v>
      </c>
      <c r="M14" s="268" t="s">
        <v>30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49.5" customHeight="1">
      <c r="A15" s="181" t="s">
        <v>62</v>
      </c>
      <c r="B15" s="257">
        <v>45961.0</v>
      </c>
      <c r="C15" s="258" t="s">
        <v>314</v>
      </c>
      <c r="D15" s="259">
        <v>35245.0</v>
      </c>
      <c r="E15" s="260" t="s">
        <v>280</v>
      </c>
      <c r="F15" s="261">
        <v>3700.0</v>
      </c>
      <c r="G15" s="262"/>
      <c r="H15" s="263"/>
      <c r="I15" s="264"/>
      <c r="J15" s="267"/>
      <c r="K15" s="251" t="s">
        <v>18</v>
      </c>
      <c r="L15" s="265" t="s">
        <v>315</v>
      </c>
      <c r="M15" s="268" t="s">
        <v>19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49.5" customHeight="1">
      <c r="A16" s="220" t="s">
        <v>316</v>
      </c>
      <c r="B16" s="257">
        <v>45961.0</v>
      </c>
      <c r="C16" s="258" t="s">
        <v>317</v>
      </c>
      <c r="D16" s="259">
        <v>101519.0</v>
      </c>
      <c r="E16" s="260" t="s">
        <v>318</v>
      </c>
      <c r="F16" s="261"/>
      <c r="G16" s="262"/>
      <c r="H16" s="262">
        <v>300.0</v>
      </c>
      <c r="I16" s="264"/>
      <c r="J16" s="267"/>
      <c r="K16" s="251" t="s">
        <v>18</v>
      </c>
      <c r="L16" s="265" t="s">
        <v>319</v>
      </c>
      <c r="M16" s="268" t="s">
        <v>19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49.5" customHeight="1">
      <c r="A17" s="181" t="s">
        <v>320</v>
      </c>
      <c r="B17" s="269">
        <v>45961.0</v>
      </c>
      <c r="C17" s="270" t="s">
        <v>321</v>
      </c>
      <c r="D17" s="271">
        <v>57201.0</v>
      </c>
      <c r="E17" s="272" t="s">
        <v>306</v>
      </c>
      <c r="F17" s="57"/>
      <c r="G17" s="273"/>
      <c r="H17" s="274">
        <v>320.0</v>
      </c>
      <c r="I17" s="275"/>
      <c r="J17" s="276"/>
      <c r="K17" s="251" t="s">
        <v>29</v>
      </c>
      <c r="L17" s="252" t="s">
        <v>322</v>
      </c>
      <c r="M17" s="268" t="s">
        <v>30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49.5" customHeight="1">
      <c r="A18" s="220" t="s">
        <v>323</v>
      </c>
      <c r="B18" s="269">
        <v>45961.0</v>
      </c>
      <c r="C18" s="270" t="s">
        <v>324</v>
      </c>
      <c r="D18" s="271">
        <v>52685.0</v>
      </c>
      <c r="E18" s="277" t="s">
        <v>325</v>
      </c>
      <c r="F18" s="278">
        <v>4500.0</v>
      </c>
      <c r="G18" s="279"/>
      <c r="H18" s="274"/>
      <c r="I18" s="275"/>
      <c r="J18" s="276"/>
      <c r="K18" s="251" t="s">
        <v>18</v>
      </c>
      <c r="L18" s="280" t="s">
        <v>326</v>
      </c>
      <c r="M18" s="268" t="s">
        <v>19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49.5" customHeight="1">
      <c r="A19" s="181"/>
      <c r="B19" s="281"/>
      <c r="C19" s="282"/>
      <c r="D19" s="283"/>
      <c r="E19" s="284" t="s">
        <v>171</v>
      </c>
      <c r="F19" s="279"/>
      <c r="G19" s="279"/>
      <c r="H19" s="285"/>
      <c r="I19" s="275"/>
      <c r="J19" s="276"/>
      <c r="K19" s="286"/>
      <c r="L19" s="106"/>
      <c r="M19" s="20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49.5" customHeight="1">
      <c r="A20" s="220"/>
      <c r="B20" s="80"/>
      <c r="C20" s="81"/>
      <c r="D20" s="82"/>
      <c r="E20" s="86"/>
      <c r="F20" s="87"/>
      <c r="G20" s="46"/>
      <c r="H20" s="47"/>
      <c r="I20" s="48"/>
      <c r="J20" s="84"/>
      <c r="K20" s="85"/>
      <c r="L20" s="106"/>
      <c r="M20" s="20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49.5" customHeight="1">
      <c r="A21" s="16"/>
      <c r="B21" s="80"/>
      <c r="C21" s="81"/>
      <c r="D21" s="82"/>
      <c r="E21" s="86"/>
      <c r="F21" s="58"/>
      <c r="G21" s="46"/>
      <c r="H21" s="47"/>
      <c r="I21" s="48"/>
      <c r="J21" s="49"/>
      <c r="K21" s="50"/>
      <c r="L21" s="51"/>
      <c r="M21" s="20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49.5" customHeight="1">
      <c r="A22" s="59"/>
      <c r="B22" s="2"/>
      <c r="C22" s="2"/>
      <c r="D22" s="2"/>
      <c r="E22" s="3"/>
      <c r="F22" s="60">
        <f t="shared" ref="F22:J22" si="1">SUM(F4:F21)</f>
        <v>86300</v>
      </c>
      <c r="G22" s="60">
        <f t="shared" si="1"/>
        <v>9750</v>
      </c>
      <c r="H22" s="60">
        <f t="shared" si="1"/>
        <v>620</v>
      </c>
      <c r="I22" s="60">
        <f t="shared" si="1"/>
        <v>0</v>
      </c>
      <c r="J22" s="60">
        <f t="shared" si="1"/>
        <v>0</v>
      </c>
      <c r="K22" s="61"/>
      <c r="L22" s="61"/>
      <c r="M22" s="62"/>
    </row>
    <row r="23" ht="48.0" customHeight="1">
      <c r="F23" s="63">
        <f>F22+G22+H22+I22+J22</f>
        <v>96670</v>
      </c>
      <c r="G23" s="2"/>
      <c r="H23" s="2"/>
      <c r="I23" s="2"/>
      <c r="J2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2">
    <mergeCell ref="B2:B3"/>
    <mergeCell ref="C2:C3"/>
    <mergeCell ref="E2:E3"/>
    <mergeCell ref="F2:J2"/>
    <mergeCell ref="K2:K3"/>
    <mergeCell ref="L2:L3"/>
    <mergeCell ref="A22:E22"/>
    <mergeCell ref="F23:J23"/>
    <mergeCell ref="A1:M1"/>
    <mergeCell ref="A2:A3"/>
    <mergeCell ref="D2:D3"/>
    <mergeCell ref="M2:M3"/>
  </mergeCells>
  <dataValidations>
    <dataValidation type="list" allowBlank="1" showErrorMessage="1" sqref="M4:M21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
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2-68" sheetId="1" r:id="rId4"/>
    <sheet state="visible" name="2-12-68" sheetId="2" r:id="rId5"/>
    <sheet state="visible" name="3-12-68" sheetId="3" r:id="rId6"/>
    <sheet state="visible" name="4-12-68" sheetId="4" r:id="rId7"/>
    <sheet state="visible" name="5-12-68" sheetId="5" r:id="rId8"/>
    <sheet state="visible" name="6-12-68" sheetId="6" r:id="rId9"/>
    <sheet state="visible" name="7-12-68" sheetId="7" r:id="rId10"/>
    <sheet state="visible" name="8-12-68" sheetId="8" r:id="rId11"/>
    <sheet state="visible" name="9-12-68" sheetId="9" r:id="rId12"/>
    <sheet state="visible" name="12-12-68" sheetId="10" r:id="rId13"/>
    <sheet state="visible" name="13-12-68" sheetId="11" r:id="rId14"/>
    <sheet state="visible" name="14-12-68" sheetId="12" r:id="rId15"/>
    <sheet state="visible" name="15-12-68" sheetId="13" r:id="rId16"/>
    <sheet state="visible" name="16-12-68" sheetId="14" r:id="rId17"/>
    <sheet state="visible" name="17 -12-68" sheetId="15" r:id="rId18"/>
    <sheet state="visible" name="18 -12-68" sheetId="16" r:id="rId19"/>
    <sheet state="visible" name=" 19 -12-68" sheetId="17" r:id="rId20"/>
    <sheet state="visible" name="20-12-68" sheetId="18" r:id="rId21"/>
    <sheet state="visible" name="21-12-68" sheetId="19" r:id="rId22"/>
    <sheet state="visible" name="22-12-68" sheetId="20" r:id="rId23"/>
    <sheet state="visible" name="23-12-68" sheetId="21" r:id="rId24"/>
    <sheet state="visible" name="24-12-68" sheetId="22" r:id="rId25"/>
    <sheet state="visible" name="25-12-68" sheetId="23" r:id="rId26"/>
    <sheet state="visible" name="26-12-68" sheetId="24" r:id="rId27"/>
    <sheet state="visible" name="27-12-68" sheetId="25" r:id="rId28"/>
    <sheet state="visible" name="28-12-68" sheetId="26" r:id="rId29"/>
    <sheet state="visible" name="29-12-68" sheetId="27" r:id="rId30"/>
    <sheet state="visible" name="30-12-68" sheetId="28" r:id="rId31"/>
  </sheets>
  <definedNames/>
  <calcPr/>
  <extLst>
    <ext uri="GoogleSheetsCustomDataVersion2">
      <go:sheetsCustomData xmlns:go="http://customooxmlschemas.google.com/" r:id="rId32" roundtripDataChecksum="4UdPFhWIVGP/RJqVSccTvFFwtlJJvjIhm2GiLcC9qts="/>
    </ext>
  </extLst>
</workbook>
</file>

<file path=xl/sharedStrings.xml><?xml version="1.0" encoding="utf-8"?>
<sst xmlns="http://schemas.openxmlformats.org/spreadsheetml/2006/main" count="1615" uniqueCount="341">
  <si>
    <t xml:space="preserve">              สรุปยอด บิลออนไลน์  จัดส่ง / นำเข้า DP ดึงตั้งแต่  30 พ.ย.- 1  ธันวาคม  2568     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</si>
  <si>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</si>
  <si>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</si>
  <si>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</si>
  <si>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</si>
  <si>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</si>
  <si>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</si>
  <si>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</si>
  <si>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</si>
  <si>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</si>
  <si>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</si>
  <si>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</si>
  <si>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</si>
  <si>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</si>
  <si>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</si>
  <si>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</si>
  <si>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STHONLIN2511013092</t>
  </si>
  <si>
    <t>นาย สมชาย โสภา</t>
  </si>
  <si>
    <t>BKK</t>
  </si>
  <si>
    <t>18.49น.</t>
  </si>
  <si>
    <t>จัดส่ง กทม.</t>
  </si>
  <si>
    <t>2</t>
  </si>
  <si>
    <t>STHONLIN2511013098</t>
  </si>
  <si>
    <t>นาย สุเมธ จันทร์งาม</t>
  </si>
  <si>
    <t>18.57น.</t>
  </si>
  <si>
    <t>รับเอง กทม.</t>
  </si>
  <si>
    <t>3</t>
  </si>
  <si>
    <t>STHONLIN2511013106</t>
  </si>
  <si>
    <t>นาย พงษ์ศักดิ์ พรเจีย</t>
  </si>
  <si>
    <t>19.24น.</t>
  </si>
  <si>
    <t>4</t>
  </si>
  <si>
    <t>STHONLIN2511013109</t>
  </si>
  <si>
    <t>นางสาว ภิรัณยา โพธิพรรค</t>
  </si>
  <si>
    <t>19.26น.</t>
  </si>
  <si>
    <t>5</t>
  </si>
  <si>
    <t>STHONLIN2511013123</t>
  </si>
  <si>
    <t>นาย คมสันช์  ชาญธนโชค</t>
  </si>
  <si>
    <t>20.57น.</t>
  </si>
  <si>
    <t>6</t>
  </si>
  <si>
    <t>STHONLIN2511013124</t>
  </si>
  <si>
    <t>นาย ดำรงค์ ปฏิสังข์</t>
  </si>
  <si>
    <t>21.11น.</t>
  </si>
  <si>
    <t>7</t>
  </si>
  <si>
    <t>STHONLIN2511013126</t>
  </si>
  <si>
    <t>บริษัท ดีเวย์ ริชคอร์ป จำกัด(สำนักงานใหญ่)</t>
  </si>
  <si>
    <t>21.16น.</t>
  </si>
  <si>
    <t xml:space="preserve">              สรุปยอด บิลออนไลน์  จัดส่ง / นำเข้า DP ดึงตั้งแต่   2  ธันวาคม  2568                                                                                                </t>
  </si>
  <si>
    <t>BKK01</t>
  </si>
  <si>
    <t>10.12น.</t>
  </si>
  <si>
    <t>ไม่มีบิลออนไลน์</t>
  </si>
  <si>
    <t xml:space="preserve">    </t>
  </si>
  <si>
    <t xml:space="preserve">              สรุปยอด บิลออนไลน์  จัดส่ง / นำเข้า DP ดึงตั้งแต่   3  ธันวาคม  2568</t>
  </si>
  <si>
    <t>STHONLIN2512000012</t>
  </si>
  <si>
    <t>นาย สุรวัฒน์ ตั้งพงศ์ศิรประภา</t>
  </si>
  <si>
    <t>13.10 น.</t>
  </si>
  <si>
    <t xml:space="preserve">              สรุปยอด บิลออนไลน์  จัดส่ง / นำเข้า DP ดึงตั้งแต่   4 ธันวาคม  2568</t>
  </si>
  <si>
    <t>STHONLIN2512000034</t>
  </si>
  <si>
    <t>Ms. Miss TIKU MISPA CADI</t>
  </si>
  <si>
    <t>18.13น</t>
  </si>
  <si>
    <t>STHONLIN2512000035</t>
  </si>
  <si>
    <t>Mr. OKOLE LINUS</t>
  </si>
  <si>
    <t>18.30น</t>
  </si>
  <si>
    <t>STHONLIN2512000038</t>
  </si>
  <si>
    <t>นาย อิศรชัย  หล่อแสงสุริยะโชติ</t>
  </si>
  <si>
    <t>19.54น</t>
  </si>
  <si>
    <t>STHONLIN2512000047</t>
  </si>
  <si>
    <t>Mr. Mbutuh Nvenyi Celestine</t>
  </si>
  <si>
    <t>21.21น</t>
  </si>
  <si>
    <t>STHONLIN2512000082</t>
  </si>
  <si>
    <t>บริษัท โคบาราเอฟโวลูชั่น (ประเทศไทย)จำกัด ( สำนักงานใหญ่ )</t>
  </si>
  <si>
    <t>6.12น</t>
  </si>
  <si>
    <t>STHONLIN2512000084</t>
  </si>
  <si>
    <t>นาง ทูนศรี บัวนุช</t>
  </si>
  <si>
    <t>STHONLIN2512000085</t>
  </si>
  <si>
    <t>นางสาว กิ่งแก้ว บุญโยประการ</t>
  </si>
  <si>
    <t>11.56น</t>
  </si>
  <si>
    <t xml:space="preserve">              สรุปยอด บิลออนไลน์  จัดส่ง / นำเข้า DP ดึงตั้งแต่   5  ธันวาคม  2568                                                                                                </t>
  </si>
  <si>
    <t>วันหยุดนักขัตฤกษ์</t>
  </si>
  <si>
    <t xml:space="preserve">              สรุปยอด บิลออนไลน์  จัดส่ง / นำเข้า DP ดึงตั้งแต่   6  ธันวาคม  2568                                                                                                </t>
  </si>
  <si>
    <t>STHONLIN2512000126</t>
  </si>
  <si>
    <t>ห้างหุ้นส่วน ปูแดงพารวย ( สำนักงานใหญ่)</t>
  </si>
  <si>
    <t>STHONLIN2512000127</t>
  </si>
  <si>
    <t>นางสาว ธันยาพร สีแก้ว</t>
  </si>
  <si>
    <t>STHONLIN2512000128</t>
  </si>
  <si>
    <t>นางสาว พรรณิษา เหลีอรักษ์</t>
  </si>
  <si>
    <t>STHONLIN2512000162</t>
  </si>
  <si>
    <t>นางสาว พิมพ์ชญา  สุริยปรีชาพงษ์</t>
  </si>
  <si>
    <t>STHONLIN2512000163</t>
  </si>
  <si>
    <t>นางสาว ประภัสสร  ดีดวงพันธ์</t>
  </si>
  <si>
    <t>STHONLIN2512000164</t>
  </si>
  <si>
    <t>นาง ทัศนา เลื่อมสำราญ</t>
  </si>
  <si>
    <t>STHONLIN2512000166</t>
  </si>
  <si>
    <t>นาย อดิชาติ คุ้มวงศ์</t>
  </si>
  <si>
    <t>8</t>
  </si>
  <si>
    <t>STHONLIN2512000167</t>
  </si>
  <si>
    <t>นาย ธนบูลย์ แสงฐิตาพันธุ์</t>
  </si>
  <si>
    <t>9</t>
  </si>
  <si>
    <t>STHONLIN2512000367</t>
  </si>
  <si>
    <t>นาง ทิฆัมพร  ทองแจ้ง</t>
  </si>
  <si>
    <t>10</t>
  </si>
  <si>
    <t>STHONLIN2512000369</t>
  </si>
  <si>
    <t>ห้างหุ้นส่วน เครือข่ายปิยธนา ( สำนักงานใหญ่ )</t>
  </si>
  <si>
    <t>11</t>
  </si>
  <si>
    <t>STHONLIN2512000372</t>
  </si>
  <si>
    <t>ห้างหุ้นส่วน โกรท โกลเบิล เน็ตเวิร์ก (สำนักงานใหญ่)</t>
  </si>
  <si>
    <t>รับเอง DP</t>
  </si>
  <si>
    <t>12</t>
  </si>
  <si>
    <t>STHONLIN2512000377</t>
  </si>
  <si>
    <t>นาย พีรพงศ์ ภรประเสริฐศรี</t>
  </si>
  <si>
    <t>13</t>
  </si>
  <si>
    <t>STHONLIN2512000379</t>
  </si>
  <si>
    <t>นางสาว ดารดี ญาณกวี</t>
  </si>
  <si>
    <t>14</t>
  </si>
  <si>
    <t>STHONLIN2512000380</t>
  </si>
  <si>
    <t>นางสาว ริญญ์รภัส ศรีศุภณัฐธนากุล</t>
  </si>
  <si>
    <t>15</t>
  </si>
  <si>
    <t>STHONLIN2512000381</t>
  </si>
  <si>
    <t>16</t>
  </si>
  <si>
    <t>STHONLIN2512000393</t>
  </si>
  <si>
    <t>นาย สิปปภาส  โรจนวสุธร</t>
  </si>
  <si>
    <t xml:space="preserve">              สรุปยอด บิลออนไลน์  จัดส่ง / นำเข้า DP ดึงตั้งแต่   7  ธันวาคม  2568                                                                                                </t>
  </si>
  <si>
    <t>STHONLIN2512000524</t>
  </si>
  <si>
    <t>ห้างหุ้นส่วน ขุนศรี โกลเบิล (สำนักงานใหญ่)</t>
  </si>
  <si>
    <t>12.10 น.</t>
  </si>
  <si>
    <t>STHONLIN2512000555</t>
  </si>
  <si>
    <t>นายธารา   อำพันสุข</t>
  </si>
  <si>
    <t>16.09 น.</t>
  </si>
  <si>
    <t>STHONLIN2512000564</t>
  </si>
  <si>
    <t>Mr. Mohamed Sidibe</t>
  </si>
  <si>
    <t>17.00น.</t>
  </si>
  <si>
    <t xml:space="preserve">              สรุปยอด บิลออนไลน์  จัดส่ง / นำเข้า DP ดึงตั้งแต่   8  ธันวาคม  2568                                                                                                </t>
  </si>
  <si>
    <t>STHONLIN2512000650</t>
  </si>
  <si>
    <t>นางสาว มัลลิกา พลรัตน์</t>
  </si>
  <si>
    <t>00.05น</t>
  </si>
  <si>
    <t>STHONLIN2512000702</t>
  </si>
  <si>
    <t>Mrs. Judith Kechoyu Nvenyi</t>
  </si>
  <si>
    <t>STHONLIN2512000704</t>
  </si>
  <si>
    <t>นาย สุวิทย์  รองชูเพ็ง</t>
  </si>
  <si>
    <t>STHONLIN2512000719</t>
  </si>
  <si>
    <t>ธัญญชล แซมหิรัญ</t>
  </si>
  <si>
    <t>STHONLIN2512000743</t>
  </si>
  <si>
    <t>นาง แจ่มใส สุวรรณพรหมา</t>
  </si>
  <si>
    <t xml:space="preserve">              สรุปยอด บิลออนไลน์  จัดส่ง / นำเข้า DP ดึงตั้งแต่   9 ธันวาคม  2568                                                                                                </t>
  </si>
  <si>
    <t>STHONLIN2512000925</t>
  </si>
  <si>
    <t>STHONLIN2512001332</t>
  </si>
  <si>
    <t>นางสาว อรณิกร บุญเกษม</t>
  </si>
  <si>
    <t>STHONLIN2512001337</t>
  </si>
  <si>
    <t>STHONLIN2512001377</t>
  </si>
  <si>
    <t>นาง สุวภัทร ปาละมะ</t>
  </si>
  <si>
    <t>STHONLIN2512001378</t>
  </si>
  <si>
    <t>STHONLIN2512001379</t>
  </si>
  <si>
    <t>STHONLIN2512001413</t>
  </si>
  <si>
    <t>ชนันณ์ชิฎา มามาก</t>
  </si>
  <si>
    <t xml:space="preserve">              สรุปยอด บิลออนไลน์  จัดส่ง / นำเข้า DP ดึงตั้งแต่   12 ธันวาคม  2568                                                                                                </t>
  </si>
  <si>
    <t>STHONLIN2512001726</t>
  </si>
  <si>
    <t>นาย นิพัฒน์ รัตนไชย</t>
  </si>
  <si>
    <t>STHONLIN2512002307</t>
  </si>
  <si>
    <t>STHONLIN2512002351</t>
  </si>
  <si>
    <t>นาย ชำนาญ ตันตวาที</t>
  </si>
  <si>
    <t>STHONLIN2512002668</t>
  </si>
  <si>
    <t>STHONLIN2512002705</t>
  </si>
  <si>
    <t>นาง กัญฐ์ภิญญา จงยันต์ธนกุล</t>
  </si>
  <si>
    <t>STHONLIN2512002706</t>
  </si>
  <si>
    <t>STHONLIN2512002710</t>
  </si>
  <si>
    <t>STHONLIN2512002712</t>
  </si>
  <si>
    <t>STHONLIN2512002910</t>
  </si>
  <si>
    <t>นาย ดิเรก  กรีฑา</t>
  </si>
  <si>
    <t>STHONLIN2512002911</t>
  </si>
  <si>
    <t xml:space="preserve">              สรุปยอด บิลออนไลน์  จัดส่ง / นำเข้า DP ดึงตั้งแต่   13 ธันวาคม  2568                                                                                                </t>
  </si>
  <si>
    <t>STHONLIN2512003038</t>
  </si>
  <si>
    <t>Mr. Mr. EMMANUEL ALONGAMOH FOLEFAC</t>
  </si>
  <si>
    <t>12/13/2025</t>
  </si>
  <si>
    <t>STHONLIN2512003369</t>
  </si>
  <si>
    <t>STHONLIN2512003371</t>
  </si>
  <si>
    <t>STHONLIN2512003372</t>
  </si>
  <si>
    <t>STHONLIN2512003373</t>
  </si>
  <si>
    <t>STHONLIN2512003377</t>
  </si>
  <si>
    <t>STHONLIN2512003406</t>
  </si>
  <si>
    <t>นาย สาธิต คำรังษี</t>
  </si>
  <si>
    <t>STHONLIN2512003478</t>
  </si>
  <si>
    <t>Mr. PAUL EPANG KOME</t>
  </si>
  <si>
    <t xml:space="preserve">              สรุปยอด บิลออนไลน์  จัดส่ง / นำเข้า DP ดึงตั้งแต่   14 ธันวาคม  2568                                                                                                </t>
  </si>
  <si>
    <t>12/14/2025</t>
  </si>
  <si>
    <t>STHONLIN2512003670</t>
  </si>
  <si>
    <t>Naphattra Na songkhla</t>
  </si>
  <si>
    <t>STHONLIN2512003671</t>
  </si>
  <si>
    <t>บริษัท เศรษฐกวี จำกัด ( สำนักงานใหญ่ )</t>
  </si>
  <si>
    <t>STHONLIN2512003672</t>
  </si>
  <si>
    <t>นาย อณัฐภูมิ ศรีศุภณัฐธนากุล</t>
  </si>
  <si>
    <t>STHONLIN2512003701</t>
  </si>
  <si>
    <t>นางสาว ภรณ์ธิดา สมทอง</t>
  </si>
  <si>
    <t xml:space="preserve">              สรุปยอด บิลออนไลน์  จัดส่ง / นำเข้า DP ดึงตั้งแต่   15 ธันวาคม  2568                                                                                                </t>
  </si>
  <si>
    <t>STHONLIN2512003721</t>
  </si>
  <si>
    <t>Ms. Eghomba Ernestine Alih</t>
  </si>
  <si>
    <t>STHONLIN2512003826</t>
  </si>
  <si>
    <t>นางสาว พัชรมณฑ์ พรมทา</t>
  </si>
  <si>
    <t>STHONLIN2512003834</t>
  </si>
  <si>
    <t>นาย จักรพงศ์ สินธุรักษ์</t>
  </si>
  <si>
    <t>STHONLIN2512003835</t>
  </si>
  <si>
    <t>นางสาว สุปรานี เขียวแดง</t>
  </si>
  <si>
    <t>STHONLIN2512003839</t>
  </si>
  <si>
    <t>นางสาว ชลธิชา  ยุ้ยจำเริญทรัพย์</t>
  </si>
  <si>
    <t>STHONLIN2512003843</t>
  </si>
  <si>
    <t>STHONLIN2512003911</t>
  </si>
  <si>
    <t>NB</t>
  </si>
  <si>
    <t>STHONLIN2512003945</t>
  </si>
  <si>
    <t>Mr. Moussa Sacko</t>
  </si>
  <si>
    <t xml:space="preserve">              สรุปยอด บิลออนไลน์  จัดส่ง / นำเข้า DP ดึงตั้งแต่   16 ธันวาคม  2568                                                                                                </t>
  </si>
  <si>
    <t>STHONLIN2512004267</t>
  </si>
  <si>
    <t>นางสาว สายฝน ศรีสุขใส</t>
  </si>
  <si>
    <t>16.22 น.</t>
  </si>
  <si>
    <t xml:space="preserve">              สรุปยอด บิลออนไลน์  จัดส่ง / นำเข้า DP ดึงตั้งแต่   17 ธันวาคม  2568                                                                                                </t>
  </si>
  <si>
    <t>STHONLIN2512004759</t>
  </si>
  <si>
    <t>STHONLIN2512004762</t>
  </si>
  <si>
    <t>STHONLIN2512004768</t>
  </si>
  <si>
    <t>STHONLIN2512004792</t>
  </si>
  <si>
    <t xml:space="preserve">              สรุปยอด บิลออนไลน์  จัดส่ง / นำเข้า DP ดึงตั้งแต่   18 ธันวาคม  2568                                                                                                </t>
  </si>
  <si>
    <t>STHONLIN2512005001</t>
  </si>
  <si>
    <t>14.04น</t>
  </si>
  <si>
    <t xml:space="preserve">              สรุปยอด บิลออนไลน์  จัดส่ง / นำเข้า DP ดึงตั้งแต่   19 ธันวาคม  2568                                                                                                </t>
  </si>
  <si>
    <t>STHONLIN2512005153</t>
  </si>
  <si>
    <t>บริษัท เค24 โกลบอล จำกัด (สำนักงานใหญ่)</t>
  </si>
  <si>
    <t>STHONLIN2512005337</t>
  </si>
  <si>
    <t>STHONLIN2512005342</t>
  </si>
  <si>
    <t>STHONLIN2512005346</t>
  </si>
  <si>
    <t xml:space="preserve">              สรุปยอด บิลออนไลน์  จัดส่ง / นำเข้า DP ดึงตั้งแต่   20 ธันวาคม  2568                                                                                                </t>
  </si>
  <si>
    <t>STHONLIN2512005594</t>
  </si>
  <si>
    <t>STHONLIN2512005601</t>
  </si>
  <si>
    <t>STHONLIN2512005605</t>
  </si>
  <si>
    <t xml:space="preserve">              สรุปยอด บิลออนไลน์  จัดส่ง / นำเข้า DP ดึงตั้งแต่   21 ธันวาคม  2568                                                                                                </t>
  </si>
  <si>
    <t>STHONLIN2512005641</t>
  </si>
  <si>
    <t>นางสาว ชนิกานต์ กลัดงาม</t>
  </si>
  <si>
    <t>STHONLIN2512005685</t>
  </si>
  <si>
    <t>STHONLIN2512005689</t>
  </si>
  <si>
    <t>STHONLIN2512005690</t>
  </si>
  <si>
    <t>บริษัท สยามทวีทิพย์ จำกัด(สำนักงานใหญ่)</t>
  </si>
  <si>
    <t>STHONLIN2512005698</t>
  </si>
  <si>
    <t>STHONLIN2512005700</t>
  </si>
  <si>
    <t>STHONLIN2512005712</t>
  </si>
  <si>
    <t>นาย ปรเมศวร์ ธรรมโชติ</t>
  </si>
  <si>
    <t>STHONLIN2512005714</t>
  </si>
  <si>
    <t>นางสาว ณัฐธยาน์  รอดทอง</t>
  </si>
  <si>
    <t xml:space="preserve">              สรุปยอด บิลออนไลน์  จัดส่ง / นำเข้า DP ดึงตั้งแต่   22 ธันวาคม  2568                                                                                                </t>
  </si>
  <si>
    <t>STHONLIN2512005718</t>
  </si>
  <si>
    <t>นาย อุดม รอดทอง</t>
  </si>
  <si>
    <t>STHONLIN2512005720</t>
  </si>
  <si>
    <t>นาย โกศักดิ์ พันธนาคง</t>
  </si>
  <si>
    <t>STHONLIN2512005722</t>
  </si>
  <si>
    <t>นางสาว จุฑามาศ เนียมน่วม</t>
  </si>
  <si>
    <t>STHONLIN2512005824</t>
  </si>
  <si>
    <t>นาย บุญประเสริฐ สุทธิไตรรงค์</t>
  </si>
  <si>
    <t>STHONLIN2512005846</t>
  </si>
  <si>
    <t>ปริษา ปรัชญาโชติการ</t>
  </si>
  <si>
    <t xml:space="preserve">              สรุปยอด บิลออนไลน์  จัดส่ง / นำเข้า DP ดึงตั้งแต่   23 ธันวาคม  2568                                                                                                </t>
  </si>
  <si>
    <t>STHONLIN2512005918</t>
  </si>
  <si>
    <t>Vilva nathan</t>
  </si>
  <si>
    <t>STHONLIN2512005932</t>
  </si>
  <si>
    <t>นาย ณรงค์ชัย บุญจันทร์</t>
  </si>
  <si>
    <t>STHONLIN2512006060</t>
  </si>
  <si>
    <t>STHONLIN2512006104</t>
  </si>
  <si>
    <t>นางสาว ธนิชชนันท์ สิริภาคยะประภา</t>
  </si>
  <si>
    <t>STHONLIN2512006105</t>
  </si>
  <si>
    <t>นาย อนันต์กฤช เต็มศิริพันธุ์</t>
  </si>
  <si>
    <t xml:space="preserve">              สรุปยอด บิลออนไลน์  จัดส่ง / นำเข้า DP ดึงตั้งแต่   24 ธันวาคม  2568                                                                                                </t>
  </si>
  <si>
    <t>STHONLIN2512006160</t>
  </si>
  <si>
    <t>นาย เดชชาติ ภิญญากมลชาติ</t>
  </si>
  <si>
    <t>STHONLIN2512006222</t>
  </si>
  <si>
    <t>Loveline Bih</t>
  </si>
  <si>
    <t>STHONLIN2512006362</t>
  </si>
  <si>
    <t>บุญชัย สุทธิไตรรงค์</t>
  </si>
  <si>
    <t>STHONLIN2512006363</t>
  </si>
  <si>
    <t>จัดส่ง DP</t>
  </si>
  <si>
    <t xml:space="preserve">              สรุปยอด บิลออนไลน์  จัดส่ง / นำเข้า DP ดึงตั้งแต่   25 ธันวาคม  2568                                                                                                </t>
  </si>
  <si>
    <t>STHONLIN2512006517</t>
  </si>
  <si>
    <t>David Abeyam</t>
  </si>
  <si>
    <t>STHONLIN2512006519</t>
  </si>
  <si>
    <t>Ntoh Priscilla</t>
  </si>
  <si>
    <t>STHONLIN2512006524</t>
  </si>
  <si>
    <t>Mosoke Peter fele</t>
  </si>
  <si>
    <t>STHONLIN2512006526</t>
  </si>
  <si>
    <t>Fonji Stella Aken</t>
  </si>
  <si>
    <t>STHONLIN2512006528</t>
  </si>
  <si>
    <t>Lucas Ngeson Fotso</t>
  </si>
  <si>
    <t>STHONLIN2512006530</t>
  </si>
  <si>
    <t>SHALOM MUKISOH MANJOH</t>
  </si>
  <si>
    <t>STHONLIN2512006534</t>
  </si>
  <si>
    <t>Mayok Ferdinand</t>
  </si>
  <si>
    <t>STHONLIN2512006538</t>
  </si>
  <si>
    <t>Ernest Boja</t>
  </si>
  <si>
    <t>STHONLIN2512006626</t>
  </si>
  <si>
    <t>จันทร์เพ็ญ วิลัยกุล</t>
  </si>
  <si>
    <t>STHONLIN2512006627</t>
  </si>
  <si>
    <t>นาย ธนกร อภัยพงศ์</t>
  </si>
  <si>
    <t>STHONLIN2512006629</t>
  </si>
  <si>
    <t>STHONLIN2512006634</t>
  </si>
  <si>
    <t>นางสาว ธนพรรษ​ ยี่ภู</t>
  </si>
  <si>
    <t xml:space="preserve">              สรุปยอด บิลออนไลน์  จัดส่ง / นำเข้า DP ดึงตั้งแต่   26 ธันวาคม  2568                                                                                                </t>
  </si>
  <si>
    <t>STHONLIN2512006667</t>
  </si>
  <si>
    <t>STHONLIN2512006670</t>
  </si>
  <si>
    <t>ห้างหุ้นส่วน ไดม่อนอันดามัน เน็ตเวิร์ค  (สำนักงานใหญ่)</t>
  </si>
  <si>
    <t>STHONLIN2512006674</t>
  </si>
  <si>
    <t>Tamina Cyprain Fongal</t>
  </si>
  <si>
    <t>STHONLIN2512006787</t>
  </si>
  <si>
    <t xml:space="preserve">              สรุปยอด บิลออนไลน์  จัดส่ง / นำเข้า DP ดึงตั้งแต่   27 ธันวาคม  2568                                                                                                </t>
  </si>
  <si>
    <t>STHONLIN2512006987</t>
  </si>
  <si>
    <t>STHONLIN2512006988</t>
  </si>
  <si>
    <t>STHONLIN2512006990</t>
  </si>
  <si>
    <t>Jerry Santocildes</t>
  </si>
  <si>
    <t>STHONLIN2512006991</t>
  </si>
  <si>
    <t>STHONLIN2512006994</t>
  </si>
  <si>
    <t>STHONLIN2512006995</t>
  </si>
  <si>
    <t>Ngwa Abanda</t>
  </si>
  <si>
    <t>STHONLIN2512007007</t>
  </si>
  <si>
    <t xml:space="preserve">              สรุปยอด บิลออนไลน์  จัดส่ง / นำเข้า DP ดึงตั้งแต่   28 ธันวาคม  2568                                                                                                </t>
  </si>
  <si>
    <t>STHONLIN2512007183</t>
  </si>
  <si>
    <t>STHONLIN2512007185</t>
  </si>
  <si>
    <t>STHONLIN2512007192</t>
  </si>
  <si>
    <t xml:space="preserve">              สรุปยอด บิลออนไลน์  จัดส่ง / นำเข้า DP ดึงตั้งแต่   29 ธันวาคม  2568                                                                                                </t>
  </si>
  <si>
    <t>STHONLIN2512007229</t>
  </si>
  <si>
    <t>นาย กัมปนาท รุ่งโรจน์</t>
  </si>
  <si>
    <t>STHONLIN2512007307</t>
  </si>
  <si>
    <t>STHONLIN2512007315</t>
  </si>
  <si>
    <t>STHONLIN2512007318</t>
  </si>
  <si>
    <t>STHONLIN2512007334</t>
  </si>
  <si>
    <t>STHONLIN2512007374</t>
  </si>
  <si>
    <t>STHONLIN2512007376</t>
  </si>
  <si>
    <t>STHONLIN2512007392</t>
  </si>
  <si>
    <t xml:space="preserve">              สรุปยอด บิลออนไลน์  จัดส่ง / นำเข้า DP ดึงตั้งแต่   30 ธันวาคม  2568                                                                                                </t>
  </si>
  <si>
    <t>STHONLIN2512007422</t>
  </si>
  <si>
    <t>Mr. ABIOYE EDALERE</t>
  </si>
  <si>
    <t>STHONLIN2512007442</t>
  </si>
  <si>
    <t>นางสาว รวินท์รัตน์ เหลืองอ่อน</t>
  </si>
  <si>
    <t>STHONLIN2512007445</t>
  </si>
  <si>
    <t>STHONLIN2512007828</t>
  </si>
  <si>
    <t>STHONLIN2512007830</t>
  </si>
  <si>
    <t>นาย โสภณ ซิ้มประเสริฐ</t>
  </si>
  <si>
    <t>STHONLIN2512007871</t>
  </si>
  <si>
    <t>นางสาว เบ็ญจมาศ พรรณารุโณทัย</t>
  </si>
  <si>
    <t>STHONLIN2512007913</t>
  </si>
  <si>
    <t>นางสาว ภูว์ศรีลักษณ์ โพธิ์ศรีรัตนบุศย์</t>
  </si>
  <si>
    <t>STHONLIN2512007917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</si>
</sst>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yyyy-mm-dd"/>
  </numFmts>
  <fonts count="47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5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sz val="18.0"/>
      <color theme="1"/>
      <name val="Arial"/>
    </font>
    <font>
      <b/>
      <sz val="18.0"/>
      <color theme="1"/>
      <name val="Arial"/>
    </font>
    <font>
      <sz val="23.0"/>
      <color theme="1"/>
      <name val="Arial"/>
    </font>
    <font>
      <sz val="24.0"/>
      <color rgb="FFFF0000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3.0"/>
      <color theme="1"/>
      <name val="Arial"/>
    </font>
    <font>
      <b/>
      <sz val="29.0"/>
      <color rgb="FFFF0000"/>
      <name val="Arial"/>
    </font>
    <font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0.0"/>
      <color theme="1"/>
      <name val="Arial"/>
    </font>
    <font>
      <sz val="18.0"/>
      <color rgb="FFFF0000"/>
      <name val="Arial"/>
    </font>
    <font>
      <sz val="26.0"/>
      <color rgb="FF000000"/>
      <name val="Arial"/>
    </font>
    <font>
      <b/>
      <sz val="26.0"/>
      <color rgb="FF000000"/>
      <name val="Arial"/>
    </font>
    <font>
      <b/>
      <sz val="20.0"/>
      <color theme="1"/>
      <name val="Aptos Narrow"/>
    </font>
    <font>
      <b/>
      <sz val="20.0"/>
      <color theme="1"/>
      <name val="Arial"/>
    </font>
    <font>
      <color theme="1"/>
      <name val="Arial"/>
    </font>
    <font>
      <sz val="21.0"/>
      <color rgb="FFFF0000"/>
      <name val="Arial"/>
    </font>
    <font>
      <sz val="22.0"/>
      <color rgb="FFFF0000"/>
      <name val="Arial"/>
    </font>
    <font>
      <b/>
      <sz val="24.0"/>
      <color theme="1"/>
      <name val="Arial"/>
    </font>
    <font>
      <b/>
      <sz val="24.0"/>
      <color theme="1"/>
      <name val="Aptos Narrow"/>
    </font>
    <font>
      <sz val="27.0"/>
      <color theme="1"/>
      <name val="Arial"/>
    </font>
    <font>
      <b/>
      <sz val="27.0"/>
      <color theme="1"/>
      <name val="Arial"/>
    </font>
    <font>
      <sz val="27.0"/>
      <color rgb="FFFF0000"/>
      <name val="Arial"/>
    </font>
    <font>
      <b/>
      <sz val="22.0"/>
      <color theme="1"/>
      <name val="Arial"/>
    </font>
    <font>
      <b/>
      <sz val="27.0"/>
      <color rgb="FFFF0000"/>
      <name val="Arial"/>
    </font>
    <font>
      <sz val="17.0"/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shrinkToFit="0" vertical="center" wrapText="0"/>
    </xf>
    <xf borderId="11" fillId="4" fontId="7" numFmtId="164" xfId="0" applyAlignment="1" applyBorder="1" applyFont="1" applyNumberForma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readingOrder="0"/>
    </xf>
    <xf borderId="11" fillId="4" fontId="10" numFmtId="38" xfId="0" applyAlignment="1" applyBorder="1" applyFont="1" applyNumberFormat="1">
      <alignment horizontal="center" readingOrder="0"/>
    </xf>
    <xf borderId="12" fillId="4" fontId="11" numFmtId="38" xfId="0" applyAlignment="1" applyBorder="1" applyFont="1" applyNumberFormat="1">
      <alignment horizontal="right" vertical="bottom"/>
    </xf>
    <xf borderId="11" fillId="4" fontId="7" numFmtId="38" xfId="0" applyBorder="1" applyFont="1" applyNumberFormat="1"/>
    <xf borderId="11" fillId="4" fontId="12" numFmtId="0" xfId="0" applyBorder="1" applyFont="1"/>
    <xf borderId="11" fillId="4" fontId="12" numFmtId="3" xfId="0" applyBorder="1" applyFont="1" applyNumberFormat="1"/>
    <xf borderId="11" fillId="4" fontId="12" numFmtId="0" xfId="0" applyAlignment="1" applyBorder="1" applyFont="1">
      <alignment horizontal="center" readingOrder="0"/>
    </xf>
    <xf borderId="11" fillId="4" fontId="13" numFmtId="0" xfId="0" applyAlignment="1" applyBorder="1" applyFont="1">
      <alignment horizontal="center" readingOrder="0" vertical="center"/>
    </xf>
    <xf borderId="11" fillId="4" fontId="12" numFmtId="0" xfId="0" applyAlignment="1" applyBorder="1" applyFont="1">
      <alignment horizontal="center" readingOrder="0" vertical="center"/>
    </xf>
    <xf borderId="0" fillId="0" fontId="14" numFmtId="0" xfId="0" applyFont="1"/>
    <xf borderId="11" fillId="5" fontId="15" numFmtId="49" xfId="0" applyAlignment="1" applyBorder="1" applyFill="1" applyFont="1" applyNumberFormat="1">
      <alignment horizontal="center" shrinkToFit="0" vertical="center" wrapText="0"/>
    </xf>
    <xf borderId="11" fillId="5" fontId="7" numFmtId="164" xfId="0" applyAlignment="1" applyBorder="1" applyFont="1" applyNumberForma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readingOrder="0"/>
    </xf>
    <xf borderId="11" fillId="5" fontId="16" numFmtId="38" xfId="0" applyAlignment="1" applyBorder="1" applyFont="1" applyNumberFormat="1">
      <alignment horizontal="center" readingOrder="0"/>
    </xf>
    <xf borderId="12" fillId="5" fontId="17" numFmtId="38" xfId="0" applyAlignment="1" applyBorder="1" applyFont="1" applyNumberFormat="1">
      <alignment horizontal="right" vertical="bottom"/>
    </xf>
    <xf borderId="11" fillId="5" fontId="18" numFmtId="38" xfId="0" applyBorder="1" applyFont="1" applyNumberFormat="1"/>
    <xf borderId="11" fillId="5" fontId="18" numFmtId="0" xfId="0" applyBorder="1" applyFont="1"/>
    <xf borderId="11" fillId="5" fontId="18" numFmtId="3" xfId="0" applyAlignment="1" applyBorder="1" applyFont="1" applyNumberFormat="1">
      <alignment horizontal="center"/>
    </xf>
    <xf borderId="11" fillId="5" fontId="18" numFmtId="0" xfId="0" applyAlignment="1" applyBorder="1" applyFont="1">
      <alignment horizontal="center" readingOrder="0"/>
    </xf>
    <xf borderId="11" fillId="5" fontId="19" numFmtId="0" xfId="0" applyAlignment="1" applyBorder="1" applyFont="1">
      <alignment horizontal="center" readingOrder="0" vertical="center"/>
    </xf>
    <xf borderId="11" fillId="5" fontId="10" numFmtId="0" xfId="0" applyAlignment="1" applyBorder="1" applyFont="1">
      <alignment horizontal="center" readingOrder="0"/>
    </xf>
    <xf borderId="11" fillId="5" fontId="15" numFmtId="49" xfId="0" applyAlignment="1" applyBorder="1" applyFont="1" applyNumberFormat="1">
      <alignment horizontal="center" readingOrder="0" shrinkToFit="0" vertical="center" wrapText="0"/>
    </xf>
    <xf borderId="12" fillId="4" fontId="8" numFmtId="164" xfId="0" applyAlignment="1" applyBorder="1" applyFont="1" applyNumberFormat="1">
      <alignment horizontal="center" readingOrder="0" vertical="bottom"/>
    </xf>
    <xf borderId="12" fillId="4" fontId="16" numFmtId="4" xfId="0" applyAlignment="1" applyBorder="1" applyFont="1" applyNumberFormat="1">
      <alignment readingOrder="0" vertical="bottom"/>
    </xf>
    <xf borderId="12" fillId="4" fontId="16" numFmtId="1" xfId="0" applyAlignment="1" applyBorder="1" applyFont="1" applyNumberFormat="1">
      <alignment horizontal="center" readingOrder="0" vertical="bottom"/>
    </xf>
    <xf borderId="12" fillId="4" fontId="9" numFmtId="0" xfId="0" applyAlignment="1" applyBorder="1" applyFont="1">
      <alignment readingOrder="0" vertical="bottom"/>
    </xf>
    <xf borderId="12" fillId="4" fontId="9" numFmtId="38" xfId="0" applyAlignment="1" applyBorder="1" applyFont="1" applyNumberFormat="1">
      <alignment horizontal="right" readingOrder="0" vertical="bottom"/>
    </xf>
    <xf borderId="12" fillId="4" fontId="17" numFmtId="38" xfId="0" applyAlignment="1" applyBorder="1" applyFont="1" applyNumberFormat="1">
      <alignment horizontal="right" vertical="bottom"/>
    </xf>
    <xf borderId="11" fillId="4" fontId="20" numFmtId="38" xfId="0" applyAlignment="1" applyBorder="1" applyFont="1" applyNumberFormat="1">
      <alignment vertical="bottom"/>
    </xf>
    <xf borderId="11" fillId="4" fontId="21" numFmtId="0" xfId="0" applyAlignment="1" applyBorder="1" applyFont="1">
      <alignment horizontal="center" shrinkToFit="0" vertical="center" wrapText="1"/>
    </xf>
    <xf borderId="11" fillId="4" fontId="18" numFmtId="3" xfId="0" applyAlignment="1" applyBorder="1" applyFont="1" applyNumberFormat="1">
      <alignment horizontal="center" shrinkToFit="0" vertical="center" wrapText="1"/>
    </xf>
    <xf borderId="11" fillId="4" fontId="22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readingOrder="0"/>
    </xf>
    <xf borderId="12" fillId="4" fontId="8" numFmtId="0" xfId="0" applyAlignment="1" applyBorder="1" applyFont="1">
      <alignment horizontal="center" vertical="bottom"/>
    </xf>
    <xf borderId="12" fillId="4" fontId="16" numFmtId="4" xfId="0" applyAlignment="1" applyBorder="1" applyFont="1" applyNumberFormat="1">
      <alignment vertical="bottom"/>
    </xf>
    <xf borderId="12" fillId="4" fontId="16" numFmtId="1" xfId="0" applyAlignment="1" applyBorder="1" applyFont="1" applyNumberFormat="1">
      <alignment horizontal="center" vertical="bottom"/>
    </xf>
    <xf borderId="12" fillId="4" fontId="16" numFmtId="0" xfId="0" applyAlignment="1" applyBorder="1" applyFont="1">
      <alignment vertical="bottom"/>
    </xf>
    <xf borderId="12" fillId="4" fontId="20" numFmtId="38" xfId="0" applyAlignment="1" applyBorder="1" applyFont="1" applyNumberFormat="1">
      <alignment horizontal="right" vertical="bottom"/>
    </xf>
    <xf borderId="11" fillId="4" fontId="23" numFmtId="3" xfId="0" applyAlignment="1" applyBorder="1" applyFont="1" applyNumberFormat="1">
      <alignment horizontal="center" shrinkToFit="0" vertical="center" wrapText="1"/>
    </xf>
    <xf borderId="11" fillId="5" fontId="18" numFmtId="0" xfId="0" applyAlignment="1" applyBorder="1" applyFont="1">
      <alignment horizontal="center"/>
    </xf>
    <xf borderId="11" fillId="4" fontId="24" numFmtId="0" xfId="0" applyAlignment="1" applyBorder="1" applyFont="1">
      <alignment horizontal="center" vertical="center"/>
    </xf>
    <xf borderId="11" fillId="0" fontId="25" numFmtId="0" xfId="0" applyAlignment="1" applyBorder="1" applyFont="1">
      <alignment horizontal="center"/>
    </xf>
    <xf borderId="11" fillId="4" fontId="20" numFmtId="38" xfId="0" applyAlignment="1" applyBorder="1" applyFont="1" applyNumberFormat="1">
      <alignment horizontal="right" vertical="bottom"/>
    </xf>
    <xf borderId="1" fillId="6" fontId="26" numFmtId="0" xfId="0" applyAlignment="1" applyBorder="1" applyFill="1" applyFont="1">
      <alignment horizontal="center"/>
    </xf>
    <xf borderId="13" fillId="6" fontId="27" numFmtId="3" xfId="0" applyAlignment="1" applyBorder="1" applyFont="1" applyNumberFormat="1">
      <alignment horizontal="center"/>
    </xf>
    <xf borderId="11" fillId="6" fontId="28" numFmtId="3" xfId="0" applyAlignment="1" applyBorder="1" applyFont="1" applyNumberFormat="1">
      <alignment horizontal="center"/>
    </xf>
    <xf borderId="11" fillId="6" fontId="29" numFmtId="3" xfId="0" applyAlignment="1" applyBorder="1" applyFont="1" applyNumberFormat="1">
      <alignment horizontal="right"/>
    </xf>
    <xf borderId="1" fillId="7" fontId="27" numFmtId="3" xfId="0" applyAlignment="1" applyBorder="1" applyFill="1" applyFont="1" applyNumberFormat="1">
      <alignment horizontal="center" vertical="top"/>
    </xf>
    <xf borderId="11" fillId="5" fontId="6" numFmtId="49" xfId="0" applyAlignment="1" applyBorder="1" applyFont="1" applyNumberFormat="1">
      <alignment horizontal="center" shrinkToFit="0" vertical="center" wrapText="0"/>
    </xf>
    <xf borderId="11" fillId="5" fontId="18" numFmtId="165" xfId="0" applyAlignment="1" applyBorder="1" applyFont="1" applyNumberFormat="1">
      <alignment horizontal="right"/>
    </xf>
    <xf borderId="11" fillId="5" fontId="30" numFmtId="4" xfId="0" applyBorder="1" applyFont="1" applyNumberFormat="1"/>
    <xf borderId="11" fillId="5" fontId="12" numFmtId="1" xfId="0" applyAlignment="1" applyBorder="1" applyFont="1" applyNumberFormat="1">
      <alignment horizontal="center"/>
    </xf>
    <xf borderId="11" fillId="5" fontId="12" numFmtId="0" xfId="0" applyBorder="1" applyFont="1"/>
    <xf borderId="11" fillId="5" fontId="12" numFmtId="38" xfId="0" applyAlignment="1" applyBorder="1" applyFont="1" applyNumberFormat="1">
      <alignment horizontal="center"/>
    </xf>
    <xf borderId="12" fillId="5" fontId="11" numFmtId="38" xfId="0" applyAlignment="1" applyBorder="1" applyFont="1" applyNumberFormat="1">
      <alignment horizontal="right" vertical="bottom"/>
    </xf>
    <xf borderId="11" fillId="5" fontId="12" numFmtId="38" xfId="0" applyBorder="1" applyFont="1" applyNumberFormat="1"/>
    <xf borderId="11" fillId="5" fontId="12" numFmtId="3" xfId="0" applyBorder="1" applyFont="1" applyNumberFormat="1"/>
    <xf borderId="11" fillId="5" fontId="12" numFmtId="0" xfId="0" applyAlignment="1" applyBorder="1" applyFont="1">
      <alignment horizontal="center"/>
    </xf>
    <xf borderId="11" fillId="5" fontId="13" numFmtId="0" xfId="0" applyAlignment="1" applyBorder="1" applyFont="1">
      <alignment horizontal="center" vertical="center"/>
    </xf>
    <xf borderId="11" fillId="5" fontId="16" numFmtId="165" xfId="0" applyAlignment="1" applyBorder="1" applyFont="1" applyNumberFormat="1">
      <alignment horizontal="right"/>
    </xf>
    <xf borderId="11" fillId="5" fontId="16" numFmtId="4" xfId="0" applyBorder="1" applyFont="1" applyNumberFormat="1"/>
    <xf borderId="11" fillId="5" fontId="16" numFmtId="1" xfId="0" applyAlignment="1" applyBorder="1" applyFont="1" applyNumberFormat="1">
      <alignment horizontal="center"/>
    </xf>
    <xf borderId="11" fillId="5" fontId="31" numFmtId="0" xfId="0" applyAlignment="1" applyBorder="1" applyFont="1">
      <alignment horizontal="center" readingOrder="0" vertical="center"/>
    </xf>
    <xf borderId="11" fillId="5" fontId="16" numFmtId="38" xfId="0" applyAlignment="1" applyBorder="1" applyFont="1" applyNumberFormat="1">
      <alignment horizontal="center"/>
    </xf>
    <xf borderId="11" fillId="5" fontId="16" numFmtId="0" xfId="0" applyAlignment="1" applyBorder="1" applyFont="1">
      <alignment horizontal="center"/>
    </xf>
    <xf borderId="11" fillId="5" fontId="31" numFmtId="0" xfId="0" applyAlignment="1" applyBorder="1" applyFont="1">
      <alignment horizontal="center" vertical="center"/>
    </xf>
    <xf borderId="11" fillId="5" fontId="16" numFmtId="0" xfId="0" applyBorder="1" applyFont="1"/>
    <xf borderId="11" fillId="0" fontId="16" numFmtId="165" xfId="0" applyAlignment="1" applyBorder="1" applyFont="1" applyNumberFormat="1">
      <alignment horizontal="right"/>
    </xf>
    <xf borderId="11" fillId="0" fontId="16" numFmtId="4" xfId="0" applyBorder="1" applyFont="1" applyNumberFormat="1"/>
    <xf borderId="11" fillId="0" fontId="16" numFmtId="1" xfId="0" applyAlignment="1" applyBorder="1" applyFont="1" applyNumberFormat="1">
      <alignment horizontal="center"/>
    </xf>
    <xf borderId="11" fillId="0" fontId="16" numFmtId="0" xfId="0" applyBorder="1" applyFont="1"/>
    <xf borderId="11" fillId="4" fontId="16" numFmtId="3" xfId="0" applyAlignment="1" applyBorder="1" applyFont="1" applyNumberFormat="1">
      <alignment horizontal="center"/>
    </xf>
    <xf borderId="11" fillId="4" fontId="18" numFmtId="3" xfId="0" applyAlignment="1" applyBorder="1" applyFont="1" applyNumberFormat="1">
      <alignment horizontal="center"/>
    </xf>
    <xf borderId="11" fillId="0" fontId="31" numFmtId="0" xfId="0" applyAlignment="1" applyBorder="1" applyFont="1">
      <alignment horizontal="center" vertical="center"/>
    </xf>
    <xf borderId="12" fillId="4" fontId="8" numFmtId="164" xfId="0" applyAlignment="1" applyBorder="1" applyFont="1" applyNumberFormat="1">
      <alignment horizontal="center" vertical="bottom"/>
    </xf>
    <xf borderId="9" fillId="4" fontId="32" numFmtId="0" xfId="0" applyAlignment="1" applyBorder="1" applyFont="1">
      <alignment horizontal="center" vertical="center"/>
    </xf>
    <xf borderId="11" fillId="4" fontId="22" numFmtId="0" xfId="0" applyAlignment="1" applyBorder="1" applyFont="1">
      <alignment horizontal="center" vertical="center"/>
    </xf>
    <xf borderId="9" fillId="4" fontId="33" numFmtId="0" xfId="0" applyAlignment="1" applyBorder="1" applyFont="1">
      <alignment horizontal="center" vertical="center"/>
    </xf>
    <xf borderId="14" fillId="3" fontId="34" numFmtId="0" xfId="0" applyAlignment="1" applyBorder="1" applyFont="1">
      <alignment horizontal="center"/>
    </xf>
    <xf borderId="9" fillId="3" fontId="35" numFmtId="0" xfId="0" applyAlignment="1" applyBorder="1" applyFont="1">
      <alignment horizontal="center"/>
    </xf>
    <xf borderId="1" fillId="3" fontId="35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11" fillId="0" fontId="16" numFmtId="165" xfId="0" applyAlignment="1" applyBorder="1" applyFont="1" applyNumberFormat="1">
      <alignment horizontal="right" readingOrder="0"/>
    </xf>
    <xf borderId="11" fillId="0" fontId="8" numFmtId="4" xfId="0" applyAlignment="1" applyBorder="1" applyFont="1" applyNumberFormat="1">
      <alignment readingOrder="0"/>
    </xf>
    <xf borderId="11" fillId="0" fontId="30" numFmtId="1" xfId="0" applyAlignment="1" applyBorder="1" applyFont="1" applyNumberFormat="1">
      <alignment horizontal="center" readingOrder="0"/>
    </xf>
    <xf borderId="11" fillId="0" fontId="30" numFmtId="0" xfId="0" applyAlignment="1" applyBorder="1" applyFont="1">
      <alignment readingOrder="0"/>
    </xf>
    <xf borderId="11" fillId="5" fontId="30" numFmtId="38" xfId="0" applyAlignment="1" applyBorder="1" applyFont="1" applyNumberFormat="1">
      <alignment readingOrder="0"/>
    </xf>
    <xf borderId="11" fillId="5" fontId="36" numFmtId="0" xfId="0" applyBorder="1" applyFont="1"/>
    <xf borderId="11" fillId="5" fontId="30" numFmtId="3" xfId="0" applyAlignment="1" applyBorder="1" applyFont="1" applyNumberFormat="1">
      <alignment horizontal="center" readingOrder="0"/>
    </xf>
    <xf borderId="11" fillId="0" fontId="16" numFmtId="0" xfId="0" applyAlignment="1" applyBorder="1" applyFont="1">
      <alignment horizontal="center" readingOrder="0"/>
    </xf>
    <xf borderId="11" fillId="0" fontId="37" numFmtId="0" xfId="0" applyAlignment="1" applyBorder="1" applyFont="1">
      <alignment horizontal="center" readingOrder="0"/>
    </xf>
    <xf borderId="11" fillId="0" fontId="8" numFmtId="4" xfId="0" applyBorder="1" applyFont="1" applyNumberFormat="1"/>
    <xf borderId="11" fillId="0" fontId="30" numFmtId="1" xfId="0" applyAlignment="1" applyBorder="1" applyFont="1" applyNumberFormat="1">
      <alignment horizontal="center"/>
    </xf>
    <xf borderId="11" fillId="0" fontId="30" numFmtId="0" xfId="0" applyBorder="1" applyFont="1"/>
    <xf borderId="11" fillId="5" fontId="30" numFmtId="38" xfId="0" applyBorder="1" applyFont="1" applyNumberFormat="1"/>
    <xf borderId="11" fillId="0" fontId="16" numFmtId="0" xfId="0" applyAlignment="1" applyBorder="1" applyFont="1">
      <alignment horizontal="center"/>
    </xf>
    <xf borderId="11" fillId="0" fontId="37" numFmtId="0" xfId="0" applyAlignment="1" applyBorder="1" applyFont="1">
      <alignment horizontal="center"/>
    </xf>
    <xf borderId="11" fillId="4" fontId="15" numFmtId="49" xfId="0" applyAlignment="1" applyBorder="1" applyFont="1" applyNumberFormat="1">
      <alignment horizontal="center" shrinkToFit="0" vertical="center" wrapText="0"/>
    </xf>
    <xf borderId="11" fillId="4" fontId="16" numFmtId="164" xfId="0" applyAlignment="1" applyBorder="1" applyFont="1" applyNumberFormat="1">
      <alignment horizontal="right" readingOrder="0"/>
    </xf>
    <xf borderId="11" fillId="4" fontId="16" numFmtId="4" xfId="0" applyAlignment="1" applyBorder="1" applyFont="1" applyNumberFormat="1">
      <alignment readingOrder="0"/>
    </xf>
    <xf borderId="11" fillId="4" fontId="16" numFmtId="1" xfId="0" applyAlignment="1" applyBorder="1" applyFont="1" applyNumberFormat="1">
      <alignment horizontal="center" readingOrder="0"/>
    </xf>
    <xf borderId="11" fillId="4" fontId="16" numFmtId="0" xfId="0" applyAlignment="1" applyBorder="1" applyFont="1">
      <alignment readingOrder="0"/>
    </xf>
    <xf borderId="11" fillId="4" fontId="16" numFmtId="38" xfId="0" applyAlignment="1" applyBorder="1" applyFont="1" applyNumberFormat="1">
      <alignment horizontal="center"/>
    </xf>
    <xf borderId="11" fillId="4" fontId="30" numFmtId="3" xfId="0" applyAlignment="1" applyBorder="1" applyFont="1" applyNumberFormat="1">
      <alignment horizontal="center" readingOrder="0"/>
    </xf>
    <xf borderId="11" fillId="4" fontId="36" numFmtId="0" xfId="0" applyBorder="1" applyFont="1"/>
    <xf borderId="11" fillId="4" fontId="16" numFmtId="0" xfId="0" applyAlignment="1" applyBorder="1" applyFont="1">
      <alignment horizontal="center"/>
    </xf>
    <xf borderId="11" fillId="4" fontId="31" numFmtId="0" xfId="0" applyAlignment="1" applyBorder="1" applyFont="1">
      <alignment horizontal="center" readingOrder="0" vertical="center"/>
    </xf>
    <xf borderId="11" fillId="4" fontId="16" numFmtId="0" xfId="0" applyBorder="1" applyFont="1"/>
    <xf borderId="11" fillId="4" fontId="16" numFmtId="165" xfId="0" applyAlignment="1" applyBorder="1" applyFont="1" applyNumberFormat="1">
      <alignment horizontal="right" readingOrder="0"/>
    </xf>
    <xf borderId="11" fillId="4" fontId="16" numFmtId="3" xfId="0" applyAlignment="1" applyBorder="1" applyFont="1" applyNumberFormat="1">
      <alignment horizontal="center" readingOrder="0"/>
    </xf>
    <xf borderId="11" fillId="0" fontId="16" numFmtId="4" xfId="0" applyAlignment="1" applyBorder="1" applyFont="1" applyNumberFormat="1">
      <alignment readingOrder="0"/>
    </xf>
    <xf borderId="11" fillId="0" fontId="16" numFmtId="1" xfId="0" applyAlignment="1" applyBorder="1" applyFont="1" applyNumberFormat="1">
      <alignment horizontal="center" readingOrder="0"/>
    </xf>
    <xf borderId="11" fillId="0" fontId="16" numFmtId="0" xfId="0" applyAlignment="1" applyBorder="1" applyFont="1">
      <alignment readingOrder="0"/>
    </xf>
    <xf borderId="11" fillId="0" fontId="31" numFmtId="0" xfId="0" applyAlignment="1" applyBorder="1" applyFont="1">
      <alignment horizontal="center" readingOrder="0" vertical="center"/>
    </xf>
    <xf borderId="11" fillId="5" fontId="8" numFmtId="38" xfId="0" applyBorder="1" applyFont="1" applyNumberFormat="1"/>
    <xf borderId="11" fillId="5" fontId="36" numFmtId="38" xfId="0" applyBorder="1" applyFont="1" applyNumberFormat="1"/>
    <xf borderId="11" fillId="5" fontId="25" numFmtId="3" xfId="0" applyAlignment="1" applyBorder="1" applyFont="1" applyNumberFormat="1">
      <alignment horizontal="center" vertical="center"/>
    </xf>
    <xf borderId="12" fillId="4" fontId="16" numFmtId="0" xfId="0" applyAlignment="1" applyBorder="1" applyFont="1">
      <alignment horizontal="left" readingOrder="0" vertical="center"/>
    </xf>
    <xf borderId="12" fillId="4" fontId="7" numFmtId="38" xfId="0" applyAlignment="1" applyBorder="1" applyFont="1" applyNumberFormat="1">
      <alignment vertical="bottom"/>
    </xf>
    <xf borderId="11" fillId="4" fontId="18" numFmtId="3" xfId="0" applyAlignment="1" applyBorder="1" applyFont="1" applyNumberFormat="1">
      <alignment horizontal="center" readingOrder="0" shrinkToFit="0" vertical="center" wrapText="1"/>
    </xf>
    <xf borderId="12" fillId="4" fontId="16" numFmtId="0" xfId="0" applyAlignment="1" applyBorder="1" applyFont="1">
      <alignment readingOrder="0" vertical="bottom"/>
    </xf>
    <xf borderId="11" fillId="4" fontId="8" numFmtId="38" xfId="0" applyAlignment="1" applyBorder="1" applyFont="1" applyNumberFormat="1">
      <alignment horizontal="right" readingOrder="0" vertical="bottom"/>
    </xf>
    <xf borderId="11" fillId="5" fontId="7" numFmtId="165" xfId="0" applyAlignment="1" applyBorder="1" applyFont="1" applyNumberFormat="1">
      <alignment horizontal="right"/>
    </xf>
    <xf borderId="11" fillId="5" fontId="8" numFmtId="4" xfId="0" applyBorder="1" applyFont="1" applyNumberFormat="1"/>
    <xf borderId="11" fillId="5" fontId="7" numFmtId="1" xfId="0" applyAlignment="1" applyBorder="1" applyFont="1" applyNumberFormat="1">
      <alignment horizontal="center"/>
    </xf>
    <xf borderId="11" fillId="5" fontId="7" numFmtId="0" xfId="0" applyBorder="1" applyFont="1"/>
    <xf borderId="11" fillId="5" fontId="7" numFmtId="38" xfId="0" applyBorder="1" applyFont="1" applyNumberFormat="1"/>
    <xf borderId="11" fillId="5" fontId="12" numFmtId="0" xfId="0" applyAlignment="1" applyBorder="1" applyFont="1">
      <alignment horizontal="center" vertical="center"/>
    </xf>
    <xf borderId="11" fillId="5" fontId="38" numFmtId="0" xfId="0" applyAlignment="1" applyBorder="1" applyFont="1">
      <alignment horizontal="center" readingOrder="0"/>
    </xf>
    <xf borderId="11" fillId="8" fontId="7" numFmtId="165" xfId="0" applyAlignment="1" applyBorder="1" applyFill="1" applyFont="1" applyNumberFormat="1">
      <alignment horizontal="right" readingOrder="0"/>
    </xf>
    <xf borderId="11" fillId="8" fontId="8" numFmtId="4" xfId="0" applyAlignment="1" applyBorder="1" applyFont="1" applyNumberFormat="1">
      <alignment readingOrder="0"/>
    </xf>
    <xf borderId="11" fillId="8" fontId="7" numFmtId="1" xfId="0" applyAlignment="1" applyBorder="1" applyFont="1" applyNumberFormat="1">
      <alignment horizontal="center" readingOrder="0"/>
    </xf>
    <xf borderId="11" fillId="8" fontId="7" numFmtId="0" xfId="0" applyAlignment="1" applyBorder="1" applyFont="1">
      <alignment readingOrder="0"/>
    </xf>
    <xf borderId="11" fillId="8" fontId="10" numFmtId="38" xfId="0" applyAlignment="1" applyBorder="1" applyFont="1" applyNumberFormat="1">
      <alignment horizontal="center"/>
    </xf>
    <xf borderId="12" fillId="8" fontId="39" numFmtId="38" xfId="0" applyAlignment="1" applyBorder="1" applyFont="1" applyNumberFormat="1">
      <alignment horizontal="right" vertical="bottom"/>
    </xf>
    <xf borderId="11" fillId="8" fontId="10" numFmtId="38" xfId="0" applyAlignment="1" applyBorder="1" applyFont="1" applyNumberFormat="1">
      <alignment horizontal="center" readingOrder="0"/>
    </xf>
    <xf borderId="11" fillId="8" fontId="10" numFmtId="0" xfId="0" applyBorder="1" applyFont="1"/>
    <xf borderId="11" fillId="8" fontId="10" numFmtId="3" xfId="0" applyBorder="1" applyFont="1" applyNumberFormat="1"/>
    <xf borderId="11" fillId="8" fontId="12" numFmtId="0" xfId="0" applyAlignment="1" applyBorder="1" applyFont="1">
      <alignment horizontal="center" readingOrder="0"/>
    </xf>
    <xf borderId="11" fillId="8" fontId="13" numFmtId="0" xfId="0" applyAlignment="1" applyBorder="1" applyFont="1">
      <alignment horizontal="center" vertical="center"/>
    </xf>
    <xf borderId="11" fillId="8" fontId="12" numFmtId="0" xfId="0" applyAlignment="1" applyBorder="1" applyFont="1">
      <alignment horizontal="center" readingOrder="0" vertical="center"/>
    </xf>
    <xf borderId="11" fillId="8" fontId="7" numFmtId="0" xfId="0" applyAlignment="1" applyBorder="1" applyFont="1">
      <alignment horizontal="left" readingOrder="0"/>
    </xf>
    <xf borderId="11" fillId="8" fontId="10" numFmtId="3" xfId="0" applyAlignment="1" applyBorder="1" applyFont="1" applyNumberFormat="1">
      <alignment horizontal="center"/>
    </xf>
    <xf borderId="11" fillId="8" fontId="16" numFmtId="0" xfId="0" applyAlignment="1" applyBorder="1" applyFont="1">
      <alignment horizontal="center" readingOrder="0"/>
    </xf>
    <xf borderId="11" fillId="8" fontId="31" numFmtId="0" xfId="0" applyAlignment="1" applyBorder="1" applyFont="1">
      <alignment horizontal="center" vertical="center"/>
    </xf>
    <xf borderId="11" fillId="8" fontId="9" numFmtId="0" xfId="0" applyAlignment="1" applyBorder="1" applyFont="1">
      <alignment horizontal="center" readingOrder="0"/>
    </xf>
    <xf borderId="12" fillId="8" fontId="8" numFmtId="164" xfId="0" applyAlignment="1" applyBorder="1" applyFont="1" applyNumberFormat="1">
      <alignment horizontal="center" readingOrder="0" vertical="bottom"/>
    </xf>
    <xf borderId="12" fillId="8" fontId="16" numFmtId="4" xfId="0" applyAlignment="1" applyBorder="1" applyFont="1" applyNumberFormat="1">
      <alignment readingOrder="0" vertical="bottom"/>
    </xf>
    <xf borderId="12" fillId="8" fontId="16" numFmtId="1" xfId="0" applyAlignment="1" applyBorder="1" applyFont="1" applyNumberFormat="1">
      <alignment horizontal="center" readingOrder="0" vertical="bottom"/>
    </xf>
    <xf borderId="12" fillId="8" fontId="16" numFmtId="0" xfId="0" applyAlignment="1" applyBorder="1" applyFont="1">
      <alignment readingOrder="0" vertical="bottom"/>
    </xf>
    <xf borderId="11" fillId="8" fontId="39" numFmtId="38" xfId="0" applyAlignment="1" applyBorder="1" applyFont="1" applyNumberFormat="1">
      <alignment horizontal="center" readingOrder="0" vertical="bottom"/>
    </xf>
    <xf borderId="11" fillId="8" fontId="40" numFmtId="0" xfId="0" applyAlignment="1" applyBorder="1" applyFont="1">
      <alignment horizontal="center" shrinkToFit="0" vertical="center" wrapText="1"/>
    </xf>
    <xf borderId="11" fillId="8" fontId="10" numFmtId="3" xfId="0" applyAlignment="1" applyBorder="1" applyFont="1" applyNumberFormat="1">
      <alignment horizontal="center" shrinkToFit="0" vertical="center" wrapText="1"/>
    </xf>
    <xf borderId="2" fillId="8" fontId="32" numFmtId="0" xfId="0" applyAlignment="1" applyBorder="1" applyFont="1">
      <alignment horizontal="center" readingOrder="0" vertical="center"/>
    </xf>
    <xf borderId="11" fillId="8" fontId="22" numFmtId="0" xfId="0" applyAlignment="1" applyBorder="1" applyFont="1">
      <alignment horizontal="center" vertical="center"/>
    </xf>
    <xf borderId="12" fillId="4" fontId="39" numFmtId="38" xfId="0" applyAlignment="1" applyBorder="1" applyFont="1" applyNumberFormat="1">
      <alignment horizontal="right" readingOrder="0" vertical="bottom"/>
    </xf>
    <xf borderId="12" fillId="4" fontId="39" numFmtId="38" xfId="0" applyAlignment="1" applyBorder="1" applyFont="1" applyNumberFormat="1">
      <alignment horizontal="right" vertical="bottom"/>
    </xf>
    <xf borderId="11" fillId="4" fontId="39" numFmtId="38" xfId="0" applyAlignment="1" applyBorder="1" applyFont="1" applyNumberFormat="1">
      <alignment horizontal="center" vertical="bottom"/>
    </xf>
    <xf borderId="11" fillId="4" fontId="40" numFmtId="0" xfId="0" applyAlignment="1" applyBorder="1" applyFont="1">
      <alignment horizontal="center" shrinkToFit="0" vertical="center" wrapText="1"/>
    </xf>
    <xf borderId="11" fillId="4" fontId="10" numFmtId="3" xfId="0" applyAlignment="1" applyBorder="1" applyFont="1" applyNumberFormat="1">
      <alignment horizontal="center" shrinkToFit="0" vertical="center" wrapText="1"/>
    </xf>
    <xf borderId="2" fillId="4" fontId="32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/>
    </xf>
    <xf borderId="11" fillId="4" fontId="39" numFmtId="38" xfId="0" applyAlignment="1" applyBorder="1" applyFont="1" applyNumberFormat="1">
      <alignment horizontal="center" readingOrder="0" vertical="bottom"/>
    </xf>
    <xf borderId="11" fillId="4" fontId="39" numFmtId="38" xfId="0" applyAlignment="1" applyBorder="1" applyFont="1" applyNumberFormat="1">
      <alignment horizontal="right" vertical="bottom"/>
    </xf>
    <xf borderId="11" fillId="4" fontId="39" numFmtId="38" xfId="0" applyAlignment="1" applyBorder="1" applyFont="1" applyNumberFormat="1">
      <alignment vertical="bottom"/>
    </xf>
    <xf borderId="11" fillId="4" fontId="39" numFmtId="3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center"/>
    </xf>
    <xf borderId="11" fillId="4" fontId="7" numFmtId="165" xfId="0" applyAlignment="1" applyBorder="1" applyFont="1" applyNumberFormat="1">
      <alignment horizontal="right" readingOrder="0"/>
    </xf>
    <xf borderId="11" fillId="4" fontId="7" numFmtId="0" xfId="0" applyAlignment="1" applyBorder="1" applyFont="1">
      <alignment readingOrder="0"/>
    </xf>
    <xf borderId="11" fillId="4" fontId="41" numFmtId="38" xfId="0" applyAlignment="1" applyBorder="1" applyFont="1" applyNumberFormat="1">
      <alignment horizontal="center" readingOrder="0"/>
    </xf>
    <xf borderId="12" fillId="4" fontId="42" numFmtId="38" xfId="0" applyAlignment="1" applyBorder="1" applyFont="1" applyNumberFormat="1">
      <alignment horizontal="right" vertical="bottom"/>
    </xf>
    <xf borderId="11" fillId="4" fontId="10" numFmtId="0" xfId="0" applyBorder="1" applyFont="1"/>
    <xf borderId="11" fillId="4" fontId="10" numFmtId="3" xfId="0" applyBorder="1" applyFont="1" applyNumberFormat="1"/>
    <xf borderId="11" fillId="4" fontId="43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left" readingOrder="0"/>
    </xf>
    <xf borderId="11" fillId="4" fontId="41" numFmtId="38" xfId="0" applyAlignment="1" applyBorder="1" applyFont="1" applyNumberFormat="1">
      <alignment horizontal="center"/>
    </xf>
    <xf borderId="11" fillId="4" fontId="10" numFmtId="3" xfId="0" applyAlignment="1" applyBorder="1" applyFont="1" applyNumberFormat="1">
      <alignment horizontal="center"/>
    </xf>
    <xf borderId="11" fillId="4" fontId="18" numFmtId="0" xfId="0" applyAlignment="1" applyBorder="1" applyFont="1">
      <alignment horizontal="center" readingOrder="0"/>
    </xf>
    <xf borderId="11" fillId="4" fontId="9" numFmtId="0" xfId="0" applyAlignment="1" applyBorder="1" applyFont="1">
      <alignment horizontal="center" readingOrder="0"/>
    </xf>
    <xf borderId="12" fillId="4" fontId="8" numFmtId="1" xfId="0" applyAlignment="1" applyBorder="1" applyFont="1" applyNumberFormat="1">
      <alignment horizontal="center" readingOrder="0" vertical="bottom"/>
    </xf>
    <xf borderId="12" fillId="4" fontId="8" numFmtId="0" xfId="0" applyAlignment="1" applyBorder="1" applyFont="1">
      <alignment readingOrder="0" vertical="bottom"/>
    </xf>
    <xf borderId="12" fillId="4" fontId="10" numFmtId="38" xfId="0" applyAlignment="1" applyBorder="1" applyFont="1" applyNumberFormat="1">
      <alignment horizontal="right" readingOrder="0" vertical="bottom"/>
    </xf>
    <xf borderId="11" fillId="4" fontId="42" numFmtId="38" xfId="0" applyAlignment="1" applyBorder="1" applyFont="1" applyNumberFormat="1">
      <alignment horizontal="center" readingOrder="0" vertical="bottom"/>
    </xf>
    <xf borderId="11" fillId="5" fontId="6" numFmtId="49" xfId="0" applyAlignment="1" applyBorder="1" applyFont="1" applyNumberFormat="1">
      <alignment horizontal="center" readingOrder="0" shrinkToFit="0" vertical="center" wrapText="0"/>
    </xf>
    <xf borderId="11" fillId="4" fontId="44" numFmtId="165" xfId="0" applyAlignment="1" applyBorder="1" applyFont="1" applyNumberFormat="1">
      <alignment horizontal="right" readingOrder="0"/>
    </xf>
    <xf borderId="11" fillId="4" fontId="4" numFmtId="4" xfId="0" applyAlignment="1" applyBorder="1" applyFont="1" applyNumberFormat="1">
      <alignment readingOrder="0"/>
    </xf>
    <xf borderId="11" fillId="4" fontId="44" numFmtId="1" xfId="0" applyAlignment="1" applyBorder="1" applyFont="1" applyNumberFormat="1">
      <alignment horizontal="center" readingOrder="0"/>
    </xf>
    <xf borderId="11" fillId="4" fontId="44" numFmtId="0" xfId="0" applyAlignment="1" applyBorder="1" applyFont="1">
      <alignment readingOrder="0"/>
    </xf>
    <xf borderId="11" fillId="4" fontId="42" numFmtId="38" xfId="0" applyAlignment="1" applyBorder="1" applyFont="1" applyNumberFormat="1">
      <alignment horizontal="center" readingOrder="0"/>
    </xf>
    <xf borderId="11" fillId="4" fontId="39" numFmtId="0" xfId="0" applyBorder="1" applyFont="1"/>
    <xf borderId="11" fillId="4" fontId="39" numFmtId="3" xfId="0" applyBorder="1" applyFont="1" applyNumberFormat="1"/>
    <xf borderId="11" fillId="4" fontId="11" numFmtId="0" xfId="0" applyAlignment="1" applyBorder="1" applyFont="1">
      <alignment horizontal="center" readingOrder="0"/>
    </xf>
    <xf borderId="11" fillId="4" fontId="45" numFmtId="0" xfId="0" applyAlignment="1" applyBorder="1" applyFont="1">
      <alignment horizontal="center" readingOrder="0" vertical="center"/>
    </xf>
    <xf borderId="11" fillId="4" fontId="11" numFmtId="0" xfId="0" applyAlignment="1" applyBorder="1" applyFont="1">
      <alignment horizontal="center" readingOrder="0" vertical="center"/>
    </xf>
    <xf borderId="11" fillId="4" fontId="44" numFmtId="0" xfId="0" applyAlignment="1" applyBorder="1" applyFont="1">
      <alignment horizontal="left" readingOrder="0"/>
    </xf>
    <xf borderId="11" fillId="4" fontId="39" numFmtId="3" xfId="0" applyAlignment="1" applyBorder="1" applyFont="1" applyNumberFormat="1">
      <alignment horizontal="center"/>
    </xf>
    <xf borderId="11" fillId="4" fontId="23" numFmtId="0" xfId="0" applyAlignment="1" applyBorder="1" applyFont="1">
      <alignment horizontal="center" readingOrder="0"/>
    </xf>
    <xf borderId="11" fillId="4" fontId="20" numFmtId="0" xfId="0" applyAlignment="1" applyBorder="1" applyFont="1">
      <alignment horizontal="center" readingOrder="0"/>
    </xf>
    <xf borderId="12" fillId="4" fontId="4" numFmtId="164" xfId="0" applyAlignment="1" applyBorder="1" applyFont="1" applyNumberFormat="1">
      <alignment horizontal="center" readingOrder="0" vertical="bottom"/>
    </xf>
    <xf borderId="12" fillId="4" fontId="17" numFmtId="4" xfId="0" applyAlignment="1" applyBorder="1" applyFont="1" applyNumberFormat="1">
      <alignment readingOrder="0" vertical="bottom"/>
    </xf>
    <xf borderId="12" fillId="4" fontId="4" numFmtId="1" xfId="0" applyAlignment="1" applyBorder="1" applyFont="1" applyNumberFormat="1">
      <alignment horizontal="center" readingOrder="0" vertical="bottom"/>
    </xf>
    <xf borderId="12" fillId="4" fontId="4" numFmtId="0" xfId="0" applyAlignment="1" applyBorder="1" applyFont="1">
      <alignment readingOrder="0" vertical="bottom"/>
    </xf>
    <xf borderId="2" fillId="4" fontId="33" numFmtId="0" xfId="0" applyAlignment="1" applyBorder="1" applyFont="1">
      <alignment horizontal="center" readingOrder="0" vertical="center"/>
    </xf>
    <xf borderId="12" fillId="4" fontId="17" numFmtId="1" xfId="0" applyAlignment="1" applyBorder="1" applyFont="1" applyNumberFormat="1">
      <alignment horizontal="center" readingOrder="0" vertical="bottom"/>
    </xf>
    <xf borderId="12" fillId="4" fontId="17" numFmtId="0" xfId="0" applyAlignment="1" applyBorder="1" applyFont="1">
      <alignment readingOrder="0" vertical="bottom"/>
    </xf>
    <xf borderId="11" fillId="0" fontId="20" numFmtId="0" xfId="0" applyAlignment="1" applyBorder="1" applyFont="1">
      <alignment horizontal="center" readingOrder="0"/>
    </xf>
    <xf borderId="12" fillId="4" fontId="10" numFmtId="38" xfId="0" applyAlignment="1" applyBorder="1" applyFont="1" applyNumberFormat="1">
      <alignment horizontal="right" vertical="bottom"/>
    </xf>
    <xf borderId="11" fillId="4" fontId="10" numFmtId="38" xfId="0" applyAlignment="1" applyBorder="1" applyFont="1" applyNumberFormat="1">
      <alignment horizontal="center" readingOrder="0" vertical="bottom"/>
    </xf>
    <xf borderId="11" fillId="4" fontId="10" numFmtId="38" xfId="0" applyAlignment="1" applyBorder="1" applyFont="1" applyNumberFormat="1">
      <alignment horizontal="center" vertical="bottom"/>
    </xf>
    <xf borderId="11" fillId="4" fontId="7" numFmtId="0" xfId="0" applyAlignment="1" applyBorder="1" applyFont="1">
      <alignment horizontal="right" readingOrder="0"/>
    </xf>
    <xf borderId="12" fillId="4" fontId="8" numFmtId="0" xfId="0" applyAlignment="1" applyBorder="1" applyFont="1">
      <alignment horizontal="center" readingOrder="0" vertical="bottom"/>
    </xf>
    <xf borderId="11" fillId="4" fontId="7" numFmtId="166" xfId="0" applyAlignment="1" applyBorder="1" applyFont="1" applyNumberFormat="1">
      <alignment horizontal="right" readingOrder="0"/>
    </xf>
    <xf borderId="11" fillId="4" fontId="10" numFmtId="3" xfId="0" applyAlignment="1" applyBorder="1" applyFont="1" applyNumberFormat="1">
      <alignment horizontal="center" readingOrder="0"/>
    </xf>
    <xf borderId="11" fillId="4" fontId="10" numFmtId="3" xfId="0" applyAlignment="1" applyBorder="1" applyFont="1" applyNumberFormat="1">
      <alignment horizontal="center" readingOrder="0" shrinkToFit="0" vertical="center" wrapText="1"/>
    </xf>
    <xf borderId="12" fillId="4" fontId="42" numFmtId="38" xfId="0" applyAlignment="1" applyBorder="1" applyFont="1" applyNumberFormat="1">
      <alignment horizontal="right" readingOrder="0" vertical="bottom"/>
    </xf>
    <xf borderId="11" fillId="0" fontId="46" numFmtId="0" xfId="0" applyAlignment="1" applyBorder="1" applyFont="1">
      <alignment readingOrder="0"/>
    </xf>
    <xf borderId="11" fillId="4" fontId="25" numFmtId="3" xfId="0" applyAlignment="1" applyBorder="1" applyFont="1" applyNumberFormat="1">
      <alignment horizontal="right"/>
    </xf>
    <xf borderId="11" fillId="4" fontId="25" numFmtId="3" xfId="0" applyAlignment="1" applyBorder="1" applyFont="1" applyNumberFormat="1">
      <alignment horizontal="right" readingOrder="0"/>
    </xf>
    <xf borderId="11" fillId="4" fontId="44" numFmtId="3" xfId="0" applyAlignment="1" applyBorder="1" applyFont="1" applyNumberFormat="1">
      <alignment horizontal="center" readingOrder="0"/>
    </xf>
    <xf borderId="12" fillId="4" fontId="39" numFmtId="38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228600</xdr:rowOff>
    </xdr:from>
    <xdr:ext cx="257175" cy="333375"/>
    <xdr:sp>
      <xdr:nvSpPr>
        <xdr:cNvPr id="3" name="Shape 3"/>
        <xdr:cNvSpPr txBox="1"/>
      </xdr:nvSpPr>
      <xdr:spPr>
        <a:xfrm>
          <a:off x="5222175" y="3618075"/>
          <a:ext cx="2476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45991.0</v>
      </c>
      <c r="C4" s="18" t="s">
        <v>16</v>
      </c>
      <c r="D4" s="19">
        <v>58257.0</v>
      </c>
      <c r="E4" s="20" t="s">
        <v>17</v>
      </c>
      <c r="F4" s="21">
        <v>4850.0</v>
      </c>
      <c r="G4" s="22"/>
      <c r="H4" s="23"/>
      <c r="I4" s="24"/>
      <c r="J4" s="25"/>
      <c r="K4" s="26" t="s">
        <v>18</v>
      </c>
      <c r="L4" s="27" t="s">
        <v>19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31">
        <v>45991.0</v>
      </c>
      <c r="C5" s="32" t="s">
        <v>22</v>
      </c>
      <c r="D5" s="33">
        <v>52686.0</v>
      </c>
      <c r="E5" s="34" t="s">
        <v>23</v>
      </c>
      <c r="F5" s="35">
        <v>7900.0</v>
      </c>
      <c r="G5" s="36"/>
      <c r="H5" s="37"/>
      <c r="I5" s="38"/>
      <c r="J5" s="39"/>
      <c r="K5" s="40" t="s">
        <v>18</v>
      </c>
      <c r="L5" s="41" t="s">
        <v>24</v>
      </c>
      <c r="M5" s="42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43" t="s">
        <v>26</v>
      </c>
      <c r="B6" s="44">
        <v>45991.0</v>
      </c>
      <c r="C6" s="45" t="s">
        <v>27</v>
      </c>
      <c r="D6" s="46">
        <v>92257.0</v>
      </c>
      <c r="E6" s="47" t="s">
        <v>28</v>
      </c>
      <c r="F6" s="48">
        <v>4500.0</v>
      </c>
      <c r="G6" s="49"/>
      <c r="H6" s="50"/>
      <c r="I6" s="51"/>
      <c r="J6" s="52"/>
      <c r="K6" s="40" t="s">
        <v>18</v>
      </c>
      <c r="L6" s="53" t="s">
        <v>29</v>
      </c>
      <c r="M6" s="54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30</v>
      </c>
      <c r="B7" s="44">
        <v>45991.0</v>
      </c>
      <c r="C7" s="45" t="s">
        <v>31</v>
      </c>
      <c r="D7" s="46">
        <v>97729.0</v>
      </c>
      <c r="E7" s="47" t="s">
        <v>32</v>
      </c>
      <c r="F7" s="48">
        <v>4500.0</v>
      </c>
      <c r="G7" s="49"/>
      <c r="H7" s="50"/>
      <c r="I7" s="51"/>
      <c r="J7" s="52"/>
      <c r="K7" s="40" t="s">
        <v>18</v>
      </c>
      <c r="L7" s="53" t="s">
        <v>33</v>
      </c>
      <c r="M7" s="54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43" t="s">
        <v>34</v>
      </c>
      <c r="B8" s="44">
        <v>45991.0</v>
      </c>
      <c r="C8" s="45" t="s">
        <v>35</v>
      </c>
      <c r="D8" s="46">
        <v>10684.0</v>
      </c>
      <c r="E8" s="47" t="s">
        <v>36</v>
      </c>
      <c r="F8" s="48">
        <v>3600.0</v>
      </c>
      <c r="G8" s="49"/>
      <c r="H8" s="50"/>
      <c r="I8" s="51"/>
      <c r="J8" s="52"/>
      <c r="K8" s="40" t="s">
        <v>18</v>
      </c>
      <c r="L8" s="53" t="s">
        <v>37</v>
      </c>
      <c r="M8" s="54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38</v>
      </c>
      <c r="B9" s="44">
        <v>45991.0</v>
      </c>
      <c r="C9" s="45" t="s">
        <v>39</v>
      </c>
      <c r="D9" s="46">
        <v>10357.0</v>
      </c>
      <c r="E9" s="47" t="s">
        <v>40</v>
      </c>
      <c r="F9" s="48">
        <v>4400.0</v>
      </c>
      <c r="G9" s="49"/>
      <c r="H9" s="50"/>
      <c r="I9" s="51"/>
      <c r="J9" s="52"/>
      <c r="K9" s="40" t="s">
        <v>18</v>
      </c>
      <c r="L9" s="53" t="s">
        <v>41</v>
      </c>
      <c r="M9" s="54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43" t="s">
        <v>42</v>
      </c>
      <c r="B10" s="44">
        <v>45991.0</v>
      </c>
      <c r="C10" s="45" t="s">
        <v>43</v>
      </c>
      <c r="D10" s="46">
        <v>10006.0</v>
      </c>
      <c r="E10" s="47" t="s">
        <v>44</v>
      </c>
      <c r="F10" s="48">
        <v>4150.0</v>
      </c>
      <c r="G10" s="49"/>
      <c r="H10" s="50"/>
      <c r="I10" s="51"/>
      <c r="J10" s="52"/>
      <c r="K10" s="40" t="s">
        <v>18</v>
      </c>
      <c r="L10" s="53" t="s">
        <v>45</v>
      </c>
      <c r="M10" s="54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55"/>
      <c r="C11" s="56"/>
      <c r="D11" s="57"/>
      <c r="E11" s="58"/>
      <c r="F11" s="59"/>
      <c r="G11" s="49"/>
      <c r="H11" s="50"/>
      <c r="I11" s="51"/>
      <c r="J11" s="60"/>
      <c r="K11" s="61"/>
      <c r="L11" s="62"/>
      <c r="M11" s="63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/>
      <c r="B12" s="55"/>
      <c r="C12" s="56"/>
      <c r="D12" s="57"/>
      <c r="E12" s="58"/>
      <c r="F12" s="59"/>
      <c r="G12" s="49"/>
      <c r="H12" s="50"/>
      <c r="I12" s="51"/>
      <c r="J12" s="60"/>
      <c r="K12" s="61"/>
      <c r="L12" s="62"/>
      <c r="M12" s="6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55"/>
      <c r="C13" s="56"/>
      <c r="D13" s="57"/>
      <c r="E13" s="58"/>
      <c r="F13" s="59"/>
      <c r="G13" s="49"/>
      <c r="H13" s="50"/>
      <c r="I13" s="51"/>
      <c r="J13" s="60"/>
      <c r="K13" s="61"/>
      <c r="L13" s="62"/>
      <c r="M13" s="63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/>
      <c r="B14" s="55"/>
      <c r="C14" s="56"/>
      <c r="D14" s="57"/>
      <c r="E14" s="58"/>
      <c r="F14" s="64"/>
      <c r="G14" s="49"/>
      <c r="H14" s="50"/>
      <c r="I14" s="51"/>
      <c r="J14" s="60"/>
      <c r="K14" s="61"/>
      <c r="L14" s="62"/>
      <c r="M14" s="63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65"/>
      <c r="B15" s="2"/>
      <c r="C15" s="2"/>
      <c r="D15" s="2"/>
      <c r="E15" s="3"/>
      <c r="F15" s="66">
        <f t="shared" ref="F15:J15" si="1">SUM(F4:F14)</f>
        <v>33900</v>
      </c>
      <c r="G15" s="66">
        <f t="shared" si="1"/>
        <v>0</v>
      </c>
      <c r="H15" s="66">
        <f t="shared" si="1"/>
        <v>0</v>
      </c>
      <c r="I15" s="66">
        <f t="shared" si="1"/>
        <v>0</v>
      </c>
      <c r="J15" s="66">
        <f t="shared" si="1"/>
        <v>0</v>
      </c>
      <c r="K15" s="67"/>
      <c r="L15" s="67"/>
      <c r="M15" s="68"/>
    </row>
    <row r="16" ht="48.0" customHeight="1">
      <c r="F16" s="69">
        <f>F15+G15+H15+I15+J15</f>
        <v>33900</v>
      </c>
      <c r="G16" s="2"/>
      <c r="H16" s="2"/>
      <c r="I16" s="2"/>
      <c r="J1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5:E15"/>
    <mergeCell ref="F16:J16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4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71"/>
      <c r="C4" s="72"/>
      <c r="D4" s="73"/>
      <c r="E4" s="74"/>
      <c r="F4" s="75"/>
      <c r="G4" s="76"/>
      <c r="H4" s="77"/>
      <c r="I4" s="74"/>
      <c r="J4" s="78"/>
      <c r="K4" s="79" t="s">
        <v>47</v>
      </c>
      <c r="L4" s="80" t="s">
        <v>48</v>
      </c>
      <c r="M4" s="79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/>
      <c r="B5" s="81"/>
      <c r="C5" s="82"/>
      <c r="D5" s="83"/>
      <c r="E5" s="84" t="s">
        <v>49</v>
      </c>
      <c r="F5" s="85"/>
      <c r="G5" s="36"/>
      <c r="H5" s="37"/>
      <c r="I5" s="38"/>
      <c r="J5" s="39"/>
      <c r="K5" s="86"/>
      <c r="L5" s="87"/>
      <c r="M5" s="8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/>
      <c r="B6" s="89"/>
      <c r="C6" s="90"/>
      <c r="D6" s="91"/>
      <c r="E6" s="92"/>
      <c r="F6" s="85"/>
      <c r="G6" s="93"/>
      <c r="H6" s="37"/>
      <c r="I6" s="38"/>
      <c r="J6" s="94"/>
      <c r="K6" s="86"/>
      <c r="L6" s="95"/>
      <c r="M6" s="92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96"/>
      <c r="C7" s="56"/>
      <c r="D7" s="57"/>
      <c r="E7" s="58" t="s">
        <v>50</v>
      </c>
      <c r="F7" s="59"/>
      <c r="G7" s="49"/>
      <c r="H7" s="50"/>
      <c r="I7" s="51"/>
      <c r="J7" s="52"/>
      <c r="K7" s="97"/>
      <c r="L7" s="98"/>
      <c r="M7" s="92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96"/>
      <c r="C8" s="56"/>
      <c r="D8" s="57"/>
      <c r="E8" s="58"/>
      <c r="F8" s="59"/>
      <c r="G8" s="49"/>
      <c r="H8" s="50"/>
      <c r="I8" s="51"/>
      <c r="J8" s="52"/>
      <c r="K8" s="97"/>
      <c r="L8" s="98"/>
      <c r="M8" s="9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96"/>
      <c r="C9" s="56"/>
      <c r="D9" s="57"/>
      <c r="E9" s="58"/>
      <c r="F9" s="64"/>
      <c r="G9" s="49"/>
      <c r="H9" s="50"/>
      <c r="I9" s="51"/>
      <c r="J9" s="60"/>
      <c r="K9" s="99"/>
      <c r="L9" s="62"/>
      <c r="M9" s="9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5"/>
      <c r="B10" s="2"/>
      <c r="C10" s="2"/>
      <c r="D10" s="2"/>
      <c r="E10" s="3"/>
      <c r="F10" s="66">
        <f t="shared" ref="F10:J10" si="1">SUM(F4:F9)</f>
        <v>0</v>
      </c>
      <c r="G10" s="66">
        <f t="shared" si="1"/>
        <v>0</v>
      </c>
      <c r="H10" s="66">
        <f t="shared" si="1"/>
        <v>0</v>
      </c>
      <c r="I10" s="66">
        <f t="shared" si="1"/>
        <v>0</v>
      </c>
      <c r="J10" s="66">
        <f t="shared" si="1"/>
        <v>0</v>
      </c>
      <c r="K10" s="67"/>
      <c r="L10" s="67"/>
      <c r="M10" s="68"/>
    </row>
    <row r="11" ht="48.0" customHeight="1">
      <c r="F11" s="69">
        <f>F10+G10+H10+I10+J10</f>
        <v>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0" t="s">
        <v>10</v>
      </c>
      <c r="G3" s="101" t="s">
        <v>11</v>
      </c>
      <c r="H3" s="102" t="s">
        <v>12</v>
      </c>
      <c r="I3" s="10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04">
        <v>45994.0</v>
      </c>
      <c r="C4" s="105" t="s">
        <v>52</v>
      </c>
      <c r="D4" s="106">
        <v>13781.0</v>
      </c>
      <c r="E4" s="107" t="s">
        <v>53</v>
      </c>
      <c r="F4" s="85"/>
      <c r="G4" s="49"/>
      <c r="H4" s="108"/>
      <c r="I4" s="109"/>
      <c r="J4" s="110">
        <v>105.0</v>
      </c>
      <c r="K4" s="111" t="s">
        <v>18</v>
      </c>
      <c r="L4" s="112" t="s">
        <v>54</v>
      </c>
      <c r="M4" s="111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/>
      <c r="B5" s="89"/>
      <c r="C5" s="113"/>
      <c r="D5" s="114"/>
      <c r="E5" s="115"/>
      <c r="F5" s="85"/>
      <c r="G5" s="49"/>
      <c r="H5" s="116"/>
      <c r="I5" s="109"/>
      <c r="J5" s="93"/>
      <c r="K5" s="117"/>
      <c r="L5" s="118"/>
      <c r="M5" s="117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/>
      <c r="B6" s="96"/>
      <c r="C6" s="56"/>
      <c r="D6" s="57"/>
      <c r="E6" s="58"/>
      <c r="F6" s="59"/>
      <c r="G6" s="49"/>
      <c r="H6" s="50"/>
      <c r="I6" s="51"/>
      <c r="J6" s="52"/>
      <c r="K6" s="97"/>
      <c r="L6" s="62"/>
      <c r="M6" s="92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96"/>
      <c r="C7" s="56"/>
      <c r="D7" s="57"/>
      <c r="E7" s="58"/>
      <c r="F7" s="59"/>
      <c r="G7" s="49"/>
      <c r="H7" s="50"/>
      <c r="I7" s="51"/>
      <c r="J7" s="52"/>
      <c r="K7" s="97"/>
      <c r="L7" s="62"/>
      <c r="M7" s="92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96"/>
      <c r="C8" s="56"/>
      <c r="D8" s="57"/>
      <c r="E8" s="58"/>
      <c r="F8" s="64"/>
      <c r="G8" s="49"/>
      <c r="H8" s="50"/>
      <c r="I8" s="51"/>
      <c r="J8" s="60"/>
      <c r="K8" s="99"/>
      <c r="L8" s="62"/>
      <c r="M8" s="9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65"/>
      <c r="B9" s="2"/>
      <c r="C9" s="2"/>
      <c r="D9" s="2"/>
      <c r="E9" s="3"/>
      <c r="F9" s="66">
        <f t="shared" ref="F9:J9" si="1">SUM(F4:F8)</f>
        <v>0</v>
      </c>
      <c r="G9" s="66">
        <f t="shared" si="1"/>
        <v>0</v>
      </c>
      <c r="H9" s="66">
        <f t="shared" si="1"/>
        <v>0</v>
      </c>
      <c r="I9" s="66">
        <f t="shared" si="1"/>
        <v>0</v>
      </c>
      <c r="J9" s="66">
        <f t="shared" si="1"/>
        <v>105</v>
      </c>
      <c r="K9" s="67"/>
      <c r="L9" s="67"/>
      <c r="M9" s="68"/>
    </row>
    <row r="10" ht="48.0" customHeight="1">
      <c r="F10" s="69">
        <f>F9+G9+H9+I9+J9</f>
        <v>105</v>
      </c>
      <c r="G10" s="2"/>
      <c r="H10" s="2"/>
      <c r="I10" s="2"/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9" t="s">
        <v>15</v>
      </c>
      <c r="B4" s="120">
        <v>45994.0</v>
      </c>
      <c r="C4" s="121" t="s">
        <v>56</v>
      </c>
      <c r="D4" s="122">
        <v>106234.0</v>
      </c>
      <c r="E4" s="123" t="s">
        <v>57</v>
      </c>
      <c r="F4" s="124"/>
      <c r="G4" s="49"/>
      <c r="H4" s="125">
        <v>300.0</v>
      </c>
      <c r="I4" s="126"/>
      <c r="J4" s="125"/>
      <c r="K4" s="127"/>
      <c r="L4" s="128" t="s">
        <v>58</v>
      </c>
      <c r="M4" s="129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21</v>
      </c>
      <c r="B5" s="130">
        <v>45994.0</v>
      </c>
      <c r="C5" s="121" t="s">
        <v>59</v>
      </c>
      <c r="D5" s="122">
        <v>106236.0</v>
      </c>
      <c r="E5" s="123" t="s">
        <v>60</v>
      </c>
      <c r="F5" s="124"/>
      <c r="G5" s="49"/>
      <c r="H5" s="131">
        <v>300.0</v>
      </c>
      <c r="I5" s="126"/>
      <c r="J5" s="131"/>
      <c r="K5" s="127"/>
      <c r="L5" s="128" t="s">
        <v>61</v>
      </c>
      <c r="M5" s="129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26</v>
      </c>
      <c r="B6" s="104">
        <v>45994.0</v>
      </c>
      <c r="C6" s="132" t="s">
        <v>62</v>
      </c>
      <c r="D6" s="133">
        <v>104274.0</v>
      </c>
      <c r="E6" s="134" t="s">
        <v>63</v>
      </c>
      <c r="F6" s="35">
        <v>2950.0</v>
      </c>
      <c r="G6" s="93"/>
      <c r="H6" s="116"/>
      <c r="I6" s="109"/>
      <c r="J6" s="93"/>
      <c r="K6" s="117"/>
      <c r="L6" s="135" t="s">
        <v>64</v>
      </c>
      <c r="M6" s="134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30</v>
      </c>
      <c r="B7" s="104">
        <v>45994.0</v>
      </c>
      <c r="C7" s="132" t="s">
        <v>65</v>
      </c>
      <c r="D7" s="133">
        <v>89807.0</v>
      </c>
      <c r="E7" s="134" t="s">
        <v>66</v>
      </c>
      <c r="F7" s="35">
        <v>27000.0</v>
      </c>
      <c r="G7" s="136"/>
      <c r="H7" s="116"/>
      <c r="I7" s="109"/>
      <c r="J7" s="93"/>
      <c r="K7" s="117"/>
      <c r="L7" s="135" t="s">
        <v>67</v>
      </c>
      <c r="M7" s="134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34</v>
      </c>
      <c r="B8" s="104">
        <v>45995.0</v>
      </c>
      <c r="C8" s="132" t="s">
        <v>68</v>
      </c>
      <c r="D8" s="133">
        <v>52669.0</v>
      </c>
      <c r="E8" s="134" t="s">
        <v>69</v>
      </c>
      <c r="F8" s="35">
        <v>15000.0</v>
      </c>
      <c r="G8" s="136"/>
      <c r="H8" s="137"/>
      <c r="I8" s="109"/>
      <c r="J8" s="138"/>
      <c r="K8" s="117"/>
      <c r="L8" s="135" t="s">
        <v>70</v>
      </c>
      <c r="M8" s="92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38</v>
      </c>
      <c r="B9" s="44">
        <v>45995.0</v>
      </c>
      <c r="C9" s="45" t="s">
        <v>71</v>
      </c>
      <c r="D9" s="46">
        <v>54426.0</v>
      </c>
      <c r="E9" s="139" t="s">
        <v>72</v>
      </c>
      <c r="F9" s="140"/>
      <c r="G9" s="49"/>
      <c r="H9" s="50"/>
      <c r="I9" s="51"/>
      <c r="J9" s="141">
        <v>218.0</v>
      </c>
      <c r="K9" s="97"/>
      <c r="L9" s="53">
        <v>11.36</v>
      </c>
      <c r="M9" s="134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42</v>
      </c>
      <c r="B10" s="44">
        <v>45995.0</v>
      </c>
      <c r="C10" s="45" t="s">
        <v>73</v>
      </c>
      <c r="D10" s="46">
        <v>59793.0</v>
      </c>
      <c r="E10" s="142" t="s">
        <v>74</v>
      </c>
      <c r="F10" s="143">
        <v>5400.0</v>
      </c>
      <c r="G10" s="49"/>
      <c r="H10" s="50"/>
      <c r="I10" s="51"/>
      <c r="J10" s="52"/>
      <c r="K10" s="97"/>
      <c r="L10" s="53" t="s">
        <v>75</v>
      </c>
      <c r="M10" s="134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96"/>
      <c r="C11" s="56"/>
      <c r="D11" s="57"/>
      <c r="E11" s="58" t="s">
        <v>50</v>
      </c>
      <c r="F11" s="59"/>
      <c r="G11" s="49"/>
      <c r="H11" s="50"/>
      <c r="I11" s="51"/>
      <c r="J11" s="52"/>
      <c r="K11" s="97"/>
      <c r="L11" s="98"/>
      <c r="M11" s="9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/>
      <c r="B12" s="96"/>
      <c r="C12" s="56"/>
      <c r="D12" s="57"/>
      <c r="E12" s="58"/>
      <c r="F12" s="59"/>
      <c r="G12" s="49"/>
      <c r="H12" s="50"/>
      <c r="I12" s="51"/>
      <c r="J12" s="52"/>
      <c r="K12" s="97"/>
      <c r="L12" s="98"/>
      <c r="M12" s="9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96"/>
      <c r="C13" s="56"/>
      <c r="D13" s="57"/>
      <c r="E13" s="58"/>
      <c r="F13" s="64"/>
      <c r="G13" s="49"/>
      <c r="H13" s="50"/>
      <c r="I13" s="51"/>
      <c r="J13" s="60"/>
      <c r="K13" s="99"/>
      <c r="L13" s="62"/>
      <c r="M13" s="92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65"/>
      <c r="B14" s="2"/>
      <c r="C14" s="2"/>
      <c r="D14" s="2"/>
      <c r="E14" s="3"/>
      <c r="F14" s="66">
        <f t="shared" ref="F14:J14" si="1">SUM(F4:F13)</f>
        <v>50350</v>
      </c>
      <c r="G14" s="66">
        <f t="shared" si="1"/>
        <v>0</v>
      </c>
      <c r="H14" s="66">
        <f t="shared" si="1"/>
        <v>600</v>
      </c>
      <c r="I14" s="66">
        <f t="shared" si="1"/>
        <v>0</v>
      </c>
      <c r="J14" s="66">
        <f t="shared" si="1"/>
        <v>218</v>
      </c>
      <c r="K14" s="67"/>
      <c r="L14" s="67"/>
      <c r="M14" s="68"/>
    </row>
    <row r="15" ht="48.0" customHeight="1">
      <c r="F15" s="69">
        <f>F14+G14+H14+I14+J14</f>
        <v>51168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44"/>
      <c r="C4" s="145"/>
      <c r="D4" s="146"/>
      <c r="E4" s="147"/>
      <c r="F4" s="75"/>
      <c r="G4" s="76"/>
      <c r="H4" s="148"/>
      <c r="I4" s="74"/>
      <c r="J4" s="78"/>
      <c r="K4" s="79" t="s">
        <v>47</v>
      </c>
      <c r="L4" s="80"/>
      <c r="M4" s="149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44"/>
      <c r="C5" s="145"/>
      <c r="D5" s="146"/>
      <c r="E5" s="150" t="s">
        <v>77</v>
      </c>
      <c r="F5" s="85"/>
      <c r="G5" s="36"/>
      <c r="H5" s="37"/>
      <c r="I5" s="38"/>
      <c r="J5" s="39"/>
      <c r="K5" s="86"/>
      <c r="L5" s="87"/>
      <c r="M5" s="8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/>
      <c r="B6" s="96"/>
      <c r="C6" s="56"/>
      <c r="D6" s="57"/>
      <c r="E6" s="58"/>
      <c r="F6" s="59"/>
      <c r="G6" s="49"/>
      <c r="H6" s="50"/>
      <c r="I6" s="51"/>
      <c r="J6" s="52"/>
      <c r="K6" s="97"/>
      <c r="L6" s="98"/>
      <c r="M6" s="92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96"/>
      <c r="C7" s="56"/>
      <c r="D7" s="57"/>
      <c r="E7" s="58"/>
      <c r="F7" s="64"/>
      <c r="G7" s="49"/>
      <c r="H7" s="50"/>
      <c r="I7" s="51"/>
      <c r="J7" s="60"/>
      <c r="K7" s="99"/>
      <c r="L7" s="62"/>
      <c r="M7" s="92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65"/>
      <c r="B8" s="2"/>
      <c r="C8" s="2"/>
      <c r="D8" s="2"/>
      <c r="E8" s="3"/>
      <c r="F8" s="66">
        <f t="shared" ref="F8:J8" si="1">SUM(F4:F7)</f>
        <v>0</v>
      </c>
      <c r="G8" s="66">
        <f t="shared" si="1"/>
        <v>0</v>
      </c>
      <c r="H8" s="66">
        <f t="shared" si="1"/>
        <v>0</v>
      </c>
      <c r="I8" s="66">
        <f t="shared" si="1"/>
        <v>0</v>
      </c>
      <c r="J8" s="66">
        <f t="shared" si="1"/>
        <v>0</v>
      </c>
      <c r="K8" s="67"/>
      <c r="L8" s="67"/>
      <c r="M8" s="68"/>
    </row>
    <row r="9" ht="48.0" customHeight="1">
      <c r="F9" s="69">
        <f>F8+G8+H8+I8+J8</f>
        <v>0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7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51">
        <v>45995.0</v>
      </c>
      <c r="C4" s="152" t="s">
        <v>79</v>
      </c>
      <c r="D4" s="153">
        <v>53249.0</v>
      </c>
      <c r="E4" s="154" t="s">
        <v>80</v>
      </c>
      <c r="F4" s="155"/>
      <c r="G4" s="156"/>
      <c r="H4" s="157">
        <v>35.0</v>
      </c>
      <c r="I4" s="158"/>
      <c r="J4" s="159"/>
      <c r="K4" s="160" t="s">
        <v>18</v>
      </c>
      <c r="L4" s="161"/>
      <c r="M4" s="162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51">
        <v>45995.0</v>
      </c>
      <c r="C5" s="152" t="s">
        <v>81</v>
      </c>
      <c r="D5" s="153">
        <v>55969.0</v>
      </c>
      <c r="E5" s="163" t="s">
        <v>82</v>
      </c>
      <c r="F5" s="155"/>
      <c r="G5" s="156"/>
      <c r="H5" s="157">
        <v>35.0</v>
      </c>
      <c r="I5" s="158"/>
      <c r="J5" s="164"/>
      <c r="K5" s="165" t="s">
        <v>18</v>
      </c>
      <c r="L5" s="166"/>
      <c r="M5" s="167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168">
        <v>45995.0</v>
      </c>
      <c r="C6" s="169" t="s">
        <v>83</v>
      </c>
      <c r="D6" s="170">
        <v>60483.0</v>
      </c>
      <c r="E6" s="171" t="s">
        <v>84</v>
      </c>
      <c r="F6" s="156"/>
      <c r="G6" s="156"/>
      <c r="H6" s="172">
        <v>35.0</v>
      </c>
      <c r="I6" s="173"/>
      <c r="J6" s="174"/>
      <c r="K6" s="175" t="s">
        <v>18</v>
      </c>
      <c r="L6" s="176"/>
      <c r="M6" s="167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30</v>
      </c>
      <c r="B7" s="44">
        <v>45996.0</v>
      </c>
      <c r="C7" s="45" t="s">
        <v>85</v>
      </c>
      <c r="D7" s="46">
        <v>36555.0</v>
      </c>
      <c r="E7" s="142" t="s">
        <v>86</v>
      </c>
      <c r="F7" s="177">
        <v>4500.0</v>
      </c>
      <c r="G7" s="178"/>
      <c r="H7" s="179"/>
      <c r="I7" s="180"/>
      <c r="J7" s="181"/>
      <c r="K7" s="182" t="s">
        <v>18</v>
      </c>
      <c r="L7" s="98"/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0" t="s">
        <v>34</v>
      </c>
      <c r="B8" s="44">
        <v>45996.0</v>
      </c>
      <c r="C8" s="45" t="s">
        <v>87</v>
      </c>
      <c r="D8" s="46">
        <v>45227.0</v>
      </c>
      <c r="E8" s="142" t="s">
        <v>88</v>
      </c>
      <c r="F8" s="177">
        <v>5100.0</v>
      </c>
      <c r="G8" s="178"/>
      <c r="H8" s="179"/>
      <c r="I8" s="180"/>
      <c r="J8" s="181"/>
      <c r="K8" s="182" t="s">
        <v>18</v>
      </c>
      <c r="L8" s="98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38</v>
      </c>
      <c r="B9" s="44">
        <v>45996.0</v>
      </c>
      <c r="C9" s="45" t="s">
        <v>89</v>
      </c>
      <c r="D9" s="46">
        <v>72839.0</v>
      </c>
      <c r="E9" s="142" t="s">
        <v>90</v>
      </c>
      <c r="F9" s="178"/>
      <c r="G9" s="178"/>
      <c r="H9" s="184">
        <v>300.0</v>
      </c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0" t="s">
        <v>42</v>
      </c>
      <c r="B10" s="44">
        <v>45996.0</v>
      </c>
      <c r="C10" s="45" t="s">
        <v>91</v>
      </c>
      <c r="D10" s="46">
        <v>106337.0</v>
      </c>
      <c r="E10" s="142" t="s">
        <v>92</v>
      </c>
      <c r="F10" s="177">
        <v>7000.0</v>
      </c>
      <c r="G10" s="178"/>
      <c r="H10" s="179"/>
      <c r="I10" s="180"/>
      <c r="J10" s="181"/>
      <c r="K10" s="182" t="s">
        <v>18</v>
      </c>
      <c r="L10" s="98"/>
      <c r="M10" s="18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93</v>
      </c>
      <c r="B11" s="44">
        <v>45996.0</v>
      </c>
      <c r="C11" s="45" t="s">
        <v>94</v>
      </c>
      <c r="D11" s="46">
        <v>21828.0</v>
      </c>
      <c r="E11" s="142" t="s">
        <v>95</v>
      </c>
      <c r="F11" s="177">
        <v>10100.0</v>
      </c>
      <c r="G11" s="178"/>
      <c r="H11" s="179"/>
      <c r="I11" s="180"/>
      <c r="J11" s="181"/>
      <c r="K11" s="182" t="s">
        <v>18</v>
      </c>
      <c r="L11" s="98"/>
      <c r="M11" s="183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 t="s">
        <v>96</v>
      </c>
      <c r="B12" s="44">
        <v>45997.0</v>
      </c>
      <c r="C12" s="45" t="s">
        <v>97</v>
      </c>
      <c r="D12" s="46">
        <v>79965.0</v>
      </c>
      <c r="E12" s="142" t="s">
        <v>98</v>
      </c>
      <c r="F12" s="178"/>
      <c r="G12" s="178"/>
      <c r="H12" s="184">
        <v>1500.0</v>
      </c>
      <c r="I12" s="180"/>
      <c r="J12" s="181"/>
      <c r="K12" s="182" t="s">
        <v>18</v>
      </c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99</v>
      </c>
      <c r="B13" s="44">
        <v>45997.0</v>
      </c>
      <c r="C13" s="45" t="s">
        <v>100</v>
      </c>
      <c r="D13" s="46">
        <v>21821.0</v>
      </c>
      <c r="E13" s="142" t="s">
        <v>101</v>
      </c>
      <c r="F13" s="177">
        <v>1500.0</v>
      </c>
      <c r="G13" s="178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70" t="s">
        <v>102</v>
      </c>
      <c r="B14" s="44">
        <v>45997.0</v>
      </c>
      <c r="C14" s="45" t="s">
        <v>103</v>
      </c>
      <c r="D14" s="46">
        <v>47787.0</v>
      </c>
      <c r="E14" s="142" t="s">
        <v>104</v>
      </c>
      <c r="F14" s="177">
        <v>2400.0</v>
      </c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43" t="s">
        <v>106</v>
      </c>
      <c r="B15" s="44">
        <v>45997.0</v>
      </c>
      <c r="C15" s="45" t="s">
        <v>107</v>
      </c>
      <c r="D15" s="46">
        <v>35227.0</v>
      </c>
      <c r="E15" s="142" t="s">
        <v>108</v>
      </c>
      <c r="F15" s="178"/>
      <c r="G15" s="178"/>
      <c r="H15" s="184">
        <v>35.0</v>
      </c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70" t="s">
        <v>109</v>
      </c>
      <c r="B16" s="44">
        <v>45997.0</v>
      </c>
      <c r="C16" s="45" t="s">
        <v>110</v>
      </c>
      <c r="D16" s="46">
        <v>42095.0</v>
      </c>
      <c r="E16" s="142" t="s">
        <v>111</v>
      </c>
      <c r="F16" s="178"/>
      <c r="G16" s="178"/>
      <c r="H16" s="184">
        <v>300.0</v>
      </c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43" t="s">
        <v>112</v>
      </c>
      <c r="B17" s="44">
        <v>45997.0</v>
      </c>
      <c r="C17" s="45" t="s">
        <v>113</v>
      </c>
      <c r="D17" s="46">
        <v>10281.0</v>
      </c>
      <c r="E17" s="142" t="s">
        <v>114</v>
      </c>
      <c r="F17" s="178"/>
      <c r="G17" s="178"/>
      <c r="H17" s="184">
        <v>35.0</v>
      </c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70" t="s">
        <v>115</v>
      </c>
      <c r="B18" s="44">
        <v>45997.0</v>
      </c>
      <c r="C18" s="45" t="s">
        <v>116</v>
      </c>
      <c r="D18" s="46">
        <v>10281.0</v>
      </c>
      <c r="E18" s="142" t="s">
        <v>114</v>
      </c>
      <c r="F18" s="178"/>
      <c r="G18" s="178"/>
      <c r="H18" s="184">
        <v>37.0</v>
      </c>
      <c r="I18" s="180"/>
      <c r="J18" s="181"/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43" t="s">
        <v>117</v>
      </c>
      <c r="B19" s="44">
        <v>45997.0</v>
      </c>
      <c r="C19" s="45" t="s">
        <v>118</v>
      </c>
      <c r="D19" s="46">
        <v>30895.0</v>
      </c>
      <c r="E19" s="142" t="s">
        <v>119</v>
      </c>
      <c r="F19" s="177">
        <v>1900.0</v>
      </c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32500</v>
      </c>
      <c r="G21" s="66">
        <f t="shared" si="1"/>
        <v>0</v>
      </c>
      <c r="H21" s="66">
        <f t="shared" si="1"/>
        <v>2312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34812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89">
        <v>45998.0</v>
      </c>
      <c r="C4" s="18" t="s">
        <v>121</v>
      </c>
      <c r="D4" s="19">
        <v>45937.0</v>
      </c>
      <c r="E4" s="190" t="s">
        <v>122</v>
      </c>
      <c r="F4" s="191">
        <v>1450.0</v>
      </c>
      <c r="G4" s="192"/>
      <c r="H4" s="191"/>
      <c r="I4" s="193"/>
      <c r="J4" s="194"/>
      <c r="K4" s="26" t="s">
        <v>18</v>
      </c>
      <c r="L4" s="195" t="s">
        <v>123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89">
        <v>45998.0</v>
      </c>
      <c r="C5" s="18" t="s">
        <v>124</v>
      </c>
      <c r="D5" s="19">
        <v>106485.0</v>
      </c>
      <c r="E5" s="196" t="s">
        <v>125</v>
      </c>
      <c r="F5" s="197"/>
      <c r="G5" s="192"/>
      <c r="H5" s="191">
        <v>300.0</v>
      </c>
      <c r="I5" s="193"/>
      <c r="J5" s="198"/>
      <c r="K5" s="199" t="s">
        <v>18</v>
      </c>
      <c r="L5" s="195" t="s">
        <v>126</v>
      </c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44">
        <v>45998.0</v>
      </c>
      <c r="C6" s="45" t="s">
        <v>127</v>
      </c>
      <c r="D6" s="201">
        <v>64741.0</v>
      </c>
      <c r="E6" s="202" t="s">
        <v>128</v>
      </c>
      <c r="F6" s="203">
        <v>33300.0</v>
      </c>
      <c r="G6" s="192"/>
      <c r="H6" s="204"/>
      <c r="I6" s="180"/>
      <c r="J6" s="181"/>
      <c r="K6" s="182" t="s">
        <v>18</v>
      </c>
      <c r="L6" s="195" t="s">
        <v>129</v>
      </c>
      <c r="M6" s="20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44"/>
      <c r="C7" s="45"/>
      <c r="D7" s="46"/>
      <c r="E7" s="142"/>
      <c r="F7" s="177"/>
      <c r="G7" s="178"/>
      <c r="H7" s="179"/>
      <c r="I7" s="180"/>
      <c r="J7" s="181"/>
      <c r="K7" s="182"/>
      <c r="L7" s="98"/>
      <c r="M7" s="18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0"/>
      <c r="B8" s="44"/>
      <c r="C8" s="45"/>
      <c r="D8" s="46"/>
      <c r="E8" s="142"/>
      <c r="F8" s="177"/>
      <c r="G8" s="178"/>
      <c r="H8" s="179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 t="s">
        <v>38</v>
      </c>
      <c r="B9" s="44"/>
      <c r="C9" s="45"/>
      <c r="D9" s="46"/>
      <c r="E9" s="142"/>
      <c r="F9" s="178"/>
      <c r="G9" s="178"/>
      <c r="H9" s="184"/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0" t="s">
        <v>42</v>
      </c>
      <c r="B10" s="44"/>
      <c r="C10" s="45"/>
      <c r="D10" s="46"/>
      <c r="E10" s="142"/>
      <c r="F10" s="177"/>
      <c r="G10" s="178"/>
      <c r="H10" s="179"/>
      <c r="I10" s="180"/>
      <c r="J10" s="181"/>
      <c r="K10" s="182" t="s">
        <v>18</v>
      </c>
      <c r="L10" s="98"/>
      <c r="M10" s="18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93</v>
      </c>
      <c r="B11" s="44"/>
      <c r="C11" s="45"/>
      <c r="D11" s="46"/>
      <c r="E11" s="142"/>
      <c r="F11" s="177"/>
      <c r="G11" s="178"/>
      <c r="H11" s="179"/>
      <c r="I11" s="180"/>
      <c r="J11" s="181"/>
      <c r="K11" s="182" t="s">
        <v>18</v>
      </c>
      <c r="L11" s="98"/>
      <c r="M11" s="183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0" t="s">
        <v>96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99</v>
      </c>
      <c r="B13" s="44"/>
      <c r="C13" s="45"/>
      <c r="D13" s="46"/>
      <c r="E13" s="142"/>
      <c r="F13" s="177"/>
      <c r="G13" s="178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0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43" t="s">
        <v>106</v>
      </c>
      <c r="B15" s="44"/>
      <c r="C15" s="45"/>
      <c r="D15" s="46"/>
      <c r="E15" s="142"/>
      <c r="F15" s="178"/>
      <c r="G15" s="178"/>
      <c r="H15" s="184"/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0" t="s">
        <v>109</v>
      </c>
      <c r="B16" s="44"/>
      <c r="C16" s="45"/>
      <c r="D16" s="46"/>
      <c r="E16" s="142"/>
      <c r="F16" s="178"/>
      <c r="G16" s="178"/>
      <c r="H16" s="184"/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43" t="s">
        <v>112</v>
      </c>
      <c r="B17" s="44"/>
      <c r="C17" s="45"/>
      <c r="D17" s="46"/>
      <c r="E17" s="142"/>
      <c r="F17" s="178"/>
      <c r="G17" s="178"/>
      <c r="H17" s="184"/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0" t="s">
        <v>115</v>
      </c>
      <c r="B18" s="44"/>
      <c r="C18" s="45"/>
      <c r="D18" s="46"/>
      <c r="E18" s="142"/>
      <c r="F18" s="178"/>
      <c r="G18" s="178"/>
      <c r="H18" s="184"/>
      <c r="I18" s="180"/>
      <c r="J18" s="181"/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43" t="s">
        <v>117</v>
      </c>
      <c r="B19" s="44"/>
      <c r="C19" s="45"/>
      <c r="D19" s="46"/>
      <c r="E19" s="142"/>
      <c r="F19" s="177"/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34750</v>
      </c>
      <c r="G21" s="66">
        <f t="shared" si="1"/>
        <v>0</v>
      </c>
      <c r="H21" s="66">
        <f t="shared" si="1"/>
        <v>300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35050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89">
        <v>45999.0</v>
      </c>
      <c r="C4" s="18" t="s">
        <v>131</v>
      </c>
      <c r="D4" s="19">
        <v>22341.0</v>
      </c>
      <c r="E4" s="190" t="s">
        <v>132</v>
      </c>
      <c r="F4" s="191"/>
      <c r="G4" s="192"/>
      <c r="H4" s="191">
        <v>35.0</v>
      </c>
      <c r="I4" s="193"/>
      <c r="J4" s="194"/>
      <c r="K4" s="26" t="s">
        <v>18</v>
      </c>
      <c r="L4" s="195" t="s">
        <v>133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89">
        <v>45999.0</v>
      </c>
      <c r="C5" s="18" t="s">
        <v>134</v>
      </c>
      <c r="D5" s="19">
        <v>95495.0</v>
      </c>
      <c r="E5" s="196" t="s">
        <v>135</v>
      </c>
      <c r="F5" s="197"/>
      <c r="G5" s="192"/>
      <c r="H5" s="191">
        <v>5850.0</v>
      </c>
      <c r="I5" s="193"/>
      <c r="J5" s="198"/>
      <c r="K5" s="199" t="s">
        <v>18</v>
      </c>
      <c r="L5" s="195">
        <v>11.54</v>
      </c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44">
        <v>45999.0</v>
      </c>
      <c r="C6" s="45" t="s">
        <v>136</v>
      </c>
      <c r="D6" s="201">
        <v>51782.0</v>
      </c>
      <c r="E6" s="202" t="s">
        <v>137</v>
      </c>
      <c r="F6" s="203">
        <v>2800.0</v>
      </c>
      <c r="G6" s="192"/>
      <c r="H6" s="204"/>
      <c r="I6" s="180"/>
      <c r="J6" s="181"/>
      <c r="K6" s="182" t="s">
        <v>18</v>
      </c>
      <c r="L6" s="195">
        <v>12.4</v>
      </c>
      <c r="M6" s="200" t="s">
        <v>105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3" t="s">
        <v>30</v>
      </c>
      <c r="B7" s="44">
        <v>45999.0</v>
      </c>
      <c r="C7" s="45" t="s">
        <v>138</v>
      </c>
      <c r="D7" s="46">
        <v>106562.0</v>
      </c>
      <c r="E7" s="142" t="s">
        <v>139</v>
      </c>
      <c r="F7" s="177"/>
      <c r="G7" s="178"/>
      <c r="H7" s="184">
        <v>300.0</v>
      </c>
      <c r="I7" s="180"/>
      <c r="J7" s="181"/>
      <c r="K7" s="182"/>
      <c r="L7" s="53">
        <v>14.32</v>
      </c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>
        <v>45999.0</v>
      </c>
      <c r="C8" s="45" t="s">
        <v>140</v>
      </c>
      <c r="D8" s="46">
        <v>106563.0</v>
      </c>
      <c r="E8" s="142" t="s">
        <v>141</v>
      </c>
      <c r="F8" s="177">
        <v>2100.0</v>
      </c>
      <c r="G8" s="178"/>
      <c r="H8" s="179"/>
      <c r="I8" s="180"/>
      <c r="J8" s="181"/>
      <c r="K8" s="182"/>
      <c r="L8" s="53">
        <v>15.28</v>
      </c>
      <c r="M8" s="183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 t="s">
        <v>38</v>
      </c>
      <c r="B9" s="44"/>
      <c r="C9" s="45"/>
      <c r="D9" s="46"/>
      <c r="E9" s="142"/>
      <c r="F9" s="178"/>
      <c r="G9" s="178"/>
      <c r="H9" s="184"/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0" t="s">
        <v>42</v>
      </c>
      <c r="B10" s="44"/>
      <c r="C10" s="45"/>
      <c r="D10" s="46"/>
      <c r="E10" s="142"/>
      <c r="F10" s="177"/>
      <c r="G10" s="178"/>
      <c r="H10" s="179"/>
      <c r="I10" s="180"/>
      <c r="J10" s="181"/>
      <c r="K10" s="182" t="s">
        <v>18</v>
      </c>
      <c r="L10" s="98"/>
      <c r="M10" s="18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93</v>
      </c>
      <c r="B11" s="44"/>
      <c r="C11" s="45"/>
      <c r="D11" s="46"/>
      <c r="E11" s="142"/>
      <c r="F11" s="177"/>
      <c r="G11" s="178"/>
      <c r="H11" s="179"/>
      <c r="I11" s="180"/>
      <c r="J11" s="181"/>
      <c r="K11" s="182" t="s">
        <v>18</v>
      </c>
      <c r="L11" s="98"/>
      <c r="M11" s="183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0" t="s">
        <v>96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99</v>
      </c>
      <c r="B13" s="44"/>
      <c r="C13" s="45"/>
      <c r="D13" s="46"/>
      <c r="E13" s="142"/>
      <c r="F13" s="177"/>
      <c r="G13" s="178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0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43" t="s">
        <v>106</v>
      </c>
      <c r="B15" s="44"/>
      <c r="C15" s="45"/>
      <c r="D15" s="46"/>
      <c r="E15" s="142"/>
      <c r="F15" s="178"/>
      <c r="G15" s="178"/>
      <c r="H15" s="184"/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0" t="s">
        <v>109</v>
      </c>
      <c r="B16" s="44"/>
      <c r="C16" s="45"/>
      <c r="D16" s="46"/>
      <c r="E16" s="142"/>
      <c r="F16" s="178"/>
      <c r="G16" s="178"/>
      <c r="H16" s="184"/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43" t="s">
        <v>112</v>
      </c>
      <c r="B17" s="44"/>
      <c r="C17" s="45"/>
      <c r="D17" s="46"/>
      <c r="E17" s="142"/>
      <c r="F17" s="178"/>
      <c r="G17" s="178"/>
      <c r="H17" s="184"/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0" t="s">
        <v>115</v>
      </c>
      <c r="B18" s="44"/>
      <c r="C18" s="45"/>
      <c r="D18" s="46"/>
      <c r="E18" s="142"/>
      <c r="F18" s="178"/>
      <c r="G18" s="178"/>
      <c r="H18" s="184"/>
      <c r="I18" s="180"/>
      <c r="J18" s="181"/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43" t="s">
        <v>117</v>
      </c>
      <c r="B19" s="44"/>
      <c r="C19" s="45"/>
      <c r="D19" s="46"/>
      <c r="E19" s="142"/>
      <c r="F19" s="177"/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4900</v>
      </c>
      <c r="G21" s="66">
        <f t="shared" si="1"/>
        <v>0</v>
      </c>
      <c r="H21" s="66">
        <f t="shared" si="1"/>
        <v>6185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11085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206">
        <v>45881.0</v>
      </c>
      <c r="C4" s="207" t="s">
        <v>143</v>
      </c>
      <c r="D4" s="208">
        <v>10006.0</v>
      </c>
      <c r="E4" s="209" t="s">
        <v>44</v>
      </c>
      <c r="F4" s="210">
        <v>2400.0</v>
      </c>
      <c r="G4" s="192"/>
      <c r="H4" s="210"/>
      <c r="I4" s="211"/>
      <c r="J4" s="212"/>
      <c r="K4" s="213" t="s">
        <v>18</v>
      </c>
      <c r="L4" s="214" t="s">
        <v>133</v>
      </c>
      <c r="M4" s="215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06">
        <v>45912.0</v>
      </c>
      <c r="C5" s="207" t="s">
        <v>144</v>
      </c>
      <c r="D5" s="208">
        <v>27880.0</v>
      </c>
      <c r="E5" s="216" t="s">
        <v>145</v>
      </c>
      <c r="F5" s="210">
        <v>4500.0</v>
      </c>
      <c r="G5" s="192"/>
      <c r="H5" s="210"/>
      <c r="I5" s="211"/>
      <c r="J5" s="217"/>
      <c r="K5" s="218" t="s">
        <v>18</v>
      </c>
      <c r="L5" s="214">
        <v>11.54</v>
      </c>
      <c r="M5" s="219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220">
        <v>45912.0</v>
      </c>
      <c r="C6" s="221" t="s">
        <v>146</v>
      </c>
      <c r="D6" s="222">
        <v>27880.0</v>
      </c>
      <c r="E6" s="223" t="s">
        <v>145</v>
      </c>
      <c r="F6" s="177">
        <v>4750.0</v>
      </c>
      <c r="G6" s="192"/>
      <c r="H6" s="204"/>
      <c r="I6" s="180"/>
      <c r="J6" s="187"/>
      <c r="K6" s="224" t="s">
        <v>18</v>
      </c>
      <c r="L6" s="214">
        <v>12.4</v>
      </c>
      <c r="M6" s="219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3" t="s">
        <v>30</v>
      </c>
      <c r="B7" s="220">
        <v>46000.0</v>
      </c>
      <c r="C7" s="221" t="s">
        <v>147</v>
      </c>
      <c r="D7" s="225">
        <v>90030.0</v>
      </c>
      <c r="E7" s="226" t="s">
        <v>148</v>
      </c>
      <c r="F7" s="177"/>
      <c r="G7" s="178"/>
      <c r="H7" s="184">
        <v>3600.0</v>
      </c>
      <c r="I7" s="180"/>
      <c r="J7" s="187"/>
      <c r="K7" s="224" t="s">
        <v>18</v>
      </c>
      <c r="L7" s="53">
        <v>14.32</v>
      </c>
      <c r="M7" s="22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220">
        <v>45912.0</v>
      </c>
      <c r="C8" s="221" t="s">
        <v>149</v>
      </c>
      <c r="D8" s="225">
        <v>72839.0</v>
      </c>
      <c r="E8" s="226" t="s">
        <v>90</v>
      </c>
      <c r="F8" s="177">
        <v>4500.0</v>
      </c>
      <c r="G8" s="178"/>
      <c r="H8" s="179"/>
      <c r="I8" s="180"/>
      <c r="J8" s="187"/>
      <c r="K8" s="224" t="s">
        <v>18</v>
      </c>
      <c r="L8" s="53">
        <v>15.28</v>
      </c>
      <c r="M8" s="22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 t="s">
        <v>38</v>
      </c>
      <c r="B9" s="44">
        <v>45912.0</v>
      </c>
      <c r="C9" s="45" t="s">
        <v>150</v>
      </c>
      <c r="D9" s="46">
        <v>72839.0</v>
      </c>
      <c r="E9" s="142" t="s">
        <v>90</v>
      </c>
      <c r="F9" s="177">
        <v>5000.0</v>
      </c>
      <c r="G9" s="178"/>
      <c r="H9" s="184"/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0" t="s">
        <v>42</v>
      </c>
      <c r="B10" s="44">
        <v>45912.0</v>
      </c>
      <c r="C10" s="45" t="s">
        <v>151</v>
      </c>
      <c r="D10" s="46">
        <v>106810.0</v>
      </c>
      <c r="E10" s="142" t="s">
        <v>152</v>
      </c>
      <c r="F10" s="177"/>
      <c r="G10" s="178"/>
      <c r="H10" s="179"/>
      <c r="I10" s="180"/>
      <c r="J10" s="181"/>
      <c r="K10" s="182" t="s">
        <v>18</v>
      </c>
      <c r="L10" s="98"/>
      <c r="M10" s="18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93</v>
      </c>
      <c r="B11" s="44"/>
      <c r="C11" s="45"/>
      <c r="D11" s="46"/>
      <c r="E11" s="142"/>
      <c r="F11" s="177"/>
      <c r="G11" s="178"/>
      <c r="H11" s="179"/>
      <c r="I11" s="180"/>
      <c r="J11" s="181"/>
      <c r="K11" s="182" t="s">
        <v>18</v>
      </c>
      <c r="L11" s="98"/>
      <c r="M11" s="183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0" t="s">
        <v>96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99</v>
      </c>
      <c r="B13" s="44"/>
      <c r="C13" s="45"/>
      <c r="D13" s="46"/>
      <c r="E13" s="142"/>
      <c r="F13" s="177"/>
      <c r="G13" s="178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0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43" t="s">
        <v>106</v>
      </c>
      <c r="B15" s="44"/>
      <c r="C15" s="45"/>
      <c r="D15" s="46"/>
      <c r="E15" s="142"/>
      <c r="F15" s="178"/>
      <c r="G15" s="178"/>
      <c r="H15" s="184"/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0" t="s">
        <v>109</v>
      </c>
      <c r="B16" s="44"/>
      <c r="C16" s="45"/>
      <c r="D16" s="46"/>
      <c r="E16" s="142"/>
      <c r="F16" s="178"/>
      <c r="G16" s="178"/>
      <c r="H16" s="184"/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43" t="s">
        <v>112</v>
      </c>
      <c r="B17" s="44"/>
      <c r="C17" s="45"/>
      <c r="D17" s="46"/>
      <c r="E17" s="142"/>
      <c r="F17" s="178"/>
      <c r="G17" s="178"/>
      <c r="H17" s="184"/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0" t="s">
        <v>115</v>
      </c>
      <c r="B18" s="44"/>
      <c r="C18" s="45"/>
      <c r="D18" s="46"/>
      <c r="E18" s="142"/>
      <c r="F18" s="178"/>
      <c r="G18" s="178"/>
      <c r="H18" s="184"/>
      <c r="I18" s="180"/>
      <c r="J18" s="181"/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43" t="s">
        <v>117</v>
      </c>
      <c r="B19" s="44"/>
      <c r="C19" s="45"/>
      <c r="D19" s="46"/>
      <c r="E19" s="142"/>
      <c r="F19" s="177"/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21150</v>
      </c>
      <c r="G21" s="66">
        <f t="shared" si="1"/>
        <v>0</v>
      </c>
      <c r="H21" s="66">
        <f t="shared" si="1"/>
        <v>3600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24750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89">
        <v>45912.0</v>
      </c>
      <c r="C4" s="18" t="s">
        <v>154</v>
      </c>
      <c r="D4" s="19">
        <v>106942.0</v>
      </c>
      <c r="E4" s="190" t="s">
        <v>155</v>
      </c>
      <c r="F4" s="191"/>
      <c r="G4" s="192"/>
      <c r="H4" s="191">
        <v>300.0</v>
      </c>
      <c r="I4" s="193"/>
      <c r="J4" s="194"/>
      <c r="K4" s="182" t="s">
        <v>18</v>
      </c>
      <c r="L4" s="195" t="s">
        <v>133</v>
      </c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89">
        <v>45942.0</v>
      </c>
      <c r="C5" s="18" t="s">
        <v>156</v>
      </c>
      <c r="D5" s="19">
        <v>72839.0</v>
      </c>
      <c r="E5" s="196" t="s">
        <v>90</v>
      </c>
      <c r="F5" s="191"/>
      <c r="G5" s="192"/>
      <c r="H5" s="191">
        <v>300.0</v>
      </c>
      <c r="I5" s="193"/>
      <c r="J5" s="198"/>
      <c r="K5" s="182" t="s">
        <v>18</v>
      </c>
      <c r="L5" s="195">
        <v>11.54</v>
      </c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44">
        <v>45942.0</v>
      </c>
      <c r="C6" s="45" t="s">
        <v>157</v>
      </c>
      <c r="D6" s="201">
        <v>107124.0</v>
      </c>
      <c r="E6" s="202" t="s">
        <v>158</v>
      </c>
      <c r="F6" s="203">
        <v>7000.0</v>
      </c>
      <c r="G6" s="192"/>
      <c r="H6" s="204"/>
      <c r="I6" s="180"/>
      <c r="J6" s="181"/>
      <c r="K6" s="182" t="s">
        <v>18</v>
      </c>
      <c r="L6" s="195">
        <v>12.4</v>
      </c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3" t="s">
        <v>30</v>
      </c>
      <c r="B7" s="44">
        <v>45973.0</v>
      </c>
      <c r="C7" s="45" t="s">
        <v>159</v>
      </c>
      <c r="D7" s="46">
        <v>72839.0</v>
      </c>
      <c r="E7" s="142" t="s">
        <v>90</v>
      </c>
      <c r="F7" s="203">
        <v>10000.0</v>
      </c>
      <c r="G7" s="228"/>
      <c r="H7" s="229"/>
      <c r="I7" s="180"/>
      <c r="J7" s="181"/>
      <c r="K7" s="182" t="s">
        <v>18</v>
      </c>
      <c r="L7" s="53">
        <v>14.32</v>
      </c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>
        <v>45973.0</v>
      </c>
      <c r="C8" s="45" t="s">
        <v>160</v>
      </c>
      <c r="D8" s="46">
        <v>97731.0</v>
      </c>
      <c r="E8" s="142" t="s">
        <v>161</v>
      </c>
      <c r="F8" s="203">
        <v>300.0</v>
      </c>
      <c r="G8" s="228"/>
      <c r="H8" s="230"/>
      <c r="I8" s="180"/>
      <c r="J8" s="181"/>
      <c r="K8" s="182" t="s">
        <v>18</v>
      </c>
      <c r="L8" s="53">
        <v>15.28</v>
      </c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38</v>
      </c>
      <c r="B9" s="44">
        <v>45973.0</v>
      </c>
      <c r="C9" s="45" t="s">
        <v>162</v>
      </c>
      <c r="D9" s="46">
        <v>97731.0</v>
      </c>
      <c r="E9" s="142" t="s">
        <v>161</v>
      </c>
      <c r="F9" s="177">
        <v>300.0</v>
      </c>
      <c r="G9" s="178"/>
      <c r="H9" s="184"/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0" t="s">
        <v>42</v>
      </c>
      <c r="B10" s="44">
        <v>45973.0</v>
      </c>
      <c r="C10" s="45" t="s">
        <v>163</v>
      </c>
      <c r="D10" s="46">
        <v>97731.0</v>
      </c>
      <c r="E10" s="142" t="s">
        <v>161</v>
      </c>
      <c r="F10" s="177">
        <v>300.0</v>
      </c>
      <c r="G10" s="178"/>
      <c r="H10" s="179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93</v>
      </c>
      <c r="B11" s="44">
        <v>45973.0</v>
      </c>
      <c r="C11" s="45" t="s">
        <v>164</v>
      </c>
      <c r="D11" s="46">
        <v>97731.0</v>
      </c>
      <c r="E11" s="142" t="s">
        <v>161</v>
      </c>
      <c r="F11" s="177">
        <v>7750.0</v>
      </c>
      <c r="G11" s="178"/>
      <c r="H11" s="179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 t="s">
        <v>96</v>
      </c>
      <c r="B12" s="44">
        <v>46003.0</v>
      </c>
      <c r="C12" s="45" t="s">
        <v>165</v>
      </c>
      <c r="D12" s="46">
        <v>51166.0</v>
      </c>
      <c r="E12" s="142" t="s">
        <v>166</v>
      </c>
      <c r="F12" s="178"/>
      <c r="G12" s="178"/>
      <c r="H12" s="184">
        <v>4700.0</v>
      </c>
      <c r="I12" s="180"/>
      <c r="J12" s="181"/>
      <c r="K12" s="182" t="s">
        <v>18</v>
      </c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99</v>
      </c>
      <c r="B13" s="44">
        <v>46003.0</v>
      </c>
      <c r="C13" s="45" t="s">
        <v>167</v>
      </c>
      <c r="D13" s="46">
        <v>64741.0</v>
      </c>
      <c r="E13" s="142" t="s">
        <v>128</v>
      </c>
      <c r="F13" s="177">
        <v>1800.0</v>
      </c>
      <c r="G13" s="178"/>
      <c r="H13" s="179"/>
      <c r="I13" s="180"/>
      <c r="J13" s="181"/>
      <c r="K13" s="182" t="s">
        <v>18</v>
      </c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0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43" t="s">
        <v>106</v>
      </c>
      <c r="B15" s="44"/>
      <c r="C15" s="45"/>
      <c r="D15" s="46"/>
      <c r="E15" s="142"/>
      <c r="F15" s="178"/>
      <c r="G15" s="178"/>
      <c r="H15" s="184"/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0" t="s">
        <v>109</v>
      </c>
      <c r="B16" s="44"/>
      <c r="C16" s="45"/>
      <c r="D16" s="46"/>
      <c r="E16" s="142"/>
      <c r="F16" s="178"/>
      <c r="G16" s="178"/>
      <c r="H16" s="184"/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43" t="s">
        <v>112</v>
      </c>
      <c r="B17" s="44"/>
      <c r="C17" s="45"/>
      <c r="D17" s="46"/>
      <c r="E17" s="142"/>
      <c r="F17" s="178"/>
      <c r="G17" s="178"/>
      <c r="H17" s="184"/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0" t="s">
        <v>115</v>
      </c>
      <c r="B18" s="44"/>
      <c r="C18" s="45"/>
      <c r="D18" s="46"/>
      <c r="E18" s="142"/>
      <c r="F18" s="178"/>
      <c r="G18" s="178"/>
      <c r="H18" s="184"/>
      <c r="I18" s="180"/>
      <c r="J18" s="181"/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43" t="s">
        <v>117</v>
      </c>
      <c r="B19" s="44"/>
      <c r="C19" s="45"/>
      <c r="D19" s="46"/>
      <c r="E19" s="142"/>
      <c r="F19" s="177"/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27450</v>
      </c>
      <c r="G21" s="66">
        <f t="shared" si="1"/>
        <v>0</v>
      </c>
      <c r="H21" s="66">
        <f t="shared" si="1"/>
        <v>5300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32750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89">
        <v>46003.0</v>
      </c>
      <c r="C4" s="18" t="s">
        <v>169</v>
      </c>
      <c r="D4" s="19">
        <v>107334.0</v>
      </c>
      <c r="E4" s="190" t="s">
        <v>170</v>
      </c>
      <c r="F4" s="191"/>
      <c r="G4" s="192"/>
      <c r="H4" s="191">
        <v>300.0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31" t="s">
        <v>171</v>
      </c>
      <c r="C5" s="18" t="s">
        <v>172</v>
      </c>
      <c r="D5" s="19">
        <v>52669.0</v>
      </c>
      <c r="E5" s="196" t="s">
        <v>69</v>
      </c>
      <c r="F5" s="191">
        <v>3600.0</v>
      </c>
      <c r="G5" s="192"/>
      <c r="H5" s="191"/>
      <c r="I5" s="193"/>
      <c r="J5" s="198"/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44">
        <v>46004.0</v>
      </c>
      <c r="C6" s="45" t="s">
        <v>173</v>
      </c>
      <c r="D6" s="201">
        <v>47787.0</v>
      </c>
      <c r="E6" s="202" t="s">
        <v>104</v>
      </c>
      <c r="F6" s="203">
        <v>10000.0</v>
      </c>
      <c r="G6" s="192"/>
      <c r="H6" s="204"/>
      <c r="I6" s="180"/>
      <c r="J6" s="181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3" t="s">
        <v>30</v>
      </c>
      <c r="B7" s="232" t="s">
        <v>171</v>
      </c>
      <c r="C7" s="45" t="s">
        <v>174</v>
      </c>
      <c r="D7" s="46">
        <v>64741.0</v>
      </c>
      <c r="E7" s="142" t="s">
        <v>128</v>
      </c>
      <c r="F7" s="203">
        <v>169000.0</v>
      </c>
      <c r="G7" s="228"/>
      <c r="H7" s="229"/>
      <c r="I7" s="180"/>
      <c r="J7" s="181"/>
      <c r="K7" s="182" t="s">
        <v>18</v>
      </c>
      <c r="L7" s="53"/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232" t="s">
        <v>171</v>
      </c>
      <c r="C8" s="45" t="s">
        <v>175</v>
      </c>
      <c r="D8" s="46">
        <v>21828.0</v>
      </c>
      <c r="E8" s="142" t="s">
        <v>95</v>
      </c>
      <c r="F8" s="203">
        <v>5100.0</v>
      </c>
      <c r="G8" s="228"/>
      <c r="H8" s="230"/>
      <c r="I8" s="180"/>
      <c r="J8" s="181"/>
      <c r="K8" s="182" t="s">
        <v>18</v>
      </c>
      <c r="L8" s="53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38</v>
      </c>
      <c r="B9" s="232" t="s">
        <v>171</v>
      </c>
      <c r="C9" s="45" t="s">
        <v>176</v>
      </c>
      <c r="D9" s="46">
        <v>47787.0</v>
      </c>
      <c r="E9" s="142" t="s">
        <v>104</v>
      </c>
      <c r="F9" s="177">
        <v>350.0</v>
      </c>
      <c r="G9" s="178"/>
      <c r="H9" s="184"/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0" t="s">
        <v>42</v>
      </c>
      <c r="B10" s="232" t="s">
        <v>171</v>
      </c>
      <c r="C10" s="45" t="s">
        <v>177</v>
      </c>
      <c r="D10" s="46">
        <v>83352.0</v>
      </c>
      <c r="E10" s="142" t="s">
        <v>178</v>
      </c>
      <c r="F10" s="177">
        <v>25000.0</v>
      </c>
      <c r="G10" s="178"/>
      <c r="H10" s="179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93</v>
      </c>
      <c r="B11" s="232" t="s">
        <v>171</v>
      </c>
      <c r="C11" s="45" t="s">
        <v>179</v>
      </c>
      <c r="D11" s="46">
        <v>88316.0</v>
      </c>
      <c r="E11" s="142" t="s">
        <v>180</v>
      </c>
      <c r="F11" s="177">
        <v>17000.0</v>
      </c>
      <c r="G11" s="178"/>
      <c r="H11" s="179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 t="s">
        <v>96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/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99</v>
      </c>
      <c r="B13" s="44"/>
      <c r="C13" s="45"/>
      <c r="D13" s="46"/>
      <c r="E13" s="142"/>
      <c r="F13" s="177"/>
      <c r="G13" s="178"/>
      <c r="H13" s="179"/>
      <c r="I13" s="180"/>
      <c r="J13" s="181"/>
      <c r="K13" s="182"/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0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43" t="s">
        <v>106</v>
      </c>
      <c r="B15" s="44"/>
      <c r="C15" s="45"/>
      <c r="D15" s="46"/>
      <c r="E15" s="142"/>
      <c r="F15" s="178"/>
      <c r="G15" s="178"/>
      <c r="H15" s="184"/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0" t="s">
        <v>109</v>
      </c>
      <c r="B16" s="44"/>
      <c r="C16" s="45"/>
      <c r="D16" s="46"/>
      <c r="E16" s="142"/>
      <c r="F16" s="178"/>
      <c r="G16" s="178"/>
      <c r="H16" s="184"/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43" t="s">
        <v>112</v>
      </c>
      <c r="B17" s="44"/>
      <c r="C17" s="45"/>
      <c r="D17" s="46"/>
      <c r="E17" s="142"/>
      <c r="F17" s="178"/>
      <c r="G17" s="178"/>
      <c r="H17" s="184"/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0" t="s">
        <v>115</v>
      </c>
      <c r="B18" s="44"/>
      <c r="C18" s="45"/>
      <c r="D18" s="46"/>
      <c r="E18" s="142"/>
      <c r="F18" s="178"/>
      <c r="G18" s="178"/>
      <c r="H18" s="184"/>
      <c r="I18" s="180"/>
      <c r="J18" s="181"/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43" t="s">
        <v>117</v>
      </c>
      <c r="B19" s="44"/>
      <c r="C19" s="45"/>
      <c r="D19" s="46"/>
      <c r="E19" s="142"/>
      <c r="F19" s="177"/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230050</v>
      </c>
      <c r="G21" s="66">
        <f t="shared" si="1"/>
        <v>0</v>
      </c>
      <c r="H21" s="66">
        <f t="shared" si="1"/>
        <v>300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230350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231" t="s">
        <v>182</v>
      </c>
      <c r="C4" s="18" t="s">
        <v>183</v>
      </c>
      <c r="D4" s="19">
        <v>107551.0</v>
      </c>
      <c r="E4" s="190" t="s">
        <v>184</v>
      </c>
      <c r="F4" s="191"/>
      <c r="G4" s="192"/>
      <c r="H4" s="191">
        <v>300.0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33">
        <v>46005.0</v>
      </c>
      <c r="C5" s="18" t="s">
        <v>185</v>
      </c>
      <c r="D5" s="19">
        <v>35245.0</v>
      </c>
      <c r="E5" s="196" t="s">
        <v>186</v>
      </c>
      <c r="F5" s="191"/>
      <c r="G5" s="192"/>
      <c r="H5" s="191"/>
      <c r="I5" s="193"/>
      <c r="J5" s="234">
        <v>72.0</v>
      </c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232" t="s">
        <v>182</v>
      </c>
      <c r="C6" s="45" t="s">
        <v>187</v>
      </c>
      <c r="D6" s="201">
        <v>12217.0</v>
      </c>
      <c r="E6" s="202" t="s">
        <v>188</v>
      </c>
      <c r="F6" s="203"/>
      <c r="G6" s="192"/>
      <c r="H6" s="204"/>
      <c r="I6" s="180"/>
      <c r="J6" s="235">
        <v>177.0</v>
      </c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3" t="s">
        <v>30</v>
      </c>
      <c r="B7" s="232" t="s">
        <v>182</v>
      </c>
      <c r="C7" s="45" t="s">
        <v>189</v>
      </c>
      <c r="D7" s="46">
        <v>80402.0</v>
      </c>
      <c r="E7" s="142" t="s">
        <v>190</v>
      </c>
      <c r="F7" s="203"/>
      <c r="G7" s="228"/>
      <c r="H7" s="229"/>
      <c r="I7" s="180"/>
      <c r="J7" s="235">
        <v>276.0</v>
      </c>
      <c r="K7" s="182" t="s">
        <v>18</v>
      </c>
      <c r="L7" s="53"/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232"/>
      <c r="C8" s="45"/>
      <c r="D8" s="46"/>
      <c r="E8" s="142"/>
      <c r="F8" s="203"/>
      <c r="G8" s="228"/>
      <c r="H8" s="230"/>
      <c r="I8" s="180"/>
      <c r="J8" s="181"/>
      <c r="K8" s="182" t="s">
        <v>18</v>
      </c>
      <c r="L8" s="53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38</v>
      </c>
      <c r="B9" s="232"/>
      <c r="C9" s="45"/>
      <c r="D9" s="46"/>
      <c r="E9" s="142"/>
      <c r="F9" s="177"/>
      <c r="G9" s="178"/>
      <c r="H9" s="184"/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0" t="s">
        <v>42</v>
      </c>
      <c r="B10" s="232"/>
      <c r="C10" s="45"/>
      <c r="D10" s="46"/>
      <c r="E10" s="142"/>
      <c r="F10" s="177"/>
      <c r="G10" s="178"/>
      <c r="H10" s="179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93</v>
      </c>
      <c r="B11" s="232"/>
      <c r="C11" s="45"/>
      <c r="D11" s="46"/>
      <c r="E11" s="142"/>
      <c r="F11" s="177"/>
      <c r="G11" s="178"/>
      <c r="H11" s="179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 t="s">
        <v>96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/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99</v>
      </c>
      <c r="B13" s="44"/>
      <c r="C13" s="45"/>
      <c r="D13" s="46"/>
      <c r="E13" s="142"/>
      <c r="F13" s="177"/>
      <c r="G13" s="178"/>
      <c r="H13" s="179"/>
      <c r="I13" s="180"/>
      <c r="J13" s="181"/>
      <c r="K13" s="182"/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0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43" t="s">
        <v>106</v>
      </c>
      <c r="B15" s="44"/>
      <c r="C15" s="45"/>
      <c r="D15" s="46"/>
      <c r="E15" s="142"/>
      <c r="F15" s="178"/>
      <c r="G15" s="178"/>
      <c r="H15" s="184"/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0" t="s">
        <v>109</v>
      </c>
      <c r="B16" s="44"/>
      <c r="C16" s="45"/>
      <c r="D16" s="46"/>
      <c r="E16" s="142"/>
      <c r="F16" s="178"/>
      <c r="G16" s="178"/>
      <c r="H16" s="184"/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43" t="s">
        <v>112</v>
      </c>
      <c r="B17" s="44"/>
      <c r="C17" s="45"/>
      <c r="D17" s="46"/>
      <c r="E17" s="142"/>
      <c r="F17" s="178"/>
      <c r="G17" s="178"/>
      <c r="H17" s="184"/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0" t="s">
        <v>115</v>
      </c>
      <c r="B18" s="232" t="s">
        <v>182</v>
      </c>
      <c r="C18" s="45" t="s">
        <v>189</v>
      </c>
      <c r="D18" s="46">
        <v>80402.0</v>
      </c>
      <c r="E18" s="142" t="s">
        <v>190</v>
      </c>
      <c r="F18" s="178"/>
      <c r="G18" s="178"/>
      <c r="H18" s="184"/>
      <c r="I18" s="180"/>
      <c r="J18" s="235">
        <v>276.0</v>
      </c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43" t="s">
        <v>117</v>
      </c>
      <c r="B19" s="44"/>
      <c r="C19" s="45"/>
      <c r="D19" s="46"/>
      <c r="E19" s="142"/>
      <c r="F19" s="177"/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0</v>
      </c>
      <c r="G21" s="66">
        <f t="shared" si="1"/>
        <v>0</v>
      </c>
      <c r="H21" s="66">
        <f t="shared" si="1"/>
        <v>300</v>
      </c>
      <c r="I21" s="66">
        <f t="shared" si="1"/>
        <v>0</v>
      </c>
      <c r="J21" s="66">
        <f t="shared" si="1"/>
        <v>801</v>
      </c>
      <c r="K21" s="67"/>
      <c r="L21" s="67"/>
      <c r="M21" s="68"/>
    </row>
    <row r="22" ht="48.0" customHeight="1">
      <c r="F22" s="69">
        <f>F21+G21+H21+I21+J21</f>
        <v>1101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46005.0</v>
      </c>
      <c r="C4" s="18" t="s">
        <v>192</v>
      </c>
      <c r="D4" s="19">
        <v>106403.0</v>
      </c>
      <c r="E4" s="190" t="s">
        <v>193</v>
      </c>
      <c r="F4" s="191"/>
      <c r="G4" s="192"/>
      <c r="H4" s="191">
        <v>4000.0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33">
        <v>46006.0</v>
      </c>
      <c r="C5" s="18" t="s">
        <v>194</v>
      </c>
      <c r="D5" s="19">
        <v>43380.0</v>
      </c>
      <c r="E5" s="196" t="s">
        <v>195</v>
      </c>
      <c r="F5" s="191">
        <v>9500.0</v>
      </c>
      <c r="G5" s="192"/>
      <c r="H5" s="191"/>
      <c r="I5" s="193"/>
      <c r="J5" s="234"/>
      <c r="K5" s="182" t="s">
        <v>18</v>
      </c>
      <c r="L5" s="195"/>
      <c r="M5" s="200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 t="s">
        <v>26</v>
      </c>
      <c r="B6" s="44">
        <v>46006.0</v>
      </c>
      <c r="C6" s="45" t="s">
        <v>196</v>
      </c>
      <c r="D6" s="201">
        <v>50342.0</v>
      </c>
      <c r="E6" s="202" t="s">
        <v>197</v>
      </c>
      <c r="F6" s="203"/>
      <c r="G6" s="236">
        <v>25000.0</v>
      </c>
      <c r="H6" s="204"/>
      <c r="I6" s="180"/>
      <c r="J6" s="235"/>
      <c r="K6" s="182" t="s">
        <v>18</v>
      </c>
      <c r="L6" s="195"/>
      <c r="M6" s="20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43" t="s">
        <v>30</v>
      </c>
      <c r="B7" s="44">
        <v>46006.0</v>
      </c>
      <c r="C7" s="45" t="s">
        <v>198</v>
      </c>
      <c r="D7" s="46">
        <v>56747.0</v>
      </c>
      <c r="E7" s="142" t="s">
        <v>199</v>
      </c>
      <c r="F7" s="203"/>
      <c r="G7" s="228"/>
      <c r="H7" s="229">
        <v>131.0</v>
      </c>
      <c r="I7" s="180"/>
      <c r="J7" s="235"/>
      <c r="K7" s="182" t="s">
        <v>18</v>
      </c>
      <c r="L7" s="53"/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>
        <v>46006.0</v>
      </c>
      <c r="C8" s="45" t="s">
        <v>200</v>
      </c>
      <c r="D8" s="46">
        <v>62538.0</v>
      </c>
      <c r="E8" s="142" t="s">
        <v>201</v>
      </c>
      <c r="F8" s="203"/>
      <c r="G8" s="228"/>
      <c r="H8" s="229">
        <v>290.0</v>
      </c>
      <c r="I8" s="180"/>
      <c r="J8" s="181"/>
      <c r="K8" s="182" t="s">
        <v>18</v>
      </c>
      <c r="L8" s="53"/>
      <c r="M8" s="183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38</v>
      </c>
      <c r="B9" s="44">
        <v>46006.0</v>
      </c>
      <c r="C9" s="45" t="s">
        <v>202</v>
      </c>
      <c r="D9" s="46">
        <v>62538.0</v>
      </c>
      <c r="E9" s="142" t="s">
        <v>201</v>
      </c>
      <c r="F9" s="177"/>
      <c r="G9" s="178"/>
      <c r="H9" s="184">
        <v>4600.0</v>
      </c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0" t="s">
        <v>42</v>
      </c>
      <c r="B10" s="44">
        <v>46006.0</v>
      </c>
      <c r="C10" s="45" t="s">
        <v>203</v>
      </c>
      <c r="D10" s="46">
        <v>80402.0</v>
      </c>
      <c r="E10" s="142" t="s">
        <v>190</v>
      </c>
      <c r="F10" s="177"/>
      <c r="G10" s="178"/>
      <c r="H10" s="184">
        <v>276.0</v>
      </c>
      <c r="I10" s="180"/>
      <c r="J10" s="181"/>
      <c r="K10" s="182" t="s">
        <v>204</v>
      </c>
      <c r="L10" s="98"/>
      <c r="M10" s="183" t="s">
        <v>105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93</v>
      </c>
      <c r="B11" s="44">
        <v>46006.0</v>
      </c>
      <c r="C11" s="45" t="s">
        <v>205</v>
      </c>
      <c r="D11" s="46">
        <v>80259.0</v>
      </c>
      <c r="E11" s="237" t="s">
        <v>206</v>
      </c>
      <c r="F11" s="177">
        <v>3050.0</v>
      </c>
      <c r="G11" s="178"/>
      <c r="H11" s="179"/>
      <c r="I11" s="180"/>
      <c r="J11" s="181"/>
      <c r="K11" s="182" t="s">
        <v>18</v>
      </c>
      <c r="L11" s="98"/>
      <c r="M11" s="183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/>
      <c r="B12" s="44"/>
      <c r="C12" s="45"/>
      <c r="D12" s="46"/>
      <c r="E12" s="142"/>
      <c r="F12" s="178"/>
      <c r="G12" s="178"/>
      <c r="H12" s="184"/>
      <c r="I12" s="180"/>
      <c r="J12" s="181"/>
      <c r="K12" s="182"/>
      <c r="L12" s="98"/>
      <c r="M12" s="18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44"/>
      <c r="C13" s="45"/>
      <c r="D13" s="46"/>
      <c r="E13" s="142"/>
      <c r="F13" s="177"/>
      <c r="G13" s="178"/>
      <c r="H13" s="179"/>
      <c r="I13" s="180"/>
      <c r="J13" s="181"/>
      <c r="K13" s="182"/>
      <c r="L13" s="98"/>
      <c r="M13" s="183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0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43" t="s">
        <v>106</v>
      </c>
      <c r="B15" s="44"/>
      <c r="C15" s="45"/>
      <c r="D15" s="46"/>
      <c r="E15" s="142"/>
      <c r="F15" s="178"/>
      <c r="G15" s="178"/>
      <c r="H15" s="184"/>
      <c r="I15" s="180"/>
      <c r="J15" s="181"/>
      <c r="K15" s="182" t="s">
        <v>18</v>
      </c>
      <c r="L15" s="98"/>
      <c r="M15" s="183" t="s">
        <v>25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0" t="s">
        <v>109</v>
      </c>
      <c r="B16" s="44"/>
      <c r="C16" s="45"/>
      <c r="D16" s="46"/>
      <c r="E16" s="142"/>
      <c r="F16" s="178"/>
      <c r="G16" s="178"/>
      <c r="H16" s="184"/>
      <c r="I16" s="180"/>
      <c r="J16" s="181"/>
      <c r="K16" s="182" t="s">
        <v>18</v>
      </c>
      <c r="L16" s="98"/>
      <c r="M16" s="183" t="s">
        <v>25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43" t="s">
        <v>112</v>
      </c>
      <c r="B17" s="44"/>
      <c r="C17" s="45"/>
      <c r="D17" s="46"/>
      <c r="E17" s="142"/>
      <c r="F17" s="178"/>
      <c r="G17" s="178"/>
      <c r="H17" s="184"/>
      <c r="I17" s="180"/>
      <c r="J17" s="181"/>
      <c r="K17" s="182" t="s">
        <v>18</v>
      </c>
      <c r="L17" s="98"/>
      <c r="M17" s="183" t="s">
        <v>25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0" t="s">
        <v>115</v>
      </c>
      <c r="B18" s="232" t="s">
        <v>182</v>
      </c>
      <c r="C18" s="45" t="s">
        <v>189</v>
      </c>
      <c r="D18" s="46">
        <v>80402.0</v>
      </c>
      <c r="E18" s="142" t="s">
        <v>190</v>
      </c>
      <c r="F18" s="178"/>
      <c r="G18" s="178"/>
      <c r="H18" s="184"/>
      <c r="I18" s="180"/>
      <c r="J18" s="235">
        <v>276.0</v>
      </c>
      <c r="K18" s="182" t="s">
        <v>18</v>
      </c>
      <c r="L18" s="98"/>
      <c r="M18" s="183" t="s">
        <v>25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43" t="s">
        <v>117</v>
      </c>
      <c r="B19" s="44"/>
      <c r="C19" s="45"/>
      <c r="D19" s="46"/>
      <c r="E19" s="142"/>
      <c r="F19" s="177"/>
      <c r="G19" s="178"/>
      <c r="H19" s="179"/>
      <c r="I19" s="180"/>
      <c r="J19" s="181"/>
      <c r="K19" s="182" t="s">
        <v>18</v>
      </c>
      <c r="L19" s="98"/>
      <c r="M19" s="183" t="s">
        <v>20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12550</v>
      </c>
      <c r="G21" s="66">
        <f t="shared" si="1"/>
        <v>25000</v>
      </c>
      <c r="H21" s="66">
        <f t="shared" si="1"/>
        <v>9297</v>
      </c>
      <c r="I21" s="66">
        <f t="shared" si="1"/>
        <v>0</v>
      </c>
      <c r="J21" s="66">
        <f t="shared" si="1"/>
        <v>276</v>
      </c>
      <c r="K21" s="67"/>
      <c r="L21" s="67"/>
      <c r="M21" s="68"/>
    </row>
    <row r="22" ht="48.0" customHeight="1">
      <c r="F22" s="69">
        <f>F21+G21+H21+I21+J21</f>
        <v>47123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46007.0</v>
      </c>
      <c r="C4" s="18" t="s">
        <v>208</v>
      </c>
      <c r="D4" s="19">
        <v>81107.0</v>
      </c>
      <c r="E4" s="190" t="s">
        <v>209</v>
      </c>
      <c r="F4" s="191"/>
      <c r="G4" s="236">
        <v>1200.0</v>
      </c>
      <c r="H4" s="191"/>
      <c r="I4" s="193"/>
      <c r="J4" s="194"/>
      <c r="K4" s="182" t="s">
        <v>18</v>
      </c>
      <c r="L4" s="195" t="s">
        <v>210</v>
      </c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/>
      <c r="B5" s="233"/>
      <c r="C5" s="18"/>
      <c r="D5" s="19"/>
      <c r="E5" s="196"/>
      <c r="F5" s="191"/>
      <c r="G5" s="192"/>
      <c r="H5" s="191"/>
      <c r="I5" s="193"/>
      <c r="J5" s="234"/>
      <c r="K5" s="182"/>
      <c r="L5" s="195"/>
      <c r="M5" s="20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0"/>
      <c r="B6" s="44"/>
      <c r="C6" s="45"/>
      <c r="D6" s="201"/>
      <c r="E6" s="202"/>
      <c r="F6" s="203"/>
      <c r="G6" s="236"/>
      <c r="H6" s="204"/>
      <c r="I6" s="180"/>
      <c r="J6" s="235"/>
      <c r="K6" s="182"/>
      <c r="L6" s="195"/>
      <c r="M6" s="200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70"/>
      <c r="B7" s="44"/>
      <c r="C7" s="45"/>
      <c r="D7" s="46"/>
      <c r="E7" s="142"/>
      <c r="F7" s="178"/>
      <c r="G7" s="178"/>
      <c r="H7" s="184"/>
      <c r="I7" s="180"/>
      <c r="J7" s="181"/>
      <c r="K7" s="182"/>
      <c r="L7" s="98"/>
      <c r="M7" s="18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44"/>
      <c r="C8" s="45"/>
      <c r="D8" s="46"/>
      <c r="E8" s="142"/>
      <c r="F8" s="177"/>
      <c r="G8" s="178"/>
      <c r="H8" s="179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0" t="s">
        <v>102</v>
      </c>
      <c r="B9" s="44"/>
      <c r="C9" s="45"/>
      <c r="D9" s="46"/>
      <c r="E9" s="142"/>
      <c r="F9" s="177"/>
      <c r="G9" s="178"/>
      <c r="H9" s="179"/>
      <c r="I9" s="180"/>
      <c r="J9" s="181"/>
      <c r="K9" s="182" t="s">
        <v>18</v>
      </c>
      <c r="L9" s="98"/>
      <c r="M9" s="183" t="s">
        <v>105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43" t="s">
        <v>106</v>
      </c>
      <c r="B10" s="44"/>
      <c r="C10" s="45"/>
      <c r="D10" s="46"/>
      <c r="E10" s="142"/>
      <c r="F10" s="178"/>
      <c r="G10" s="178"/>
      <c r="H10" s="184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0" t="s">
        <v>109</v>
      </c>
      <c r="B11" s="44"/>
      <c r="C11" s="45"/>
      <c r="D11" s="46"/>
      <c r="E11" s="142"/>
      <c r="F11" s="178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43" t="s">
        <v>112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0" t="s">
        <v>115</v>
      </c>
      <c r="B13" s="232" t="s">
        <v>182</v>
      </c>
      <c r="C13" s="45" t="s">
        <v>189</v>
      </c>
      <c r="D13" s="46">
        <v>80402.0</v>
      </c>
      <c r="E13" s="142" t="s">
        <v>190</v>
      </c>
      <c r="F13" s="178"/>
      <c r="G13" s="178"/>
      <c r="H13" s="184"/>
      <c r="I13" s="180"/>
      <c r="J13" s="235">
        <v>276.0</v>
      </c>
      <c r="K13" s="182" t="s">
        <v>18</v>
      </c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43" t="s">
        <v>117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0</v>
      </c>
      <c r="G16" s="66">
        <f t="shared" si="1"/>
        <v>1200</v>
      </c>
      <c r="H16" s="66">
        <f t="shared" si="1"/>
        <v>0</v>
      </c>
      <c r="I16" s="66">
        <f t="shared" si="1"/>
        <v>0</v>
      </c>
      <c r="J16" s="66">
        <f t="shared" si="1"/>
        <v>276</v>
      </c>
      <c r="K16" s="67"/>
      <c r="L16" s="67"/>
      <c r="M16" s="68"/>
    </row>
    <row r="17" ht="48.0" customHeight="1">
      <c r="F17" s="69">
        <f>F16+G16+H16+I16+J16</f>
        <v>1476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46008.0</v>
      </c>
      <c r="C4" s="18" t="s">
        <v>212</v>
      </c>
      <c r="D4" s="19">
        <v>27880.0</v>
      </c>
      <c r="E4" s="190" t="s">
        <v>145</v>
      </c>
      <c r="F4" s="191">
        <v>4500.0</v>
      </c>
      <c r="G4" s="236"/>
      <c r="H4" s="191"/>
      <c r="I4" s="193"/>
      <c r="J4" s="194"/>
      <c r="K4" s="182" t="s">
        <v>18</v>
      </c>
      <c r="L4" s="195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46008.0</v>
      </c>
      <c r="C5" s="18" t="s">
        <v>213</v>
      </c>
      <c r="D5" s="19">
        <v>27880.0</v>
      </c>
      <c r="E5" s="196" t="s">
        <v>145</v>
      </c>
      <c r="F5" s="191">
        <v>6350.0</v>
      </c>
      <c r="G5" s="192"/>
      <c r="H5" s="191"/>
      <c r="I5" s="193"/>
      <c r="J5" s="234"/>
      <c r="K5" s="182" t="s">
        <v>18</v>
      </c>
      <c r="L5" s="195"/>
      <c r="M5" s="200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46008.0</v>
      </c>
      <c r="C6" s="45" t="s">
        <v>214</v>
      </c>
      <c r="D6" s="201">
        <v>43380.0</v>
      </c>
      <c r="E6" s="202" t="s">
        <v>195</v>
      </c>
      <c r="F6" s="203">
        <v>4600.0</v>
      </c>
      <c r="G6" s="236"/>
      <c r="H6" s="204"/>
      <c r="I6" s="180"/>
      <c r="J6" s="235"/>
      <c r="K6" s="182" t="s">
        <v>18</v>
      </c>
      <c r="L6" s="195"/>
      <c r="M6" s="20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46008.0</v>
      </c>
      <c r="C7" s="45" t="s">
        <v>215</v>
      </c>
      <c r="D7" s="46">
        <v>45937.0</v>
      </c>
      <c r="E7" s="142" t="s">
        <v>122</v>
      </c>
      <c r="F7" s="177">
        <v>5000.0</v>
      </c>
      <c r="G7" s="178"/>
      <c r="H7" s="184"/>
      <c r="I7" s="180"/>
      <c r="J7" s="181"/>
      <c r="K7" s="182" t="s">
        <v>18</v>
      </c>
      <c r="L7" s="98"/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44"/>
      <c r="C8" s="45"/>
      <c r="D8" s="46"/>
      <c r="E8" s="142"/>
      <c r="F8" s="177"/>
      <c r="G8" s="178"/>
      <c r="H8" s="179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0" t="s">
        <v>102</v>
      </c>
      <c r="B9" s="44"/>
      <c r="C9" s="45"/>
      <c r="D9" s="46"/>
      <c r="E9" s="142"/>
      <c r="F9" s="177"/>
      <c r="G9" s="178"/>
      <c r="H9" s="179"/>
      <c r="I9" s="180"/>
      <c r="J9" s="181"/>
      <c r="K9" s="182" t="s">
        <v>18</v>
      </c>
      <c r="L9" s="98"/>
      <c r="M9" s="183" t="s">
        <v>105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43" t="s">
        <v>106</v>
      </c>
      <c r="B10" s="44"/>
      <c r="C10" s="45"/>
      <c r="D10" s="46"/>
      <c r="E10" s="142"/>
      <c r="F10" s="178"/>
      <c r="G10" s="178"/>
      <c r="H10" s="184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0" t="s">
        <v>109</v>
      </c>
      <c r="B11" s="44"/>
      <c r="C11" s="45"/>
      <c r="D11" s="46"/>
      <c r="E11" s="142"/>
      <c r="F11" s="178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43" t="s">
        <v>112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0" t="s">
        <v>115</v>
      </c>
      <c r="B13" s="232" t="s">
        <v>182</v>
      </c>
      <c r="C13" s="45" t="s">
        <v>189</v>
      </c>
      <c r="D13" s="46">
        <v>80402.0</v>
      </c>
      <c r="E13" s="142" t="s">
        <v>190</v>
      </c>
      <c r="F13" s="178"/>
      <c r="G13" s="178"/>
      <c r="H13" s="184"/>
      <c r="I13" s="180"/>
      <c r="J13" s="235">
        <v>276.0</v>
      </c>
      <c r="K13" s="182" t="s">
        <v>18</v>
      </c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43" t="s">
        <v>117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20450</v>
      </c>
      <c r="G16" s="66">
        <f t="shared" si="1"/>
        <v>0</v>
      </c>
      <c r="H16" s="66">
        <f t="shared" si="1"/>
        <v>0</v>
      </c>
      <c r="I16" s="66">
        <f t="shared" si="1"/>
        <v>0</v>
      </c>
      <c r="J16" s="66">
        <f t="shared" si="1"/>
        <v>276</v>
      </c>
      <c r="K16" s="67"/>
      <c r="L16" s="67"/>
      <c r="M16" s="68"/>
    </row>
    <row r="17" ht="48.0" customHeight="1">
      <c r="F17" s="69">
        <f>F16+G16+H16+I16+J16</f>
        <v>20726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46009.0</v>
      </c>
      <c r="C4" s="18" t="s">
        <v>217</v>
      </c>
      <c r="D4" s="19">
        <v>21828.0</v>
      </c>
      <c r="E4" s="190" t="s">
        <v>95</v>
      </c>
      <c r="F4" s="191"/>
      <c r="G4" s="236"/>
      <c r="H4" s="191">
        <v>5100.0</v>
      </c>
      <c r="I4" s="193"/>
      <c r="J4" s="194"/>
      <c r="K4" s="182" t="s">
        <v>18</v>
      </c>
      <c r="L4" s="195" t="s">
        <v>218</v>
      </c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/>
      <c r="C5" s="18"/>
      <c r="D5" s="19"/>
      <c r="E5" s="196"/>
      <c r="F5" s="191"/>
      <c r="G5" s="192"/>
      <c r="H5" s="191"/>
      <c r="I5" s="193"/>
      <c r="J5" s="234"/>
      <c r="K5" s="182" t="s">
        <v>18</v>
      </c>
      <c r="L5" s="195"/>
      <c r="M5" s="200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/>
      <c r="C6" s="45"/>
      <c r="D6" s="201"/>
      <c r="E6" s="202"/>
      <c r="F6" s="203"/>
      <c r="G6" s="236"/>
      <c r="H6" s="204"/>
      <c r="I6" s="180"/>
      <c r="J6" s="235"/>
      <c r="K6" s="182" t="s">
        <v>18</v>
      </c>
      <c r="L6" s="195"/>
      <c r="M6" s="20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/>
      <c r="C7" s="45"/>
      <c r="D7" s="46"/>
      <c r="E7" s="142"/>
      <c r="F7" s="177"/>
      <c r="G7" s="178"/>
      <c r="H7" s="184"/>
      <c r="I7" s="180"/>
      <c r="J7" s="181"/>
      <c r="K7" s="182" t="s">
        <v>18</v>
      </c>
      <c r="L7" s="98"/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44"/>
      <c r="C8" s="45"/>
      <c r="D8" s="46"/>
      <c r="E8" s="142"/>
      <c r="F8" s="177"/>
      <c r="G8" s="178"/>
      <c r="H8" s="179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0" t="s">
        <v>102</v>
      </c>
      <c r="B9" s="44"/>
      <c r="C9" s="45"/>
      <c r="D9" s="46"/>
      <c r="E9" s="142"/>
      <c r="F9" s="177"/>
      <c r="G9" s="178"/>
      <c r="H9" s="179"/>
      <c r="I9" s="180"/>
      <c r="J9" s="181"/>
      <c r="K9" s="182" t="s">
        <v>18</v>
      </c>
      <c r="L9" s="98"/>
      <c r="M9" s="183" t="s">
        <v>105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43" t="s">
        <v>106</v>
      </c>
      <c r="B10" s="44"/>
      <c r="C10" s="45"/>
      <c r="D10" s="46"/>
      <c r="E10" s="142"/>
      <c r="F10" s="178"/>
      <c r="G10" s="178"/>
      <c r="H10" s="184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0" t="s">
        <v>109</v>
      </c>
      <c r="B11" s="44"/>
      <c r="C11" s="45"/>
      <c r="D11" s="46"/>
      <c r="E11" s="142"/>
      <c r="F11" s="178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43" t="s">
        <v>112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0" t="s">
        <v>115</v>
      </c>
      <c r="B13" s="232" t="s">
        <v>182</v>
      </c>
      <c r="C13" s="45" t="s">
        <v>189</v>
      </c>
      <c r="D13" s="46">
        <v>80402.0</v>
      </c>
      <c r="E13" s="142" t="s">
        <v>190</v>
      </c>
      <c r="F13" s="178"/>
      <c r="G13" s="178"/>
      <c r="H13" s="184"/>
      <c r="I13" s="180"/>
      <c r="J13" s="235">
        <v>276.0</v>
      </c>
      <c r="K13" s="182" t="s">
        <v>18</v>
      </c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43" t="s">
        <v>117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0</v>
      </c>
      <c r="G16" s="66">
        <f t="shared" si="1"/>
        <v>0</v>
      </c>
      <c r="H16" s="66">
        <f t="shared" si="1"/>
        <v>5100</v>
      </c>
      <c r="I16" s="66">
        <f t="shared" si="1"/>
        <v>0</v>
      </c>
      <c r="J16" s="66">
        <f t="shared" si="1"/>
        <v>276</v>
      </c>
      <c r="K16" s="67"/>
      <c r="L16" s="67"/>
      <c r="M16" s="68"/>
    </row>
    <row r="17" ht="48.0" customHeight="1">
      <c r="F17" s="69">
        <f>F16+G16+H16+I16+J16</f>
        <v>5376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46009.0</v>
      </c>
      <c r="C4" s="18" t="s">
        <v>220</v>
      </c>
      <c r="D4" s="19">
        <v>10008.0</v>
      </c>
      <c r="E4" s="190" t="s">
        <v>221</v>
      </c>
      <c r="F4" s="191"/>
      <c r="G4" s="236"/>
      <c r="H4" s="191">
        <v>300.0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46010.0</v>
      </c>
      <c r="C5" s="18" t="s">
        <v>222</v>
      </c>
      <c r="D5" s="19">
        <v>47787.0</v>
      </c>
      <c r="E5" s="196" t="s">
        <v>104</v>
      </c>
      <c r="F5" s="191">
        <v>10000.0</v>
      </c>
      <c r="G5" s="192"/>
      <c r="H5" s="191"/>
      <c r="I5" s="193"/>
      <c r="J5" s="234"/>
      <c r="K5" s="182" t="s">
        <v>18</v>
      </c>
      <c r="L5" s="195"/>
      <c r="M5" s="200" t="s">
        <v>105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46010.0</v>
      </c>
      <c r="C6" s="45" t="s">
        <v>223</v>
      </c>
      <c r="D6" s="201">
        <v>47787.0</v>
      </c>
      <c r="E6" s="202" t="s">
        <v>104</v>
      </c>
      <c r="F6" s="203">
        <v>15000.0</v>
      </c>
      <c r="G6" s="236"/>
      <c r="H6" s="204"/>
      <c r="I6" s="180"/>
      <c r="J6" s="235"/>
      <c r="K6" s="182" t="s">
        <v>18</v>
      </c>
      <c r="L6" s="195"/>
      <c r="M6" s="200" t="s">
        <v>105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46010.0</v>
      </c>
      <c r="C7" s="45" t="s">
        <v>224</v>
      </c>
      <c r="D7" s="46">
        <v>47787.0</v>
      </c>
      <c r="E7" s="142" t="s">
        <v>104</v>
      </c>
      <c r="F7" s="203">
        <v>750.0</v>
      </c>
      <c r="G7" s="178"/>
      <c r="H7" s="184"/>
      <c r="I7" s="180"/>
      <c r="J7" s="181"/>
      <c r="K7" s="182" t="s">
        <v>18</v>
      </c>
      <c r="L7" s="98"/>
      <c r="M7" s="183" t="s">
        <v>105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44"/>
      <c r="C8" s="45"/>
      <c r="D8" s="46"/>
      <c r="E8" s="142"/>
      <c r="F8" s="177"/>
      <c r="G8" s="178"/>
      <c r="H8" s="179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0" t="s">
        <v>102</v>
      </c>
      <c r="B9" s="44"/>
      <c r="C9" s="45"/>
      <c r="D9" s="46"/>
      <c r="E9" s="142"/>
      <c r="F9" s="177"/>
      <c r="G9" s="178"/>
      <c r="H9" s="179"/>
      <c r="I9" s="180"/>
      <c r="J9" s="181"/>
      <c r="K9" s="182" t="s">
        <v>18</v>
      </c>
      <c r="L9" s="98"/>
      <c r="M9" s="183" t="s">
        <v>105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43" t="s">
        <v>106</v>
      </c>
      <c r="B10" s="44"/>
      <c r="C10" s="45"/>
      <c r="D10" s="46"/>
      <c r="E10" s="142"/>
      <c r="F10" s="178"/>
      <c r="G10" s="178"/>
      <c r="H10" s="184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70" t="s">
        <v>109</v>
      </c>
      <c r="B11" s="44"/>
      <c r="C11" s="45"/>
      <c r="D11" s="46"/>
      <c r="E11" s="142"/>
      <c r="F11" s="178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43" t="s">
        <v>112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70" t="s">
        <v>115</v>
      </c>
      <c r="B13" s="232" t="s">
        <v>182</v>
      </c>
      <c r="C13" s="45" t="s">
        <v>189</v>
      </c>
      <c r="D13" s="46">
        <v>80402.0</v>
      </c>
      <c r="E13" s="142" t="s">
        <v>190</v>
      </c>
      <c r="F13" s="178"/>
      <c r="G13" s="178"/>
      <c r="H13" s="184"/>
      <c r="I13" s="180"/>
      <c r="J13" s="235">
        <v>276.0</v>
      </c>
      <c r="K13" s="182" t="s">
        <v>18</v>
      </c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43" t="s">
        <v>117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25750</v>
      </c>
      <c r="G16" s="66">
        <f t="shared" si="1"/>
        <v>0</v>
      </c>
      <c r="H16" s="66">
        <f t="shared" si="1"/>
        <v>300</v>
      </c>
      <c r="I16" s="66">
        <f t="shared" si="1"/>
        <v>0</v>
      </c>
      <c r="J16" s="66">
        <f t="shared" si="1"/>
        <v>276</v>
      </c>
      <c r="K16" s="67"/>
      <c r="L16" s="67"/>
      <c r="M16" s="68"/>
    </row>
    <row r="17" ht="48.0" customHeight="1">
      <c r="F17" s="69">
        <f>F16+G16+H16+I16+J16</f>
        <v>26326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46011.0</v>
      </c>
      <c r="C4" s="18" t="s">
        <v>226</v>
      </c>
      <c r="D4" s="19">
        <v>52669.0</v>
      </c>
      <c r="E4" s="190" t="s">
        <v>69</v>
      </c>
      <c r="F4" s="191">
        <v>20000.0</v>
      </c>
      <c r="G4" s="236"/>
      <c r="H4" s="191"/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46011.0</v>
      </c>
      <c r="C5" s="18" t="s">
        <v>227</v>
      </c>
      <c r="D5" s="19">
        <v>83352.0</v>
      </c>
      <c r="E5" s="196" t="s">
        <v>178</v>
      </c>
      <c r="F5" s="191">
        <v>25300.0</v>
      </c>
      <c r="G5" s="192"/>
      <c r="H5" s="191"/>
      <c r="I5" s="193"/>
      <c r="J5" s="234"/>
      <c r="K5" s="182" t="s">
        <v>18</v>
      </c>
      <c r="L5" s="195"/>
      <c r="M5" s="200" t="s">
        <v>105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46011.0</v>
      </c>
      <c r="C6" s="45" t="s">
        <v>228</v>
      </c>
      <c r="D6" s="201">
        <v>47787.0</v>
      </c>
      <c r="E6" s="202" t="s">
        <v>104</v>
      </c>
      <c r="F6" s="203">
        <v>10000.0</v>
      </c>
      <c r="G6" s="236"/>
      <c r="H6" s="204"/>
      <c r="I6" s="180"/>
      <c r="J6" s="235"/>
      <c r="K6" s="182" t="s">
        <v>18</v>
      </c>
      <c r="L6" s="195"/>
      <c r="M6" s="200" t="s">
        <v>105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/>
      <c r="C7" s="45"/>
      <c r="D7" s="46"/>
      <c r="E7" s="142"/>
      <c r="F7" s="177"/>
      <c r="G7" s="178"/>
      <c r="H7" s="184"/>
      <c r="I7" s="180"/>
      <c r="J7" s="181"/>
      <c r="K7" s="182" t="s">
        <v>18</v>
      </c>
      <c r="L7" s="98"/>
      <c r="M7" s="183" t="s">
        <v>105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0" t="s">
        <v>34</v>
      </c>
      <c r="B8" s="44"/>
      <c r="C8" s="45"/>
      <c r="D8" s="46"/>
      <c r="E8" s="142"/>
      <c r="F8" s="177"/>
      <c r="G8" s="178"/>
      <c r="H8" s="179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43" t="s">
        <v>38</v>
      </c>
      <c r="B9" s="44"/>
      <c r="C9" s="45"/>
      <c r="D9" s="46"/>
      <c r="E9" s="142"/>
      <c r="F9" s="177"/>
      <c r="G9" s="178"/>
      <c r="H9" s="179"/>
      <c r="I9" s="180"/>
      <c r="J9" s="181"/>
      <c r="K9" s="182" t="s">
        <v>18</v>
      </c>
      <c r="L9" s="98"/>
      <c r="M9" s="183" t="s">
        <v>105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205" t="s">
        <v>42</v>
      </c>
      <c r="B10" s="44"/>
      <c r="C10" s="45"/>
      <c r="D10" s="46"/>
      <c r="E10" s="142"/>
      <c r="F10" s="178"/>
      <c r="G10" s="178"/>
      <c r="H10" s="184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205" t="s">
        <v>93</v>
      </c>
      <c r="B11" s="44"/>
      <c r="C11" s="45"/>
      <c r="D11" s="46"/>
      <c r="E11" s="142"/>
      <c r="F11" s="178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0" t="s">
        <v>96</v>
      </c>
      <c r="B12" s="44"/>
      <c r="C12" s="45"/>
      <c r="D12" s="46"/>
      <c r="E12" s="142"/>
      <c r="F12" s="178"/>
      <c r="G12" s="178"/>
      <c r="H12" s="184"/>
      <c r="I12" s="180"/>
      <c r="J12" s="181"/>
      <c r="K12" s="182" t="s">
        <v>18</v>
      </c>
      <c r="L12" s="98"/>
      <c r="M12" s="183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43" t="s">
        <v>99</v>
      </c>
      <c r="B13" s="232"/>
      <c r="C13" s="45"/>
      <c r="D13" s="46"/>
      <c r="E13" s="142"/>
      <c r="F13" s="178"/>
      <c r="G13" s="178"/>
      <c r="H13" s="184"/>
      <c r="I13" s="180"/>
      <c r="J13" s="235"/>
      <c r="K13" s="182" t="s">
        <v>18</v>
      </c>
      <c r="L13" s="98"/>
      <c r="M13" s="183" t="s">
        <v>25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05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18</v>
      </c>
      <c r="L14" s="98"/>
      <c r="M14" s="183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55300</v>
      </c>
      <c r="G16" s="66">
        <f t="shared" si="1"/>
        <v>0</v>
      </c>
      <c r="H16" s="66">
        <f t="shared" si="1"/>
        <v>0</v>
      </c>
      <c r="I16" s="66">
        <f t="shared" si="1"/>
        <v>0</v>
      </c>
      <c r="J16" s="66">
        <f t="shared" si="1"/>
        <v>0</v>
      </c>
      <c r="K16" s="67"/>
      <c r="L16" s="67"/>
      <c r="M16" s="68"/>
    </row>
    <row r="17" ht="48.0" customHeight="1">
      <c r="F17" s="69">
        <f>F16+G16+H16+I16+J16</f>
        <v>55300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46011.0</v>
      </c>
      <c r="C4" s="18" t="s">
        <v>230</v>
      </c>
      <c r="D4" s="19">
        <v>81822.0</v>
      </c>
      <c r="E4" s="190" t="s">
        <v>231</v>
      </c>
      <c r="F4" s="191">
        <v>7000.0</v>
      </c>
      <c r="G4" s="236"/>
      <c r="H4" s="191"/>
      <c r="I4" s="193"/>
      <c r="J4" s="194"/>
      <c r="K4" s="182" t="s">
        <v>18</v>
      </c>
      <c r="L4" s="195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46012.0</v>
      </c>
      <c r="C5" s="18" t="s">
        <v>232</v>
      </c>
      <c r="D5" s="19">
        <v>59793.0</v>
      </c>
      <c r="E5" s="196" t="s">
        <v>74</v>
      </c>
      <c r="F5" s="191">
        <v>900.0</v>
      </c>
      <c r="G5" s="192"/>
      <c r="H5" s="191"/>
      <c r="I5" s="193"/>
      <c r="J5" s="234"/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46012.0</v>
      </c>
      <c r="C6" s="45" t="s">
        <v>233</v>
      </c>
      <c r="D6" s="201">
        <v>59793.0</v>
      </c>
      <c r="E6" s="202" t="s">
        <v>74</v>
      </c>
      <c r="F6" s="203">
        <v>8850.0</v>
      </c>
      <c r="G6" s="236"/>
      <c r="H6" s="204"/>
      <c r="I6" s="180"/>
      <c r="J6" s="235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46012.0</v>
      </c>
      <c r="C7" s="45" t="s">
        <v>234</v>
      </c>
      <c r="D7" s="46">
        <v>10250.0</v>
      </c>
      <c r="E7" s="142" t="s">
        <v>235</v>
      </c>
      <c r="F7" s="177">
        <v>10000.0</v>
      </c>
      <c r="G7" s="178"/>
      <c r="H7" s="184"/>
      <c r="I7" s="180"/>
      <c r="J7" s="181"/>
      <c r="K7" s="182" t="s">
        <v>204</v>
      </c>
      <c r="L7" s="98"/>
      <c r="M7" s="183" t="s">
        <v>105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0" t="s">
        <v>34</v>
      </c>
      <c r="B8" s="44">
        <v>46012.0</v>
      </c>
      <c r="C8" s="45" t="s">
        <v>236</v>
      </c>
      <c r="D8" s="46">
        <v>97731.0</v>
      </c>
      <c r="E8" s="142" t="s">
        <v>161</v>
      </c>
      <c r="F8" s="177">
        <v>4500.0</v>
      </c>
      <c r="G8" s="178"/>
      <c r="H8" s="179"/>
      <c r="I8" s="180"/>
      <c r="J8" s="181"/>
      <c r="K8" s="182" t="s">
        <v>18</v>
      </c>
      <c r="L8" s="98"/>
      <c r="M8" s="183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43" t="s">
        <v>38</v>
      </c>
      <c r="B9" s="44">
        <v>46012.0</v>
      </c>
      <c r="C9" s="45" t="s">
        <v>237</v>
      </c>
      <c r="D9" s="46">
        <v>97731.0</v>
      </c>
      <c r="E9" s="142" t="s">
        <v>161</v>
      </c>
      <c r="F9" s="177">
        <v>15150.0</v>
      </c>
      <c r="G9" s="178"/>
      <c r="H9" s="179"/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>
        <v>46012.0</v>
      </c>
      <c r="C10" s="45" t="s">
        <v>238</v>
      </c>
      <c r="D10" s="46">
        <v>48306.0</v>
      </c>
      <c r="E10" s="142" t="s">
        <v>239</v>
      </c>
      <c r="F10" s="178"/>
      <c r="G10" s="177">
        <v>5520.0</v>
      </c>
      <c r="H10" s="184"/>
      <c r="I10" s="180"/>
      <c r="J10" s="181"/>
      <c r="K10" s="182" t="s">
        <v>18</v>
      </c>
      <c r="L10" s="98"/>
      <c r="M10" s="18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 t="s">
        <v>93</v>
      </c>
      <c r="B11" s="44">
        <v>46012.0</v>
      </c>
      <c r="C11" s="45" t="s">
        <v>240</v>
      </c>
      <c r="D11" s="46">
        <v>103862.0</v>
      </c>
      <c r="E11" s="142" t="s">
        <v>241</v>
      </c>
      <c r="F11" s="177">
        <v>600.0</v>
      </c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/>
      <c r="B12" s="44"/>
      <c r="C12" s="45"/>
      <c r="D12" s="46"/>
      <c r="E12" s="142"/>
      <c r="F12" s="178"/>
      <c r="G12" s="178"/>
      <c r="H12" s="184"/>
      <c r="I12" s="180"/>
      <c r="J12" s="181"/>
      <c r="K12" s="182"/>
      <c r="L12" s="98"/>
      <c r="M12" s="18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43"/>
      <c r="B13" s="232"/>
      <c r="C13" s="45"/>
      <c r="D13" s="46"/>
      <c r="E13" s="142"/>
      <c r="F13" s="178"/>
      <c r="G13" s="178"/>
      <c r="H13" s="184"/>
      <c r="I13" s="180"/>
      <c r="J13" s="235"/>
      <c r="K13" s="182"/>
      <c r="L13" s="98"/>
      <c r="M13" s="183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05"/>
      <c r="B14" s="44"/>
      <c r="C14" s="45"/>
      <c r="D14" s="46"/>
      <c r="E14" s="142"/>
      <c r="F14" s="177"/>
      <c r="G14" s="178"/>
      <c r="H14" s="179"/>
      <c r="I14" s="180"/>
      <c r="J14" s="181"/>
      <c r="K14" s="182"/>
      <c r="L14" s="98"/>
      <c r="M14" s="183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47000</v>
      </c>
      <c r="G16" s="66">
        <f t="shared" si="1"/>
        <v>5520</v>
      </c>
      <c r="H16" s="66">
        <f t="shared" si="1"/>
        <v>0</v>
      </c>
      <c r="I16" s="66">
        <f t="shared" si="1"/>
        <v>0</v>
      </c>
      <c r="J16" s="66">
        <f t="shared" si="1"/>
        <v>0</v>
      </c>
      <c r="K16" s="67"/>
      <c r="L16" s="67"/>
      <c r="M16" s="68"/>
    </row>
    <row r="17" ht="48.0" customHeight="1">
      <c r="F17" s="69">
        <f>F16+G16+H16+I16+J16</f>
        <v>52520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46012.0</v>
      </c>
      <c r="C4" s="18" t="s">
        <v>243</v>
      </c>
      <c r="D4" s="19">
        <v>108315.0</v>
      </c>
      <c r="E4" s="190" t="s">
        <v>244</v>
      </c>
      <c r="F4" s="191">
        <v>3700.0</v>
      </c>
      <c r="G4" s="236"/>
      <c r="H4" s="191"/>
      <c r="I4" s="193"/>
      <c r="J4" s="194"/>
      <c r="K4" s="182" t="s">
        <v>18</v>
      </c>
      <c r="L4" s="195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46012.0</v>
      </c>
      <c r="C5" s="18" t="s">
        <v>245</v>
      </c>
      <c r="D5" s="19">
        <v>108314.0</v>
      </c>
      <c r="E5" s="196" t="s">
        <v>246</v>
      </c>
      <c r="F5" s="191">
        <v>2950.0</v>
      </c>
      <c r="G5" s="192"/>
      <c r="H5" s="191"/>
      <c r="I5" s="193"/>
      <c r="J5" s="234"/>
      <c r="K5" s="182" t="s">
        <v>18</v>
      </c>
      <c r="L5" s="195"/>
      <c r="M5" s="200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46012.0</v>
      </c>
      <c r="C6" s="45" t="s">
        <v>247</v>
      </c>
      <c r="D6" s="201">
        <v>105728.0</v>
      </c>
      <c r="E6" s="202" t="s">
        <v>248</v>
      </c>
      <c r="F6" s="203">
        <v>2950.0</v>
      </c>
      <c r="G6" s="236"/>
      <c r="H6" s="204"/>
      <c r="I6" s="180"/>
      <c r="J6" s="235"/>
      <c r="K6" s="182" t="s">
        <v>18</v>
      </c>
      <c r="L6" s="195"/>
      <c r="M6" s="20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46013.0</v>
      </c>
      <c r="C7" s="45" t="s">
        <v>249</v>
      </c>
      <c r="D7" s="46">
        <v>108348.0</v>
      </c>
      <c r="E7" s="142" t="s">
        <v>250</v>
      </c>
      <c r="F7" s="177"/>
      <c r="G7" s="178"/>
      <c r="H7" s="238">
        <v>300.0</v>
      </c>
      <c r="I7" s="180"/>
      <c r="J7" s="181"/>
      <c r="K7" s="182" t="s">
        <v>18</v>
      </c>
      <c r="L7" s="98"/>
      <c r="M7" s="183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0" t="s">
        <v>34</v>
      </c>
      <c r="B8" s="44">
        <v>46013.0</v>
      </c>
      <c r="C8" s="45" t="s">
        <v>251</v>
      </c>
      <c r="D8" s="46">
        <v>108364.0</v>
      </c>
      <c r="E8" s="142" t="s">
        <v>252</v>
      </c>
      <c r="F8" s="177"/>
      <c r="G8" s="178"/>
      <c r="H8" s="238">
        <v>300.0</v>
      </c>
      <c r="I8" s="180"/>
      <c r="J8" s="181"/>
      <c r="K8" s="182" t="s">
        <v>18</v>
      </c>
      <c r="L8" s="98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43" t="s">
        <v>38</v>
      </c>
      <c r="B9" s="44"/>
      <c r="C9" s="45"/>
      <c r="D9" s="46"/>
      <c r="E9" s="142"/>
      <c r="F9" s="177"/>
      <c r="G9" s="178"/>
      <c r="H9" s="179"/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/>
      <c r="C10" s="45"/>
      <c r="D10" s="46"/>
      <c r="E10" s="142"/>
      <c r="F10" s="178"/>
      <c r="G10" s="177"/>
      <c r="H10" s="184"/>
      <c r="I10" s="180"/>
      <c r="J10" s="181"/>
      <c r="K10" s="182" t="s">
        <v>18</v>
      </c>
      <c r="L10" s="98"/>
      <c r="M10" s="18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 t="s">
        <v>93</v>
      </c>
      <c r="B11" s="44"/>
      <c r="C11" s="45"/>
      <c r="D11" s="46"/>
      <c r="E11" s="142"/>
      <c r="F11" s="177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/>
      <c r="B12" s="44"/>
      <c r="C12" s="45"/>
      <c r="D12" s="46"/>
      <c r="E12" s="142"/>
      <c r="F12" s="178"/>
      <c r="G12" s="178"/>
      <c r="H12" s="184"/>
      <c r="I12" s="180"/>
      <c r="J12" s="181"/>
      <c r="K12" s="182"/>
      <c r="L12" s="98"/>
      <c r="M12" s="18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43"/>
      <c r="B13" s="232"/>
      <c r="C13" s="45"/>
      <c r="D13" s="46"/>
      <c r="E13" s="142"/>
      <c r="F13" s="178"/>
      <c r="G13" s="178"/>
      <c r="H13" s="184"/>
      <c r="I13" s="180"/>
      <c r="J13" s="235"/>
      <c r="K13" s="182"/>
      <c r="L13" s="98"/>
      <c r="M13" s="183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05"/>
      <c r="B14" s="44"/>
      <c r="C14" s="45"/>
      <c r="D14" s="46"/>
      <c r="E14" s="142"/>
      <c r="F14" s="177"/>
      <c r="G14" s="178"/>
      <c r="H14" s="179"/>
      <c r="I14" s="180"/>
      <c r="J14" s="181"/>
      <c r="K14" s="182"/>
      <c r="L14" s="98"/>
      <c r="M14" s="183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9600</v>
      </c>
      <c r="G16" s="66">
        <f t="shared" si="1"/>
        <v>0</v>
      </c>
      <c r="H16" s="66">
        <f t="shared" si="1"/>
        <v>600</v>
      </c>
      <c r="I16" s="66">
        <f t="shared" si="1"/>
        <v>0</v>
      </c>
      <c r="J16" s="66">
        <f t="shared" si="1"/>
        <v>0</v>
      </c>
      <c r="K16" s="67"/>
      <c r="L16" s="67"/>
      <c r="M16" s="68"/>
    </row>
    <row r="17" ht="48.0" customHeight="1">
      <c r="F17" s="69">
        <f>F16+G16+H16+I16+J16</f>
        <v>10200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46013.0</v>
      </c>
      <c r="C4" s="18" t="s">
        <v>254</v>
      </c>
      <c r="D4" s="19">
        <v>108388.0</v>
      </c>
      <c r="E4" s="190" t="s">
        <v>255</v>
      </c>
      <c r="F4" s="191"/>
      <c r="G4" s="236"/>
      <c r="H4" s="191">
        <v>300.0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46013.0</v>
      </c>
      <c r="C5" s="18" t="s">
        <v>256</v>
      </c>
      <c r="D5" s="19">
        <v>43102.0</v>
      </c>
      <c r="E5" s="196" t="s">
        <v>257</v>
      </c>
      <c r="F5" s="191">
        <v>8400.0</v>
      </c>
      <c r="G5" s="192"/>
      <c r="H5" s="191"/>
      <c r="I5" s="193"/>
      <c r="J5" s="234"/>
      <c r="K5" s="182" t="s">
        <v>18</v>
      </c>
      <c r="L5" s="195"/>
      <c r="M5" s="200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46014.0</v>
      </c>
      <c r="C6" s="45" t="s">
        <v>258</v>
      </c>
      <c r="D6" s="201">
        <v>43380.0</v>
      </c>
      <c r="E6" s="202" t="s">
        <v>195</v>
      </c>
      <c r="F6" s="203">
        <v>10000.0</v>
      </c>
      <c r="G6" s="236"/>
      <c r="H6" s="204"/>
      <c r="I6" s="180"/>
      <c r="J6" s="235"/>
      <c r="K6" s="182" t="s">
        <v>18</v>
      </c>
      <c r="L6" s="195"/>
      <c r="M6" s="20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46014.0</v>
      </c>
      <c r="C7" s="45" t="s">
        <v>259</v>
      </c>
      <c r="D7" s="46">
        <v>59137.0</v>
      </c>
      <c r="E7" s="142" t="s">
        <v>260</v>
      </c>
      <c r="F7" s="177">
        <v>2800.0</v>
      </c>
      <c r="G7" s="178"/>
      <c r="H7" s="238"/>
      <c r="I7" s="180"/>
      <c r="J7" s="181"/>
      <c r="K7" s="182" t="s">
        <v>18</v>
      </c>
      <c r="L7" s="98"/>
      <c r="M7" s="183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0" t="s">
        <v>34</v>
      </c>
      <c r="B8" s="44">
        <v>46014.0</v>
      </c>
      <c r="C8" s="45" t="s">
        <v>261</v>
      </c>
      <c r="D8" s="46">
        <v>10288.0</v>
      </c>
      <c r="E8" s="142" t="s">
        <v>262</v>
      </c>
      <c r="F8" s="177">
        <v>5000.0</v>
      </c>
      <c r="G8" s="178"/>
      <c r="H8" s="238"/>
      <c r="I8" s="180"/>
      <c r="J8" s="181"/>
      <c r="K8" s="182" t="s">
        <v>18</v>
      </c>
      <c r="L8" s="98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43" t="s">
        <v>38</v>
      </c>
      <c r="B9" s="44"/>
      <c r="C9" s="45"/>
      <c r="D9" s="46"/>
      <c r="E9" s="142"/>
      <c r="F9" s="177"/>
      <c r="G9" s="178"/>
      <c r="H9" s="179"/>
      <c r="I9" s="180"/>
      <c r="J9" s="181"/>
      <c r="K9" s="182" t="s">
        <v>18</v>
      </c>
      <c r="L9" s="98"/>
      <c r="M9" s="18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/>
      <c r="C10" s="45"/>
      <c r="D10" s="46"/>
      <c r="E10" s="142"/>
      <c r="F10" s="178"/>
      <c r="G10" s="177"/>
      <c r="H10" s="184"/>
      <c r="I10" s="180"/>
      <c r="J10" s="181"/>
      <c r="K10" s="182" t="s">
        <v>18</v>
      </c>
      <c r="L10" s="98"/>
      <c r="M10" s="18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 t="s">
        <v>93</v>
      </c>
      <c r="B11" s="44"/>
      <c r="C11" s="45"/>
      <c r="D11" s="46"/>
      <c r="E11" s="142"/>
      <c r="F11" s="177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70"/>
      <c r="B12" s="44"/>
      <c r="C12" s="45"/>
      <c r="D12" s="46"/>
      <c r="E12" s="142"/>
      <c r="F12" s="178"/>
      <c r="G12" s="178"/>
      <c r="H12" s="184"/>
      <c r="I12" s="180"/>
      <c r="J12" s="181"/>
      <c r="K12" s="182"/>
      <c r="L12" s="98"/>
      <c r="M12" s="18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43"/>
      <c r="B13" s="232"/>
      <c r="C13" s="45"/>
      <c r="D13" s="46"/>
      <c r="E13" s="142"/>
      <c r="F13" s="178"/>
      <c r="G13" s="178"/>
      <c r="H13" s="184"/>
      <c r="I13" s="180"/>
      <c r="J13" s="235"/>
      <c r="K13" s="182"/>
      <c r="L13" s="98"/>
      <c r="M13" s="183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05"/>
      <c r="B14" s="44"/>
      <c r="C14" s="45"/>
      <c r="D14" s="46"/>
      <c r="E14" s="142"/>
      <c r="F14" s="177"/>
      <c r="G14" s="178"/>
      <c r="H14" s="179"/>
      <c r="I14" s="180"/>
      <c r="J14" s="181"/>
      <c r="K14" s="182"/>
      <c r="L14" s="98"/>
      <c r="M14" s="183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96"/>
      <c r="C15" s="56"/>
      <c r="D15" s="57"/>
      <c r="E15" s="58"/>
      <c r="F15" s="185"/>
      <c r="G15" s="178"/>
      <c r="H15" s="186"/>
      <c r="I15" s="180"/>
      <c r="J15" s="187"/>
      <c r="K15" s="99"/>
      <c r="L15" s="62"/>
      <c r="M15" s="18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65"/>
      <c r="B16" s="2"/>
      <c r="C16" s="2"/>
      <c r="D16" s="2"/>
      <c r="E16" s="3"/>
      <c r="F16" s="66">
        <f t="shared" ref="F16:J16" si="1">SUM(F4:F15)</f>
        <v>26200</v>
      </c>
      <c r="G16" s="66">
        <f t="shared" si="1"/>
        <v>0</v>
      </c>
      <c r="H16" s="66">
        <f t="shared" si="1"/>
        <v>300</v>
      </c>
      <c r="I16" s="66">
        <f t="shared" si="1"/>
        <v>0</v>
      </c>
      <c r="J16" s="66">
        <f t="shared" si="1"/>
        <v>0</v>
      </c>
      <c r="K16" s="67"/>
      <c r="L16" s="67"/>
      <c r="M16" s="68"/>
    </row>
    <row r="17" ht="48.0" customHeight="1">
      <c r="F17" s="69">
        <f>F16+G16+H16+I16+J16</f>
        <v>26500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46014.0</v>
      </c>
      <c r="C4" s="18" t="s">
        <v>264</v>
      </c>
      <c r="D4" s="19">
        <v>108469.0</v>
      </c>
      <c r="E4" s="190" t="s">
        <v>265</v>
      </c>
      <c r="F4" s="191"/>
      <c r="G4" s="236"/>
      <c r="H4" s="191">
        <v>300.0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46014.0</v>
      </c>
      <c r="C5" s="18" t="s">
        <v>266</v>
      </c>
      <c r="D5" s="19">
        <v>108500.0</v>
      </c>
      <c r="E5" s="196" t="s">
        <v>267</v>
      </c>
      <c r="F5" s="191"/>
      <c r="G5" s="192"/>
      <c r="H5" s="191">
        <v>300.0</v>
      </c>
      <c r="I5" s="193"/>
      <c r="J5" s="234"/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46015.0</v>
      </c>
      <c r="C6" s="45" t="s">
        <v>268</v>
      </c>
      <c r="D6" s="201">
        <v>100319.0</v>
      </c>
      <c r="E6" s="202" t="s">
        <v>269</v>
      </c>
      <c r="F6" s="203"/>
      <c r="G6" s="236"/>
      <c r="H6" s="204">
        <v>2600.0</v>
      </c>
      <c r="I6" s="180"/>
      <c r="J6" s="235"/>
      <c r="K6" s="182" t="s">
        <v>18</v>
      </c>
      <c r="L6" s="195"/>
      <c r="M6" s="200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46015.0</v>
      </c>
      <c r="C7" s="45" t="s">
        <v>270</v>
      </c>
      <c r="D7" s="46">
        <v>47787.0</v>
      </c>
      <c r="E7" s="142" t="s">
        <v>104</v>
      </c>
      <c r="F7" s="177">
        <v>10000.0</v>
      </c>
      <c r="G7" s="178"/>
      <c r="H7" s="238"/>
      <c r="I7" s="180"/>
      <c r="J7" s="181"/>
      <c r="K7" s="182" t="s">
        <v>204</v>
      </c>
      <c r="L7" s="98"/>
      <c r="M7" s="183" t="s">
        <v>271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/>
      <c r="B8" s="44"/>
      <c r="C8" s="45"/>
      <c r="D8" s="46"/>
      <c r="E8" s="142"/>
      <c r="F8" s="177"/>
      <c r="G8" s="178"/>
      <c r="H8" s="179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96"/>
      <c r="C9" s="56"/>
      <c r="D9" s="57"/>
      <c r="E9" s="58"/>
      <c r="F9" s="185"/>
      <c r="G9" s="178"/>
      <c r="H9" s="186"/>
      <c r="I9" s="180"/>
      <c r="J9" s="187"/>
      <c r="K9" s="99"/>
      <c r="L9" s="62"/>
      <c r="M9" s="18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65"/>
      <c r="B10" s="2"/>
      <c r="C10" s="2"/>
      <c r="D10" s="2"/>
      <c r="E10" s="3"/>
      <c r="F10" s="66">
        <f t="shared" ref="F10:J10" si="1">SUM(F4:F9)</f>
        <v>10000</v>
      </c>
      <c r="G10" s="66">
        <f t="shared" si="1"/>
        <v>0</v>
      </c>
      <c r="H10" s="66">
        <f t="shared" si="1"/>
        <v>3200</v>
      </c>
      <c r="I10" s="66">
        <f t="shared" si="1"/>
        <v>0</v>
      </c>
      <c r="J10" s="66">
        <f t="shared" si="1"/>
        <v>0</v>
      </c>
      <c r="K10" s="67"/>
      <c r="L10" s="67"/>
      <c r="M10" s="68"/>
    </row>
    <row r="11" ht="48.0" customHeight="1">
      <c r="F11" s="69">
        <f>F10+G10+H10+I10+J10</f>
        <v>13200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46015.0</v>
      </c>
      <c r="C4" s="18" t="s">
        <v>273</v>
      </c>
      <c r="D4" s="19">
        <v>108619.0</v>
      </c>
      <c r="E4" s="190" t="s">
        <v>274</v>
      </c>
      <c r="F4" s="191"/>
      <c r="G4" s="236"/>
      <c r="H4" s="191">
        <v>300.0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46015.0</v>
      </c>
      <c r="C5" s="18" t="s">
        <v>275</v>
      </c>
      <c r="D5" s="19">
        <v>108621.0</v>
      </c>
      <c r="E5" s="196" t="s">
        <v>276</v>
      </c>
      <c r="F5" s="191"/>
      <c r="G5" s="192"/>
      <c r="H5" s="191">
        <v>300.0</v>
      </c>
      <c r="I5" s="193"/>
      <c r="J5" s="234"/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46015.0</v>
      </c>
      <c r="C6" s="45" t="s">
        <v>277</v>
      </c>
      <c r="D6" s="201">
        <v>108626.0</v>
      </c>
      <c r="E6" s="202" t="s">
        <v>278</v>
      </c>
      <c r="F6" s="203"/>
      <c r="G6" s="236"/>
      <c r="H6" s="204">
        <v>300.0</v>
      </c>
      <c r="I6" s="180"/>
      <c r="J6" s="235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46015.0</v>
      </c>
      <c r="C7" s="45" t="s">
        <v>279</v>
      </c>
      <c r="D7" s="46">
        <v>108627.0</v>
      </c>
      <c r="E7" s="142" t="s">
        <v>280</v>
      </c>
      <c r="F7" s="177"/>
      <c r="G7" s="178"/>
      <c r="H7" s="239">
        <v>300.0</v>
      </c>
      <c r="I7" s="180"/>
      <c r="J7" s="181"/>
      <c r="K7" s="182" t="s">
        <v>18</v>
      </c>
      <c r="L7" s="98"/>
      <c r="M7" s="183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>
        <v>46015.0</v>
      </c>
      <c r="C8" s="45" t="s">
        <v>281</v>
      </c>
      <c r="D8" s="46">
        <v>108628.0</v>
      </c>
      <c r="E8" s="142" t="s">
        <v>282</v>
      </c>
      <c r="F8" s="177"/>
      <c r="G8" s="178"/>
      <c r="H8" s="184">
        <v>300.0</v>
      </c>
      <c r="I8" s="180"/>
      <c r="J8" s="181"/>
      <c r="K8" s="182" t="s">
        <v>18</v>
      </c>
      <c r="L8" s="98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5" t="s">
        <v>38</v>
      </c>
      <c r="B9" s="44">
        <v>46015.0</v>
      </c>
      <c r="C9" s="45" t="s">
        <v>283</v>
      </c>
      <c r="D9" s="46">
        <v>108630.0</v>
      </c>
      <c r="E9" s="142" t="s">
        <v>284</v>
      </c>
      <c r="F9" s="177"/>
      <c r="G9" s="178"/>
      <c r="H9" s="184">
        <v>300.0</v>
      </c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>
        <v>46015.0</v>
      </c>
      <c r="C10" s="45" t="s">
        <v>285</v>
      </c>
      <c r="D10" s="46">
        <v>108633.0</v>
      </c>
      <c r="E10" s="142" t="s">
        <v>286</v>
      </c>
      <c r="F10" s="177"/>
      <c r="G10" s="178"/>
      <c r="H10" s="184">
        <v>300.0</v>
      </c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 t="s">
        <v>93</v>
      </c>
      <c r="B11" s="44">
        <v>46015.0</v>
      </c>
      <c r="C11" s="45" t="s">
        <v>287</v>
      </c>
      <c r="D11" s="46">
        <v>108634.0</v>
      </c>
      <c r="E11" s="142" t="s">
        <v>288</v>
      </c>
      <c r="F11" s="177"/>
      <c r="G11" s="178"/>
      <c r="H11" s="184">
        <v>300.0</v>
      </c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05" t="s">
        <v>96</v>
      </c>
      <c r="B12" s="44">
        <v>46016.0</v>
      </c>
      <c r="C12" s="45" t="s">
        <v>289</v>
      </c>
      <c r="D12" s="46">
        <v>42052.0</v>
      </c>
      <c r="E12" s="142" t="s">
        <v>290</v>
      </c>
      <c r="F12" s="177"/>
      <c r="G12" s="177">
        <v>4500.0</v>
      </c>
      <c r="H12" s="179"/>
      <c r="I12" s="180"/>
      <c r="J12" s="181"/>
      <c r="K12" s="182" t="s">
        <v>18</v>
      </c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205" t="s">
        <v>99</v>
      </c>
      <c r="B13" s="44">
        <v>46016.0</v>
      </c>
      <c r="C13" s="45" t="s">
        <v>291</v>
      </c>
      <c r="D13" s="46">
        <v>42046.0</v>
      </c>
      <c r="E13" s="142" t="s">
        <v>292</v>
      </c>
      <c r="F13" s="177"/>
      <c r="G13" s="177">
        <v>16730.0</v>
      </c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05" t="s">
        <v>102</v>
      </c>
      <c r="B14" s="44">
        <v>46016.0</v>
      </c>
      <c r="C14" s="45" t="s">
        <v>293</v>
      </c>
      <c r="D14" s="46">
        <v>51782.0</v>
      </c>
      <c r="E14" s="142" t="s">
        <v>137</v>
      </c>
      <c r="F14" s="177">
        <v>2500.0</v>
      </c>
      <c r="G14" s="178"/>
      <c r="H14" s="179"/>
      <c r="I14" s="180"/>
      <c r="J14" s="181"/>
      <c r="K14" s="182" t="s">
        <v>204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205" t="s">
        <v>106</v>
      </c>
      <c r="B15" s="44">
        <v>46016.0</v>
      </c>
      <c r="C15" s="45" t="s">
        <v>294</v>
      </c>
      <c r="D15" s="46">
        <v>68284.0</v>
      </c>
      <c r="E15" s="142" t="s">
        <v>295</v>
      </c>
      <c r="F15" s="177">
        <v>8150.0</v>
      </c>
      <c r="G15" s="178"/>
      <c r="H15" s="179"/>
      <c r="I15" s="180"/>
      <c r="J15" s="181"/>
      <c r="K15" s="182" t="s">
        <v>18</v>
      </c>
      <c r="L15" s="98"/>
      <c r="M15" s="183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205"/>
      <c r="B16" s="44"/>
      <c r="C16" s="45"/>
      <c r="D16" s="46"/>
      <c r="E16" s="142"/>
      <c r="F16" s="177"/>
      <c r="G16" s="178"/>
      <c r="H16" s="179"/>
      <c r="I16" s="180"/>
      <c r="J16" s="181"/>
      <c r="K16" s="182"/>
      <c r="L16" s="98"/>
      <c r="M16" s="18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205"/>
      <c r="B17" s="44"/>
      <c r="C17" s="45"/>
      <c r="D17" s="46"/>
      <c r="E17" s="142"/>
      <c r="F17" s="177"/>
      <c r="G17" s="178"/>
      <c r="H17" s="179"/>
      <c r="I17" s="180"/>
      <c r="J17" s="181"/>
      <c r="K17" s="182"/>
      <c r="L17" s="98"/>
      <c r="M17" s="18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205"/>
      <c r="B18" s="44"/>
      <c r="C18" s="45"/>
      <c r="D18" s="46"/>
      <c r="E18" s="142"/>
      <c r="F18" s="177"/>
      <c r="G18" s="178"/>
      <c r="H18" s="179"/>
      <c r="I18" s="180"/>
      <c r="J18" s="181"/>
      <c r="K18" s="182"/>
      <c r="L18" s="98"/>
      <c r="M18" s="18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96"/>
      <c r="C19" s="56"/>
      <c r="D19" s="57"/>
      <c r="E19" s="58"/>
      <c r="F19" s="185"/>
      <c r="G19" s="178"/>
      <c r="H19" s="186"/>
      <c r="I19" s="180"/>
      <c r="J19" s="187"/>
      <c r="K19" s="99"/>
      <c r="L19" s="62"/>
      <c r="M19" s="18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65"/>
      <c r="B20" s="2"/>
      <c r="C20" s="2"/>
      <c r="D20" s="2"/>
      <c r="E20" s="3"/>
      <c r="F20" s="66">
        <f t="shared" ref="F20:J20" si="1">SUM(F4:F19)</f>
        <v>10650</v>
      </c>
      <c r="G20" s="66">
        <f t="shared" si="1"/>
        <v>21230</v>
      </c>
      <c r="H20" s="66">
        <f t="shared" si="1"/>
        <v>2400</v>
      </c>
      <c r="I20" s="66">
        <f t="shared" si="1"/>
        <v>0</v>
      </c>
      <c r="J20" s="66">
        <f t="shared" si="1"/>
        <v>0</v>
      </c>
      <c r="K20" s="67"/>
      <c r="L20" s="67"/>
      <c r="M20" s="68"/>
    </row>
    <row r="21" ht="48.0" customHeight="1">
      <c r="F21" s="69">
        <f>F20+G20+H20+I20+J20</f>
        <v>34280</v>
      </c>
      <c r="G21" s="2"/>
      <c r="H21" s="2"/>
      <c r="I21" s="2"/>
      <c r="J2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2">
    <mergeCell ref="K2:K3"/>
    <mergeCell ref="L2:L3"/>
    <mergeCell ref="E2:E3"/>
    <mergeCell ref="A20:E20"/>
    <mergeCell ref="F21:J2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46016.0</v>
      </c>
      <c r="C4" s="18" t="s">
        <v>297</v>
      </c>
      <c r="D4" s="19">
        <v>106403.0</v>
      </c>
      <c r="E4" s="190" t="s">
        <v>193</v>
      </c>
      <c r="F4" s="191"/>
      <c r="G4" s="236"/>
      <c r="H4" s="191">
        <v>11800.0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46016.0</v>
      </c>
      <c r="C5" s="18" t="s">
        <v>298</v>
      </c>
      <c r="D5" s="19">
        <v>21818.0</v>
      </c>
      <c r="E5" s="196" t="s">
        <v>299</v>
      </c>
      <c r="F5" s="191"/>
      <c r="G5" s="192"/>
      <c r="H5" s="191">
        <v>1300.0</v>
      </c>
      <c r="I5" s="193"/>
      <c r="J5" s="234"/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46016.0</v>
      </c>
      <c r="C6" s="45" t="s">
        <v>300</v>
      </c>
      <c r="D6" s="201">
        <v>108667.0</v>
      </c>
      <c r="E6" s="202" t="s">
        <v>301</v>
      </c>
      <c r="F6" s="203"/>
      <c r="G6" s="236"/>
      <c r="H6" s="204">
        <v>300.0</v>
      </c>
      <c r="I6" s="180"/>
      <c r="J6" s="235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46017.0</v>
      </c>
      <c r="C7" s="45" t="s">
        <v>302</v>
      </c>
      <c r="D7" s="46">
        <v>10250.0</v>
      </c>
      <c r="E7" s="142" t="s">
        <v>235</v>
      </c>
      <c r="F7" s="177"/>
      <c r="G7" s="178"/>
      <c r="H7" s="239">
        <v>8950.0</v>
      </c>
      <c r="I7" s="180"/>
      <c r="J7" s="181"/>
      <c r="K7" s="182" t="s">
        <v>18</v>
      </c>
      <c r="L7" s="98"/>
      <c r="M7" s="18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/>
      <c r="C8" s="45"/>
      <c r="D8" s="46"/>
      <c r="E8" s="142"/>
      <c r="F8" s="177"/>
      <c r="G8" s="178"/>
      <c r="H8" s="184"/>
      <c r="I8" s="180"/>
      <c r="J8" s="181"/>
      <c r="K8" s="182" t="s">
        <v>18</v>
      </c>
      <c r="L8" s="98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5" t="s">
        <v>38</v>
      </c>
      <c r="B9" s="44"/>
      <c r="C9" s="45"/>
      <c r="D9" s="46"/>
      <c r="E9" s="142"/>
      <c r="F9" s="177"/>
      <c r="G9" s="178"/>
      <c r="H9" s="184"/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/>
      <c r="C10" s="45"/>
      <c r="D10" s="46"/>
      <c r="E10" s="142"/>
      <c r="F10" s="177"/>
      <c r="G10" s="178"/>
      <c r="H10" s="184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205" t="s">
        <v>93</v>
      </c>
      <c r="B11" s="44"/>
      <c r="C11" s="45"/>
      <c r="D11" s="46"/>
      <c r="E11" s="142"/>
      <c r="F11" s="177"/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205" t="s">
        <v>96</v>
      </c>
      <c r="B12" s="44"/>
      <c r="C12" s="45"/>
      <c r="D12" s="46"/>
      <c r="E12" s="142"/>
      <c r="F12" s="177"/>
      <c r="G12" s="177"/>
      <c r="H12" s="179"/>
      <c r="I12" s="180"/>
      <c r="J12" s="181"/>
      <c r="K12" s="182" t="s">
        <v>18</v>
      </c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205" t="s">
        <v>99</v>
      </c>
      <c r="B13" s="44"/>
      <c r="C13" s="45"/>
      <c r="D13" s="46"/>
      <c r="E13" s="142"/>
      <c r="F13" s="177"/>
      <c r="G13" s="177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05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204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205" t="s">
        <v>106</v>
      </c>
      <c r="B15" s="44"/>
      <c r="C15" s="45"/>
      <c r="D15" s="46"/>
      <c r="E15" s="142"/>
      <c r="F15" s="177"/>
      <c r="G15" s="178"/>
      <c r="H15" s="179"/>
      <c r="I15" s="180"/>
      <c r="J15" s="181"/>
      <c r="K15" s="182" t="s">
        <v>18</v>
      </c>
      <c r="L15" s="98"/>
      <c r="M15" s="183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205"/>
      <c r="B16" s="44"/>
      <c r="C16" s="45"/>
      <c r="D16" s="46"/>
      <c r="E16" s="142"/>
      <c r="F16" s="177"/>
      <c r="G16" s="178"/>
      <c r="H16" s="179"/>
      <c r="I16" s="180"/>
      <c r="J16" s="181"/>
      <c r="K16" s="182"/>
      <c r="L16" s="98"/>
      <c r="M16" s="18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205"/>
      <c r="B17" s="44"/>
      <c r="C17" s="45"/>
      <c r="D17" s="46"/>
      <c r="E17" s="142"/>
      <c r="F17" s="177"/>
      <c r="G17" s="178"/>
      <c r="H17" s="179"/>
      <c r="I17" s="180"/>
      <c r="J17" s="181"/>
      <c r="K17" s="182"/>
      <c r="L17" s="98"/>
      <c r="M17" s="18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205"/>
      <c r="B18" s="44"/>
      <c r="C18" s="45"/>
      <c r="D18" s="46"/>
      <c r="E18" s="142"/>
      <c r="F18" s="177"/>
      <c r="G18" s="178"/>
      <c r="H18" s="179"/>
      <c r="I18" s="180"/>
      <c r="J18" s="181"/>
      <c r="K18" s="182"/>
      <c r="L18" s="98"/>
      <c r="M18" s="18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96"/>
      <c r="C19" s="56"/>
      <c r="D19" s="57"/>
      <c r="E19" s="58"/>
      <c r="F19" s="185"/>
      <c r="G19" s="178"/>
      <c r="H19" s="186"/>
      <c r="I19" s="180"/>
      <c r="J19" s="187"/>
      <c r="K19" s="99"/>
      <c r="L19" s="62"/>
      <c r="M19" s="18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65"/>
      <c r="B20" s="2"/>
      <c r="C20" s="2"/>
      <c r="D20" s="2"/>
      <c r="E20" s="3"/>
      <c r="F20" s="66">
        <f t="shared" ref="F20:J20" si="1">SUM(F4:F19)</f>
        <v>0</v>
      </c>
      <c r="G20" s="66">
        <f t="shared" si="1"/>
        <v>0</v>
      </c>
      <c r="H20" s="66">
        <f t="shared" si="1"/>
        <v>22350</v>
      </c>
      <c r="I20" s="66">
        <f t="shared" si="1"/>
        <v>0</v>
      </c>
      <c r="J20" s="66">
        <f t="shared" si="1"/>
        <v>0</v>
      </c>
      <c r="K20" s="67"/>
      <c r="L20" s="67"/>
      <c r="M20" s="68"/>
    </row>
    <row r="21" ht="48.0" customHeight="1">
      <c r="F21" s="69">
        <f>F20+G20+H20+I20+J20</f>
        <v>22350</v>
      </c>
      <c r="G21" s="2"/>
      <c r="H21" s="2"/>
      <c r="I21" s="2"/>
      <c r="J2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2">
    <mergeCell ref="K2:K3"/>
    <mergeCell ref="L2:L3"/>
    <mergeCell ref="E2:E3"/>
    <mergeCell ref="A20:E20"/>
    <mergeCell ref="F21:J21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46018.0</v>
      </c>
      <c r="C4" s="18" t="s">
        <v>304</v>
      </c>
      <c r="D4" s="19">
        <v>52669.0</v>
      </c>
      <c r="E4" s="190" t="s">
        <v>69</v>
      </c>
      <c r="F4" s="210">
        <v>16500.0</v>
      </c>
      <c r="G4" s="236"/>
      <c r="H4" s="210"/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46018.0</v>
      </c>
      <c r="C5" s="18" t="s">
        <v>305</v>
      </c>
      <c r="D5" s="19">
        <v>10250.0</v>
      </c>
      <c r="E5" s="196" t="s">
        <v>235</v>
      </c>
      <c r="F5" s="210">
        <v>14500.0</v>
      </c>
      <c r="G5" s="192"/>
      <c r="H5" s="210"/>
      <c r="I5" s="193"/>
      <c r="J5" s="234"/>
      <c r="K5" s="182" t="s">
        <v>204</v>
      </c>
      <c r="L5" s="195"/>
      <c r="M5" s="200" t="s">
        <v>271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46018.0</v>
      </c>
      <c r="C6" s="45" t="s">
        <v>306</v>
      </c>
      <c r="D6" s="201">
        <v>108763.0</v>
      </c>
      <c r="E6" s="202" t="s">
        <v>307</v>
      </c>
      <c r="F6" s="177"/>
      <c r="G6" s="236"/>
      <c r="H6" s="204">
        <v>300.0</v>
      </c>
      <c r="I6" s="180"/>
      <c r="J6" s="235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46018.0</v>
      </c>
      <c r="C7" s="45" t="s">
        <v>308</v>
      </c>
      <c r="D7" s="46">
        <v>106403.0</v>
      </c>
      <c r="E7" s="142" t="s">
        <v>193</v>
      </c>
      <c r="F7" s="177"/>
      <c r="G7" s="178"/>
      <c r="H7" s="240">
        <v>5900.0</v>
      </c>
      <c r="I7" s="180"/>
      <c r="J7" s="181"/>
      <c r="K7" s="182" t="s">
        <v>18</v>
      </c>
      <c r="L7" s="98"/>
      <c r="M7" s="183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>
        <v>46018.0</v>
      </c>
      <c r="C8" s="45" t="s">
        <v>309</v>
      </c>
      <c r="D8" s="46">
        <v>106403.0</v>
      </c>
      <c r="E8" s="142" t="s">
        <v>193</v>
      </c>
      <c r="F8" s="177"/>
      <c r="G8" s="178"/>
      <c r="H8" s="184">
        <v>11800.0</v>
      </c>
      <c r="I8" s="180"/>
      <c r="J8" s="181"/>
      <c r="K8" s="182" t="s">
        <v>18</v>
      </c>
      <c r="L8" s="98"/>
      <c r="M8" s="183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5" t="s">
        <v>38</v>
      </c>
      <c r="B9" s="44">
        <v>46018.0</v>
      </c>
      <c r="C9" s="45" t="s">
        <v>310</v>
      </c>
      <c r="D9" s="46">
        <v>108766.0</v>
      </c>
      <c r="E9" s="142" t="s">
        <v>311</v>
      </c>
      <c r="F9" s="177"/>
      <c r="G9" s="178"/>
      <c r="H9" s="184">
        <v>300.0</v>
      </c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>
        <v>46018.0</v>
      </c>
      <c r="C10" s="45" t="s">
        <v>312</v>
      </c>
      <c r="D10" s="46">
        <v>10008.0</v>
      </c>
      <c r="E10" s="142" t="s">
        <v>221</v>
      </c>
      <c r="F10" s="177"/>
      <c r="G10" s="178"/>
      <c r="H10" s="184">
        <v>300.0</v>
      </c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/>
      <c r="B11" s="44"/>
      <c r="C11" s="45"/>
      <c r="D11" s="46"/>
      <c r="E11" s="142"/>
      <c r="F11" s="177"/>
      <c r="G11" s="178"/>
      <c r="H11" s="184"/>
      <c r="I11" s="180"/>
      <c r="J11" s="181"/>
      <c r="K11" s="182"/>
      <c r="L11" s="98"/>
      <c r="M11" s="183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205" t="s">
        <v>93</v>
      </c>
      <c r="B12" s="44"/>
      <c r="C12" s="45"/>
      <c r="D12" s="46"/>
      <c r="E12" s="142"/>
      <c r="F12" s="177"/>
      <c r="G12" s="178"/>
      <c r="H12" s="184"/>
      <c r="I12" s="180"/>
      <c r="J12" s="181"/>
      <c r="K12" s="182" t="s">
        <v>18</v>
      </c>
      <c r="L12" s="98"/>
      <c r="M12" s="183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205" t="s">
        <v>96</v>
      </c>
      <c r="B13" s="44"/>
      <c r="C13" s="45"/>
      <c r="D13" s="46"/>
      <c r="E13" s="142"/>
      <c r="F13" s="177"/>
      <c r="G13" s="177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05" t="s">
        <v>99</v>
      </c>
      <c r="B14" s="44"/>
      <c r="C14" s="45"/>
      <c r="D14" s="46"/>
      <c r="E14" s="142"/>
      <c r="F14" s="177"/>
      <c r="G14" s="177"/>
      <c r="H14" s="179"/>
      <c r="I14" s="180"/>
      <c r="J14" s="181"/>
      <c r="K14" s="182" t="s">
        <v>18</v>
      </c>
      <c r="L14" s="98"/>
      <c r="M14" s="183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205" t="s">
        <v>102</v>
      </c>
      <c r="B15" s="44"/>
      <c r="C15" s="45"/>
      <c r="D15" s="46"/>
      <c r="E15" s="142"/>
      <c r="F15" s="177"/>
      <c r="G15" s="178"/>
      <c r="H15" s="179"/>
      <c r="I15" s="180"/>
      <c r="J15" s="181"/>
      <c r="K15" s="182" t="s">
        <v>204</v>
      </c>
      <c r="L15" s="98"/>
      <c r="M15" s="183" t="s">
        <v>105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205" t="s">
        <v>106</v>
      </c>
      <c r="B16" s="44"/>
      <c r="C16" s="45"/>
      <c r="D16" s="46"/>
      <c r="E16" s="142"/>
      <c r="F16" s="177"/>
      <c r="G16" s="178"/>
      <c r="H16" s="179"/>
      <c r="I16" s="180"/>
      <c r="J16" s="181"/>
      <c r="K16" s="182" t="s">
        <v>18</v>
      </c>
      <c r="L16" s="98"/>
      <c r="M16" s="183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205"/>
      <c r="B17" s="44"/>
      <c r="C17" s="45"/>
      <c r="D17" s="46"/>
      <c r="E17" s="142"/>
      <c r="F17" s="177"/>
      <c r="G17" s="178"/>
      <c r="H17" s="179"/>
      <c r="I17" s="180"/>
      <c r="J17" s="181"/>
      <c r="K17" s="182"/>
      <c r="L17" s="98"/>
      <c r="M17" s="18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205"/>
      <c r="B18" s="44"/>
      <c r="C18" s="45"/>
      <c r="D18" s="46"/>
      <c r="E18" s="142"/>
      <c r="F18" s="177"/>
      <c r="G18" s="178"/>
      <c r="H18" s="179"/>
      <c r="I18" s="180"/>
      <c r="J18" s="181"/>
      <c r="K18" s="182"/>
      <c r="L18" s="98"/>
      <c r="M18" s="18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205"/>
      <c r="B19" s="44"/>
      <c r="C19" s="45"/>
      <c r="D19" s="46"/>
      <c r="E19" s="142"/>
      <c r="F19" s="177"/>
      <c r="G19" s="178"/>
      <c r="H19" s="179"/>
      <c r="I19" s="180"/>
      <c r="J19" s="181"/>
      <c r="K19" s="182"/>
      <c r="L19" s="98"/>
      <c r="M19" s="18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31000</v>
      </c>
      <c r="G21" s="66">
        <f t="shared" si="1"/>
        <v>0</v>
      </c>
      <c r="H21" s="66">
        <f t="shared" si="1"/>
        <v>18600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49600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46019.0</v>
      </c>
      <c r="C4" s="18" t="s">
        <v>314</v>
      </c>
      <c r="D4" s="19">
        <v>47787.0</v>
      </c>
      <c r="E4" s="190" t="s">
        <v>104</v>
      </c>
      <c r="F4" s="210">
        <v>10000.0</v>
      </c>
      <c r="G4" s="236"/>
      <c r="H4" s="210"/>
      <c r="I4" s="193"/>
      <c r="J4" s="194"/>
      <c r="K4" s="182" t="s">
        <v>204</v>
      </c>
      <c r="L4" s="195"/>
      <c r="M4" s="28" t="s">
        <v>105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46019.0</v>
      </c>
      <c r="C5" s="18" t="s">
        <v>315</v>
      </c>
      <c r="D5" s="19">
        <v>30895.0</v>
      </c>
      <c r="E5" s="196" t="s">
        <v>119</v>
      </c>
      <c r="F5" s="210">
        <v>4500.0</v>
      </c>
      <c r="G5" s="192"/>
      <c r="H5" s="210"/>
      <c r="I5" s="193"/>
      <c r="J5" s="234"/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46019.0</v>
      </c>
      <c r="C6" s="45" t="s">
        <v>316</v>
      </c>
      <c r="D6" s="201">
        <v>30895.0</v>
      </c>
      <c r="E6" s="202" t="s">
        <v>119</v>
      </c>
      <c r="F6" s="241">
        <v>9930.0</v>
      </c>
      <c r="G6" s="236"/>
      <c r="H6" s="204"/>
      <c r="I6" s="180"/>
      <c r="J6" s="235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/>
      <c r="B7" s="17"/>
      <c r="C7" s="45"/>
      <c r="D7" s="46"/>
      <c r="E7" s="142"/>
      <c r="F7" s="177"/>
      <c r="G7" s="178"/>
      <c r="H7" s="240"/>
      <c r="I7" s="180"/>
      <c r="J7" s="181"/>
      <c r="K7" s="182"/>
      <c r="L7" s="98"/>
      <c r="M7" s="18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/>
      <c r="B8" s="44"/>
      <c r="C8" s="45"/>
      <c r="D8" s="46"/>
      <c r="E8" s="142"/>
      <c r="F8" s="177"/>
      <c r="G8" s="178"/>
      <c r="H8" s="184"/>
      <c r="I8" s="180"/>
      <c r="J8" s="181"/>
      <c r="K8" s="182"/>
      <c r="L8" s="98"/>
      <c r="M8" s="18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5"/>
      <c r="B9" s="44"/>
      <c r="C9" s="45"/>
      <c r="D9" s="46"/>
      <c r="E9" s="142"/>
      <c r="F9" s="177"/>
      <c r="G9" s="178"/>
      <c r="H9" s="184"/>
      <c r="I9" s="180"/>
      <c r="J9" s="181"/>
      <c r="K9" s="182"/>
      <c r="L9" s="98"/>
      <c r="M9" s="183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/>
      <c r="B10" s="44"/>
      <c r="C10" s="45"/>
      <c r="D10" s="46"/>
      <c r="E10" s="142"/>
      <c r="F10" s="177"/>
      <c r="G10" s="178"/>
      <c r="H10" s="184"/>
      <c r="I10" s="180"/>
      <c r="J10" s="181"/>
      <c r="K10" s="182"/>
      <c r="L10" s="98"/>
      <c r="M10" s="183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/>
      <c r="B11" s="44"/>
      <c r="C11" s="45"/>
      <c r="D11" s="46"/>
      <c r="E11" s="142"/>
      <c r="F11" s="177"/>
      <c r="G11" s="178"/>
      <c r="H11" s="184"/>
      <c r="I11" s="180"/>
      <c r="J11" s="181"/>
      <c r="K11" s="182"/>
      <c r="L11" s="98"/>
      <c r="M11" s="183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205" t="s">
        <v>93</v>
      </c>
      <c r="B12" s="44"/>
      <c r="C12" s="45"/>
      <c r="D12" s="46"/>
      <c r="E12" s="142"/>
      <c r="F12" s="177"/>
      <c r="G12" s="178"/>
      <c r="H12" s="184"/>
      <c r="I12" s="180"/>
      <c r="J12" s="181"/>
      <c r="K12" s="182" t="s">
        <v>18</v>
      </c>
      <c r="L12" s="98"/>
      <c r="M12" s="183" t="s">
        <v>25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205" t="s">
        <v>96</v>
      </c>
      <c r="B13" s="44"/>
      <c r="C13" s="45"/>
      <c r="D13" s="46"/>
      <c r="E13" s="142"/>
      <c r="F13" s="177"/>
      <c r="G13" s="177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05" t="s">
        <v>99</v>
      </c>
      <c r="B14" s="44"/>
      <c r="C14" s="45"/>
      <c r="D14" s="46"/>
      <c r="E14" s="142"/>
      <c r="F14" s="177"/>
      <c r="G14" s="177"/>
      <c r="H14" s="179"/>
      <c r="I14" s="180"/>
      <c r="J14" s="181"/>
      <c r="K14" s="182" t="s">
        <v>18</v>
      </c>
      <c r="L14" s="98"/>
      <c r="M14" s="183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205" t="s">
        <v>102</v>
      </c>
      <c r="B15" s="44"/>
      <c r="C15" s="45"/>
      <c r="D15" s="46"/>
      <c r="E15" s="142"/>
      <c r="F15" s="177"/>
      <c r="G15" s="178"/>
      <c r="H15" s="179"/>
      <c r="I15" s="180"/>
      <c r="J15" s="181"/>
      <c r="K15" s="182" t="s">
        <v>204</v>
      </c>
      <c r="L15" s="98"/>
      <c r="M15" s="183" t="s">
        <v>105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205" t="s">
        <v>106</v>
      </c>
      <c r="B16" s="44"/>
      <c r="C16" s="45"/>
      <c r="D16" s="46"/>
      <c r="E16" s="142"/>
      <c r="F16" s="177"/>
      <c r="G16" s="178"/>
      <c r="H16" s="179"/>
      <c r="I16" s="180"/>
      <c r="J16" s="181"/>
      <c r="K16" s="182" t="s">
        <v>18</v>
      </c>
      <c r="L16" s="98"/>
      <c r="M16" s="183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205"/>
      <c r="B17" s="44"/>
      <c r="C17" s="45"/>
      <c r="D17" s="46"/>
      <c r="E17" s="142"/>
      <c r="F17" s="177"/>
      <c r="G17" s="178"/>
      <c r="H17" s="179"/>
      <c r="I17" s="180"/>
      <c r="J17" s="181"/>
      <c r="K17" s="182"/>
      <c r="L17" s="98"/>
      <c r="M17" s="18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205"/>
      <c r="B18" s="44"/>
      <c r="C18" s="45"/>
      <c r="D18" s="46"/>
      <c r="E18" s="142"/>
      <c r="F18" s="177"/>
      <c r="G18" s="178"/>
      <c r="H18" s="179"/>
      <c r="I18" s="180"/>
      <c r="J18" s="181"/>
      <c r="K18" s="182"/>
      <c r="L18" s="98"/>
      <c r="M18" s="18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205"/>
      <c r="B19" s="44"/>
      <c r="C19" s="45"/>
      <c r="D19" s="46"/>
      <c r="E19" s="142"/>
      <c r="F19" s="177"/>
      <c r="G19" s="178"/>
      <c r="H19" s="179"/>
      <c r="I19" s="180"/>
      <c r="J19" s="181"/>
      <c r="K19" s="182"/>
      <c r="L19" s="98"/>
      <c r="M19" s="18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96"/>
      <c r="C20" s="56"/>
      <c r="D20" s="57"/>
      <c r="E20" s="58"/>
      <c r="F20" s="185"/>
      <c r="G20" s="178"/>
      <c r="H20" s="186"/>
      <c r="I20" s="180"/>
      <c r="J20" s="187"/>
      <c r="K20" s="99"/>
      <c r="L20" s="62"/>
      <c r="M20" s="18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24430</v>
      </c>
      <c r="G21" s="66">
        <f t="shared" si="1"/>
        <v>0</v>
      </c>
      <c r="H21" s="66">
        <f t="shared" si="1"/>
        <v>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24430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46019.0</v>
      </c>
      <c r="C4" s="18" t="s">
        <v>318</v>
      </c>
      <c r="D4" s="19">
        <v>105021.0</v>
      </c>
      <c r="E4" s="190" t="s">
        <v>319</v>
      </c>
      <c r="F4" s="210"/>
      <c r="G4" s="236"/>
      <c r="H4" s="210">
        <v>2400.0</v>
      </c>
      <c r="I4" s="193"/>
      <c r="J4" s="194"/>
      <c r="K4" s="182" t="s">
        <v>18</v>
      </c>
      <c r="L4" s="195"/>
      <c r="M4" s="28" t="s">
        <v>105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46020.0</v>
      </c>
      <c r="C5" s="18" t="s">
        <v>320</v>
      </c>
      <c r="D5" s="19">
        <v>43102.0</v>
      </c>
      <c r="E5" s="196" t="s">
        <v>257</v>
      </c>
      <c r="F5" s="210">
        <v>5150.0</v>
      </c>
      <c r="G5" s="192"/>
      <c r="H5" s="210"/>
      <c r="I5" s="193"/>
      <c r="J5" s="234"/>
      <c r="K5" s="182" t="s">
        <v>204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46020.0</v>
      </c>
      <c r="C6" s="45" t="s">
        <v>321</v>
      </c>
      <c r="D6" s="201">
        <v>68284.0</v>
      </c>
      <c r="E6" s="202" t="s">
        <v>295</v>
      </c>
      <c r="F6" s="177">
        <v>2700.0</v>
      </c>
      <c r="G6" s="236"/>
      <c r="H6" s="204"/>
      <c r="I6" s="180"/>
      <c r="J6" s="235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46020.0</v>
      </c>
      <c r="C7" s="45" t="s">
        <v>322</v>
      </c>
      <c r="D7" s="46">
        <v>47787.0</v>
      </c>
      <c r="E7" s="142" t="s">
        <v>104</v>
      </c>
      <c r="F7" s="177">
        <v>14750.0</v>
      </c>
      <c r="G7" s="178"/>
      <c r="H7" s="240"/>
      <c r="I7" s="180"/>
      <c r="J7" s="181"/>
      <c r="K7" s="182" t="s">
        <v>18</v>
      </c>
      <c r="L7" s="98"/>
      <c r="M7" s="183" t="s">
        <v>105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>
        <v>46020.0</v>
      </c>
      <c r="C8" s="45" t="s">
        <v>323</v>
      </c>
      <c r="D8" s="46">
        <v>35245.0</v>
      </c>
      <c r="E8" s="142" t="s">
        <v>186</v>
      </c>
      <c r="F8" s="177">
        <v>12400.0</v>
      </c>
      <c r="G8" s="178"/>
      <c r="H8" s="184"/>
      <c r="I8" s="180"/>
      <c r="J8" s="181"/>
      <c r="K8" s="182" t="s">
        <v>18</v>
      </c>
      <c r="L8" s="98"/>
      <c r="M8" s="183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5" t="s">
        <v>38</v>
      </c>
      <c r="B9" s="44">
        <v>46020.0</v>
      </c>
      <c r="C9" s="45" t="s">
        <v>324</v>
      </c>
      <c r="D9" s="46">
        <v>108901.0</v>
      </c>
      <c r="E9" s="142"/>
      <c r="F9" s="177"/>
      <c r="G9" s="178"/>
      <c r="H9" s="184">
        <v>300.0</v>
      </c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>
        <v>46020.0</v>
      </c>
      <c r="C10" s="45" t="s">
        <v>325</v>
      </c>
      <c r="D10" s="46">
        <v>105021.0</v>
      </c>
      <c r="E10" s="142" t="s">
        <v>319</v>
      </c>
      <c r="F10" s="177"/>
      <c r="G10" s="178"/>
      <c r="H10" s="184">
        <v>2600.0</v>
      </c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 t="s">
        <v>93</v>
      </c>
      <c r="B11" s="44">
        <v>46020.0</v>
      </c>
      <c r="C11" s="45" t="s">
        <v>326</v>
      </c>
      <c r="D11" s="46">
        <v>108763.0</v>
      </c>
      <c r="E11" s="142" t="s">
        <v>307</v>
      </c>
      <c r="F11" s="177"/>
      <c r="G11" s="178"/>
      <c r="H11" s="184">
        <v>2400.0</v>
      </c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05"/>
      <c r="B12" s="44"/>
      <c r="C12" s="45"/>
      <c r="D12" s="46"/>
      <c r="E12" s="142"/>
      <c r="F12" s="177"/>
      <c r="G12" s="177"/>
      <c r="H12" s="179"/>
      <c r="I12" s="180"/>
      <c r="J12" s="181"/>
      <c r="K12" s="182"/>
      <c r="L12" s="98"/>
      <c r="M12" s="183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205" t="s">
        <v>99</v>
      </c>
      <c r="B13" s="44"/>
      <c r="C13" s="45"/>
      <c r="D13" s="46"/>
      <c r="E13" s="142"/>
      <c r="F13" s="177"/>
      <c r="G13" s="177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05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204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205" t="s">
        <v>106</v>
      </c>
      <c r="B15" s="44"/>
      <c r="C15" s="45"/>
      <c r="D15" s="46"/>
      <c r="E15" s="142"/>
      <c r="F15" s="177"/>
      <c r="G15" s="178"/>
      <c r="H15" s="179"/>
      <c r="I15" s="180"/>
      <c r="J15" s="181"/>
      <c r="K15" s="182" t="s">
        <v>18</v>
      </c>
      <c r="L15" s="98"/>
      <c r="M15" s="183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205"/>
      <c r="B16" s="44"/>
      <c r="C16" s="45"/>
      <c r="D16" s="46"/>
      <c r="E16" s="142"/>
      <c r="F16" s="177"/>
      <c r="G16" s="178"/>
      <c r="H16" s="179"/>
      <c r="I16" s="180"/>
      <c r="J16" s="181"/>
      <c r="K16" s="182"/>
      <c r="L16" s="98"/>
      <c r="M16" s="18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205"/>
      <c r="B17" s="44"/>
      <c r="C17" s="45"/>
      <c r="D17" s="46"/>
      <c r="E17" s="142"/>
      <c r="F17" s="177"/>
      <c r="G17" s="178"/>
      <c r="H17" s="179"/>
      <c r="I17" s="180"/>
      <c r="J17" s="181"/>
      <c r="K17" s="182"/>
      <c r="L17" s="98"/>
      <c r="M17" s="18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205"/>
      <c r="B18" s="44"/>
      <c r="C18" s="45"/>
      <c r="D18" s="46"/>
      <c r="E18" s="142"/>
      <c r="F18" s="177"/>
      <c r="G18" s="178"/>
      <c r="H18" s="179"/>
      <c r="I18" s="180"/>
      <c r="J18" s="181"/>
      <c r="K18" s="182"/>
      <c r="L18" s="98"/>
      <c r="M18" s="18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96"/>
      <c r="C19" s="56"/>
      <c r="D19" s="57"/>
      <c r="E19" s="58"/>
      <c r="F19" s="185"/>
      <c r="G19" s="178"/>
      <c r="H19" s="186"/>
      <c r="I19" s="180"/>
      <c r="J19" s="187"/>
      <c r="K19" s="99"/>
      <c r="L19" s="62"/>
      <c r="M19" s="18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205"/>
      <c r="B20" s="44"/>
      <c r="C20" s="45"/>
      <c r="D20" s="46"/>
      <c r="E20" s="142"/>
      <c r="F20" s="177"/>
      <c r="G20" s="178"/>
      <c r="H20" s="184"/>
      <c r="I20" s="180"/>
      <c r="J20" s="181"/>
      <c r="K20" s="182"/>
      <c r="L20" s="98"/>
      <c r="M20" s="18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35000</v>
      </c>
      <c r="G21" s="66">
        <f t="shared" si="1"/>
        <v>0</v>
      </c>
      <c r="H21" s="66">
        <f t="shared" si="1"/>
        <v>7700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42700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7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18.63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0" t="s">
        <v>15</v>
      </c>
      <c r="B4" s="17">
        <v>46020.0</v>
      </c>
      <c r="C4" s="18" t="s">
        <v>328</v>
      </c>
      <c r="D4" s="19">
        <v>106402.0</v>
      </c>
      <c r="E4" s="190" t="s">
        <v>329</v>
      </c>
      <c r="F4" s="210"/>
      <c r="G4" s="236"/>
      <c r="H4" s="210">
        <v>2950.0</v>
      </c>
      <c r="I4" s="193"/>
      <c r="J4" s="194"/>
      <c r="K4" s="182" t="s">
        <v>18</v>
      </c>
      <c r="L4" s="195"/>
      <c r="M4" s="28" t="s">
        <v>25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43" t="s">
        <v>21</v>
      </c>
      <c r="B5" s="17">
        <v>46020.0</v>
      </c>
      <c r="C5" s="18" t="s">
        <v>330</v>
      </c>
      <c r="D5" s="19">
        <v>99223.0</v>
      </c>
      <c r="E5" s="196" t="s">
        <v>331</v>
      </c>
      <c r="F5" s="210">
        <v>4500.0</v>
      </c>
      <c r="G5" s="192"/>
      <c r="H5" s="210"/>
      <c r="I5" s="193"/>
      <c r="J5" s="234"/>
      <c r="K5" s="182" t="s">
        <v>18</v>
      </c>
      <c r="L5" s="195"/>
      <c r="M5" s="200" t="s">
        <v>25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5" t="s">
        <v>26</v>
      </c>
      <c r="B6" s="17">
        <v>46020.0</v>
      </c>
      <c r="C6" s="45" t="s">
        <v>332</v>
      </c>
      <c r="D6" s="201">
        <v>10008.0</v>
      </c>
      <c r="E6" s="202" t="s">
        <v>221</v>
      </c>
      <c r="F6" s="177"/>
      <c r="G6" s="236"/>
      <c r="H6" s="204">
        <v>140.0</v>
      </c>
      <c r="I6" s="180"/>
      <c r="J6" s="235"/>
      <c r="K6" s="182" t="s">
        <v>18</v>
      </c>
      <c r="L6" s="195"/>
      <c r="M6" s="200" t="s">
        <v>25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5" t="s">
        <v>30</v>
      </c>
      <c r="B7" s="17">
        <v>46021.0</v>
      </c>
      <c r="C7" s="45" t="s">
        <v>333</v>
      </c>
      <c r="D7" s="46">
        <v>10357.0</v>
      </c>
      <c r="E7" s="142" t="s">
        <v>40</v>
      </c>
      <c r="F7" s="177">
        <v>4750.0</v>
      </c>
      <c r="G7" s="178"/>
      <c r="H7" s="240"/>
      <c r="I7" s="180"/>
      <c r="J7" s="181"/>
      <c r="K7" s="182" t="s">
        <v>18</v>
      </c>
      <c r="L7" s="98"/>
      <c r="M7" s="183" t="s">
        <v>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5" t="s">
        <v>34</v>
      </c>
      <c r="B8" s="44">
        <v>46021.0</v>
      </c>
      <c r="C8" s="45" t="s">
        <v>334</v>
      </c>
      <c r="D8" s="46">
        <v>87625.0</v>
      </c>
      <c r="E8" s="142" t="s">
        <v>335</v>
      </c>
      <c r="F8" s="177"/>
      <c r="G8" s="178"/>
      <c r="H8" s="184">
        <v>5500.0</v>
      </c>
      <c r="I8" s="180"/>
      <c r="J8" s="181"/>
      <c r="K8" s="182" t="s">
        <v>18</v>
      </c>
      <c r="L8" s="98"/>
      <c r="M8" s="183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5" t="s">
        <v>38</v>
      </c>
      <c r="B9" s="44">
        <v>46021.0</v>
      </c>
      <c r="C9" s="45" t="s">
        <v>336</v>
      </c>
      <c r="D9" s="46">
        <v>55864.0</v>
      </c>
      <c r="E9" s="142" t="s">
        <v>337</v>
      </c>
      <c r="F9" s="177">
        <v>2500.0</v>
      </c>
      <c r="G9" s="178"/>
      <c r="H9" s="184"/>
      <c r="I9" s="180"/>
      <c r="J9" s="181"/>
      <c r="K9" s="182" t="s">
        <v>18</v>
      </c>
      <c r="L9" s="98"/>
      <c r="M9" s="183" t="s">
        <v>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5" t="s">
        <v>42</v>
      </c>
      <c r="B10" s="44">
        <v>46021.0</v>
      </c>
      <c r="C10" s="45" t="s">
        <v>338</v>
      </c>
      <c r="D10" s="46">
        <v>65611.0</v>
      </c>
      <c r="E10" s="142" t="s">
        <v>339</v>
      </c>
      <c r="F10" s="177">
        <v>5800.0</v>
      </c>
      <c r="G10" s="178"/>
      <c r="H10" s="184"/>
      <c r="I10" s="180"/>
      <c r="J10" s="181"/>
      <c r="K10" s="182" t="s">
        <v>18</v>
      </c>
      <c r="L10" s="98"/>
      <c r="M10" s="183" t="s">
        <v>25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5" t="s">
        <v>93</v>
      </c>
      <c r="B11" s="44">
        <v>46021.0</v>
      </c>
      <c r="C11" s="45" t="s">
        <v>340</v>
      </c>
      <c r="D11" s="46">
        <v>52686.0</v>
      </c>
      <c r="E11" s="142" t="s">
        <v>23</v>
      </c>
      <c r="F11" s="177">
        <v>8450.0</v>
      </c>
      <c r="G11" s="178"/>
      <c r="H11" s="184"/>
      <c r="I11" s="180"/>
      <c r="J11" s="181"/>
      <c r="K11" s="182" t="s">
        <v>18</v>
      </c>
      <c r="L11" s="98"/>
      <c r="M11" s="183" t="s">
        <v>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05"/>
      <c r="B12" s="44"/>
      <c r="C12" s="45"/>
      <c r="D12" s="46"/>
      <c r="E12" s="142"/>
      <c r="F12" s="177"/>
      <c r="G12" s="177"/>
      <c r="H12" s="179"/>
      <c r="I12" s="180"/>
      <c r="J12" s="181"/>
      <c r="K12" s="182"/>
      <c r="L12" s="98"/>
      <c r="M12" s="18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205" t="s">
        <v>99</v>
      </c>
      <c r="B13" s="44"/>
      <c r="C13" s="45"/>
      <c r="D13" s="46"/>
      <c r="E13" s="142"/>
      <c r="F13" s="177"/>
      <c r="G13" s="177"/>
      <c r="H13" s="179"/>
      <c r="I13" s="180"/>
      <c r="J13" s="181"/>
      <c r="K13" s="182" t="s">
        <v>18</v>
      </c>
      <c r="L13" s="98"/>
      <c r="M13" s="183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05" t="s">
        <v>102</v>
      </c>
      <c r="B14" s="44"/>
      <c r="C14" s="45"/>
      <c r="D14" s="46"/>
      <c r="E14" s="142"/>
      <c r="F14" s="177"/>
      <c r="G14" s="178"/>
      <c r="H14" s="179"/>
      <c r="I14" s="180"/>
      <c r="J14" s="181"/>
      <c r="K14" s="182" t="s">
        <v>204</v>
      </c>
      <c r="L14" s="98"/>
      <c r="M14" s="183" t="s">
        <v>105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205" t="s">
        <v>106</v>
      </c>
      <c r="B15" s="44"/>
      <c r="C15" s="45"/>
      <c r="D15" s="46"/>
      <c r="E15" s="142"/>
      <c r="F15" s="177"/>
      <c r="G15" s="178"/>
      <c r="H15" s="179"/>
      <c r="I15" s="180"/>
      <c r="J15" s="181"/>
      <c r="K15" s="182" t="s">
        <v>18</v>
      </c>
      <c r="L15" s="98"/>
      <c r="M15" s="183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205"/>
      <c r="B16" s="44"/>
      <c r="C16" s="45"/>
      <c r="D16" s="46"/>
      <c r="E16" s="142"/>
      <c r="F16" s="177"/>
      <c r="G16" s="178"/>
      <c r="H16" s="179"/>
      <c r="I16" s="180"/>
      <c r="J16" s="181"/>
      <c r="K16" s="182"/>
      <c r="L16" s="98"/>
      <c r="M16" s="18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205"/>
      <c r="B17" s="44"/>
      <c r="C17" s="45"/>
      <c r="D17" s="46"/>
      <c r="E17" s="142"/>
      <c r="F17" s="177"/>
      <c r="G17" s="178"/>
      <c r="H17" s="179"/>
      <c r="I17" s="180"/>
      <c r="J17" s="181"/>
      <c r="K17" s="182"/>
      <c r="L17" s="98"/>
      <c r="M17" s="18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205"/>
      <c r="B18" s="44"/>
      <c r="C18" s="45"/>
      <c r="D18" s="46"/>
      <c r="E18" s="142"/>
      <c r="F18" s="177"/>
      <c r="G18" s="178"/>
      <c r="H18" s="179"/>
      <c r="I18" s="180"/>
      <c r="J18" s="181"/>
      <c r="K18" s="182"/>
      <c r="L18" s="98"/>
      <c r="M18" s="18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96"/>
      <c r="C19" s="56"/>
      <c r="D19" s="57"/>
      <c r="E19" s="58"/>
      <c r="F19" s="185"/>
      <c r="G19" s="178"/>
      <c r="H19" s="186"/>
      <c r="I19" s="180"/>
      <c r="J19" s="187"/>
      <c r="K19" s="99"/>
      <c r="L19" s="62"/>
      <c r="M19" s="18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205"/>
      <c r="B20" s="44"/>
      <c r="C20" s="45"/>
      <c r="D20" s="46"/>
      <c r="E20" s="142"/>
      <c r="F20" s="177"/>
      <c r="G20" s="178"/>
      <c r="H20" s="184"/>
      <c r="I20" s="180"/>
      <c r="J20" s="181"/>
      <c r="K20" s="182"/>
      <c r="L20" s="98"/>
      <c r="M20" s="18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5"/>
      <c r="B21" s="2"/>
      <c r="C21" s="2"/>
      <c r="D21" s="2"/>
      <c r="E21" s="3"/>
      <c r="F21" s="66">
        <f t="shared" ref="F21:J21" si="1">SUM(F4:F20)</f>
        <v>26000</v>
      </c>
      <c r="G21" s="66">
        <f t="shared" si="1"/>
        <v>0</v>
      </c>
      <c r="H21" s="66">
        <f t="shared" si="1"/>
        <v>8590</v>
      </c>
      <c r="I21" s="66">
        <f t="shared" si="1"/>
        <v>0</v>
      </c>
      <c r="J21" s="66">
        <f t="shared" si="1"/>
        <v>0</v>
      </c>
      <c r="K21" s="67"/>
      <c r="L21" s="67"/>
      <c r="M21" s="68"/>
    </row>
    <row r="22" ht="48.0" customHeight="1">
      <c r="F22" s="69">
        <f>F21+G21+H21+I21+J21</f>
        <v>34590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B2:B3"/>
    <mergeCell ref="C2:C3"/>
    <mergeCell ref="E2:E3"/>
    <mergeCell ref="F2:J2"/>
    <mergeCell ref="K2:K3"/>
    <mergeCell ref="L2:L3"/>
    <mergeCell ref="A21:E21"/>
    <mergeCell ref="F22:J22"/>
    <mergeCell ref="A1:M1"/>
    <mergeCell ref="A2:A3"/>
    <mergeCell ref="D2:D3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